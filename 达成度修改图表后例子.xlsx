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olors1.xml" ContentType="application/vnd.ms-office.chartcolorstyle+xml"/>
  <Override PartName="/xl/charts/colors2.xml" ContentType="application/vnd.ms-office.chartcolorstyle+xml"/>
  <Override PartName="/xl/charts/colors3.xml" ContentType="application/vnd.ms-office.chartcolorstyle+xml"/>
  <Override PartName="/xl/charts/style1.xml" ContentType="application/vnd.ms-office.chartstyle+xml"/>
  <Override PartName="/xl/charts/style2.xml" ContentType="application/vnd.ms-office.chartstyle+xml"/>
  <Override PartName="/xl/charts/style3.xml" ContentType="application/vnd.ms-office.chartstyle+xml"/>
  <Override PartName="/xl/drawings/drawing1.xml" ContentType="application/vnd.openxmlformats-officedocument.drawing+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theme/themeOverride1.xml" ContentType="application/vnd.openxmlformats-officedocument.themeOverride+xml"/>
  <Override PartName="/xl/theme/themeOverride2.xml" ContentType="application/vnd.openxmlformats-officedocument.themeOverride+xml"/>
  <Override PartName="/xl/theme/themeOverride3.xml" ContentType="application/vnd.openxmlformats-officedocument.themeOverride+xml"/>
  <Override PartName="/xl/theme/themeOverride4.xml" ContentType="application/vnd.openxmlformats-officedocument.themeOverride+xml"/>
  <Override PartName="/xl/theme/themeOverride5.xml" ContentType="application/vnd.openxmlformats-officedocument.themeOverride+xml"/>
  <Override PartName="/xl/theme/themeOverride6.xml" ContentType="application/vnd.openxmlformats-officedocument.themeOverride+xml"/>
  <Override PartName="/xl/theme/themeOverride7.xml" ContentType="application/vnd.openxmlformats-officedocument.themeOverrid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0850" windowHeight="12080" firstSheet="1" activeTab="5"/>
  </bookViews>
  <sheets>
    <sheet name="0信息维护" sheetId="1" r:id="rId1"/>
    <sheet name="1课程考核方式及成绩组成" sheetId="7" r:id="rId2"/>
    <sheet name="2间接评价" sheetId="9" r:id="rId3"/>
    <sheet name="3课程达成度分析报告" sheetId="8" r:id="rId4"/>
    <sheet name="4学生课程目标达成度" sheetId="6" r:id="rId5"/>
    <sheet name="5绘图数据" sheetId="10" r:id="rId6"/>
  </sheets>
  <externalReferences>
    <externalReference r:id="rId8"/>
  </externalReferences>
  <definedNames>
    <definedName name="_xlnm.Print_Area" localSheetId="3">'3课程达成度分析报告'!$A$1:$U$255</definedName>
    <definedName name="_xlnm.Print_Area" localSheetId="4">'4学生课程目标达成度'!$A$1:$K$20</definedName>
    <definedName name="目标3">OFFSET('5绘图数据'!$F$3,0,0,'[1]0信息维护'!$M$6)</definedName>
    <definedName name="总目标">OFFSET('5绘图数据'!$H$3,0,0,'[1]0信息维护'!$M$6)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<sst xmlns="http://schemas.openxmlformats.org/spreadsheetml/2006/main" count="999" uniqueCount="453">
  <si>
    <r>
      <rPr>
        <b/>
        <sz val="12"/>
        <color rgb="FFFF0000"/>
        <rFont val="宋体"/>
        <charset val="134"/>
        <scheme val="minor"/>
      </rPr>
      <t>操作说明</t>
    </r>
    <r>
      <rPr>
        <sz val="12"/>
        <color rgb="FFFF0000"/>
        <rFont val="宋体"/>
        <charset val="134"/>
        <scheme val="minor"/>
      </rPr>
      <t>（</t>
    </r>
    <r>
      <rPr>
        <b/>
        <sz val="12"/>
        <color rgb="FFFF0000"/>
        <rFont val="宋体"/>
        <charset val="134"/>
        <scheme val="minor"/>
      </rPr>
      <t>红色</t>
    </r>
    <r>
      <rPr>
        <sz val="12"/>
        <color theme="1"/>
        <rFont val="宋体"/>
        <charset val="134"/>
        <scheme val="minor"/>
      </rPr>
      <t>字体为说明，所有表格</t>
    </r>
    <r>
      <rPr>
        <b/>
        <sz val="12"/>
        <color theme="1"/>
        <rFont val="宋体"/>
        <charset val="134"/>
        <scheme val="minor"/>
      </rPr>
      <t>黑色</t>
    </r>
    <r>
      <rPr>
        <sz val="12"/>
        <color theme="1"/>
        <rFont val="宋体"/>
        <charset val="134"/>
        <scheme val="minor"/>
      </rPr>
      <t>字体不要更改；只可更改</t>
    </r>
    <r>
      <rPr>
        <b/>
        <sz val="12"/>
        <color rgb="FF0033CC"/>
        <rFont val="宋体"/>
        <charset val="134"/>
        <scheme val="minor"/>
      </rPr>
      <t>蓝色</t>
    </r>
    <r>
      <rPr>
        <sz val="12"/>
        <color theme="1"/>
        <rFont val="宋体"/>
        <charset val="134"/>
        <scheme val="minor"/>
      </rPr>
      <t>字体部分的文字和数据；</t>
    </r>
    <r>
      <rPr>
        <sz val="12"/>
        <color rgb="FFFF0000"/>
        <rFont val="宋体"/>
        <charset val="134"/>
        <scheme val="minor"/>
      </rPr>
      <t xml:space="preserve">不能随意删除表格中的行、列或者调整表格的列宽）；
</t>
    </r>
    <r>
      <rPr>
        <b/>
        <sz val="12"/>
        <color rgb="FFFF0000"/>
        <rFont val="宋体"/>
        <charset val="134"/>
        <scheme val="minor"/>
      </rPr>
      <t>0信息维护：</t>
    </r>
    <r>
      <rPr>
        <sz val="12"/>
        <color rgb="FFFF0000"/>
        <rFont val="宋体"/>
        <charset val="134"/>
        <scheme val="minor"/>
      </rPr>
      <t>此表需要维护显示</t>
    </r>
    <r>
      <rPr>
        <b/>
        <sz val="12"/>
        <color rgb="FF0033CC"/>
        <rFont val="宋体"/>
        <charset val="134"/>
        <scheme val="minor"/>
      </rPr>
      <t>蓝色字体部分的数据</t>
    </r>
    <r>
      <rPr>
        <sz val="12"/>
        <color rgb="FFFF0000"/>
        <rFont val="宋体"/>
        <charset val="134"/>
        <scheme val="minor"/>
      </rPr>
      <t xml:space="preserve">，无则输入0或者不填数据；
</t>
    </r>
    <r>
      <rPr>
        <b/>
        <sz val="12"/>
        <color rgb="FFFF0000"/>
        <rFont val="宋体"/>
        <charset val="134"/>
        <scheme val="minor"/>
      </rPr>
      <t>1课程考核方式及成绩组成:</t>
    </r>
    <r>
      <rPr>
        <sz val="12"/>
        <color rgb="FFFF0000"/>
        <rFont val="宋体"/>
        <charset val="134"/>
        <scheme val="minor"/>
      </rPr>
      <t>此表</t>
    </r>
    <r>
      <rPr>
        <b/>
        <sz val="12"/>
        <color rgb="FF0033CC"/>
        <rFont val="宋体"/>
        <charset val="134"/>
        <scheme val="minor"/>
      </rPr>
      <t>蓝色字体部分</t>
    </r>
    <r>
      <rPr>
        <sz val="12"/>
        <color rgb="FFFF0000"/>
        <rFont val="宋体"/>
        <charset val="134"/>
        <scheme val="minor"/>
      </rPr>
      <t xml:space="preserve">输入学生基本信息和各考核方式、各目标的分值（每种考核方式的满分为100分），若无则输入0或者不填数据；
</t>
    </r>
    <r>
      <rPr>
        <b/>
        <sz val="12"/>
        <color rgb="FFFF0000"/>
        <rFont val="宋体"/>
        <charset val="134"/>
        <scheme val="minor"/>
      </rPr>
      <t>2间接评价:</t>
    </r>
    <r>
      <rPr>
        <sz val="12"/>
        <color rgb="FFFF0000"/>
        <rFont val="宋体"/>
        <charset val="134"/>
        <scheme val="minor"/>
      </rPr>
      <t>此表</t>
    </r>
    <r>
      <rPr>
        <b/>
        <sz val="12"/>
        <color rgb="FF0033CC"/>
        <rFont val="宋体"/>
        <charset val="134"/>
        <scheme val="minor"/>
      </rPr>
      <t>蓝色字体部分</t>
    </r>
    <r>
      <rPr>
        <sz val="12"/>
        <color rgb="FFFF0000"/>
        <rFont val="宋体"/>
        <charset val="134"/>
        <scheme val="minor"/>
      </rPr>
      <t xml:space="preserve">输入各目标选择A、B、C、D、E的问卷统计结果；
</t>
    </r>
    <r>
      <rPr>
        <b/>
        <sz val="12"/>
        <color rgb="FFFF0000"/>
        <rFont val="宋体"/>
        <charset val="134"/>
        <scheme val="minor"/>
      </rPr>
      <t>3课程达成度分析报告:</t>
    </r>
    <r>
      <rPr>
        <sz val="12"/>
        <color rgb="FFFF0000"/>
        <rFont val="宋体"/>
        <charset val="134"/>
        <scheme val="minor"/>
      </rPr>
      <t>此表数据、图片都是自动生成，只需填写</t>
    </r>
    <r>
      <rPr>
        <b/>
        <sz val="12"/>
        <color rgb="FF0033CC"/>
        <rFont val="宋体"/>
        <charset val="134"/>
        <scheme val="minor"/>
      </rPr>
      <t>蓝色字体部分</t>
    </r>
    <r>
      <rPr>
        <sz val="12"/>
        <color rgb="FFFF0000"/>
        <rFont val="宋体"/>
        <charset val="134"/>
        <scheme val="minor"/>
      </rPr>
      <t xml:space="preserve">的课程分析和改进措施；
</t>
    </r>
    <r>
      <rPr>
        <b/>
        <sz val="12"/>
        <color rgb="FFFF0000"/>
        <rFont val="宋体"/>
        <charset val="134"/>
        <scheme val="minor"/>
      </rPr>
      <t>4学生课程目标达成度、5绘图数据:</t>
    </r>
    <r>
      <rPr>
        <sz val="12"/>
        <color rgb="FFFF0000"/>
        <rFont val="宋体"/>
        <charset val="134"/>
        <scheme val="minor"/>
      </rPr>
      <t>此表数据是自动生成，只需根据班级实际学生数在表格末尾处删除多余行数或增加相应行数（增加行时，光标放在表格右下角变成“十”时直接拖拉到最后一名学生所在的行）。</t>
    </r>
  </si>
  <si>
    <t>一、课程基本信息</t>
  </si>
  <si>
    <t>课程名称</t>
  </si>
  <si>
    <t>数据结构与算法</t>
  </si>
  <si>
    <t>课程编码</t>
  </si>
  <si>
    <t>N19ZY11005</t>
  </si>
  <si>
    <t>课程类别</t>
  </si>
  <si>
    <t>专业核心必修课程</t>
  </si>
  <si>
    <t>学时/学分</t>
  </si>
  <si>
    <t>96/5</t>
  </si>
  <si>
    <t>开课学期</t>
  </si>
  <si>
    <t>2023-2024-2</t>
  </si>
  <si>
    <t>授课对象</t>
  </si>
  <si>
    <t>计算机学院2022级5、6班</t>
  </si>
  <si>
    <t>选课人数</t>
  </si>
  <si>
    <t>参评人数</t>
  </si>
  <si>
    <t>任课教师</t>
  </si>
  <si>
    <t>任春华、段少松</t>
  </si>
  <si>
    <t>课程责任人</t>
  </si>
  <si>
    <t>任春华老师</t>
  </si>
  <si>
    <t>开课学部（院）</t>
  </si>
  <si>
    <t>人工智能与大数据学部</t>
  </si>
  <si>
    <t>专业</t>
  </si>
  <si>
    <t>软件工程</t>
  </si>
  <si>
    <t>二、课程目标与毕业要求的对应关系</t>
  </si>
  <si>
    <t xml:space="preserve">          毕业要求  课程目标</t>
  </si>
  <si>
    <t>支撑的毕业要求指标点</t>
  </si>
  <si>
    <t>支撑强度</t>
  </si>
  <si>
    <t>课程总目标</t>
  </si>
  <si>
    <t>课程目标1</t>
  </si>
  <si>
    <t>学生具备分析线性表、栈和队列、串、数组和广义表、树和二叉树、图等各种基本数据结构的能力；能够针对具体问题，通过定义抽象数学模型、算法并求解。</t>
  </si>
  <si>
    <t>L</t>
  </si>
  <si>
    <t>课程目标2</t>
  </si>
  <si>
    <t>针对工程应用问题，学生能够利用抽象数据结构思维的能力，比较和综合各种方案在逻辑结构、存储结构的优劣。</t>
  </si>
  <si>
    <t>H</t>
  </si>
  <si>
    <t>课程目标3</t>
  </si>
  <si>
    <t>学生能够运用数据结构与算法的基本原理，识别和判断复杂软件工程问题中数据结构使用和算法选择的关键环节。</t>
  </si>
  <si>
    <t>M</t>
  </si>
  <si>
    <t>课程目标4</t>
  </si>
  <si>
    <t>学生结合具体应用案例，能够认识到有多种逻辑结构和存储结构可供选择，通过网络、文献、大模型等方法寻求应用案例的解决方案。</t>
  </si>
  <si>
    <t>课程目标5</t>
  </si>
  <si>
    <t>课程目标6</t>
  </si>
  <si>
    <t>课程目标7</t>
  </si>
  <si>
    <t>注：此表中所有信息应与相应课程教学大纲保持一致，H、M、L分别代表高、中、低支撑。</t>
  </si>
  <si>
    <t>三、课程目标评价方式</t>
  </si>
  <si>
    <t>(1) 过程性评价构成及比例</t>
  </si>
  <si>
    <t>过程性评价构成及比例</t>
  </si>
  <si>
    <t>平时作业</t>
  </si>
  <si>
    <t>实验考核</t>
  </si>
  <si>
    <t>合计</t>
  </si>
  <si>
    <t>归一化</t>
  </si>
  <si>
    <t>备注</t>
  </si>
  <si>
    <t>每列和为100%，单元格表示某一种考核方式的给课程目标的赋分</t>
  </si>
  <si>
    <t>此处不用设置，主要用于评测考核方式对目标的支撑度</t>
  </si>
  <si>
    <t>(2) 直接评价构成及比例</t>
  </si>
  <si>
    <t>直接评价构成及比例</t>
  </si>
  <si>
    <t>过程性评价</t>
  </si>
  <si>
    <t>结果性评价</t>
  </si>
  <si>
    <t>横行等于100%</t>
  </si>
  <si>
    <t>(3) 间接评价构成及比例</t>
  </si>
  <si>
    <t>间接评价构成及比例</t>
  </si>
  <si>
    <t>学生调查问卷</t>
  </si>
  <si>
    <t>其它</t>
  </si>
  <si>
    <t>(4) 综合评价构成及比例</t>
  </si>
  <si>
    <t>综合评价构成及比例</t>
  </si>
  <si>
    <t>直接评价</t>
  </si>
  <si>
    <t>间接评价</t>
  </si>
  <si>
    <t>四、考试试题对应课程分目标（不通过试卷考核的课程不填写此部分）</t>
  </si>
  <si>
    <t>小题号</t>
  </si>
  <si>
    <t>27-35</t>
  </si>
  <si>
    <t>分值</t>
  </si>
  <si>
    <t>37-38</t>
  </si>
  <si>
    <t>总分</t>
  </si>
  <si>
    <t>注：1.将实际试题序号填入对应的课程目标空格中，每题下方填写该题分值。</t>
  </si>
  <si>
    <t xml:space="preserve">    2.此表中的课程分目标只写目标名称，如“课程目标1”。</t>
  </si>
  <si>
    <t>五、课程目标达成度目标分值</t>
  </si>
  <si>
    <t>课程目标</t>
  </si>
  <si>
    <t>评价方式</t>
  </si>
  <si>
    <t>目标分值</t>
  </si>
  <si>
    <t>说明</t>
  </si>
  <si>
    <t>此部分数据根据三（1）自动生成</t>
  </si>
  <si>
    <t>不通过试卷考核的需要手动填写该值</t>
  </si>
  <si>
    <t>注：目标分值为课程目标对应评价方式的满分，同一评价方式目标分值之和为100分。</t>
  </si>
  <si>
    <t>六、课程分目标权重</t>
  </si>
  <si>
    <t>分目标权重</t>
  </si>
  <si>
    <t>注：课程教学大纲中明确的权重，权重可根据课时占比设置，分目标权重之和为1。</t>
  </si>
  <si>
    <t>课程考核方式及成绩组成</t>
  </si>
  <si>
    <t>课程：</t>
  </si>
  <si>
    <t>课程编码：</t>
  </si>
  <si>
    <t>专业：</t>
  </si>
  <si>
    <t>班级：</t>
  </si>
  <si>
    <t>开课学部（院）：</t>
  </si>
  <si>
    <t>任课教师：</t>
  </si>
  <si>
    <t>序号</t>
  </si>
  <si>
    <t>学生基本信息</t>
  </si>
  <si>
    <t>（满分100分）</t>
  </si>
  <si>
    <t>专业名</t>
  </si>
  <si>
    <t>班级</t>
  </si>
  <si>
    <t>学号</t>
  </si>
  <si>
    <t>姓名</t>
  </si>
  <si>
    <t>目标1</t>
  </si>
  <si>
    <t>目标2</t>
  </si>
  <si>
    <t>目标3</t>
  </si>
  <si>
    <t>目标4</t>
  </si>
  <si>
    <t>目标5</t>
  </si>
  <si>
    <t>目标6</t>
  </si>
  <si>
    <t>目标7</t>
  </si>
  <si>
    <t>人工智能学部22级5班</t>
  </si>
  <si>
    <t>180202041</t>
  </si>
  <si>
    <t>林振杨</t>
  </si>
  <si>
    <t>180301007</t>
  </si>
  <si>
    <t>刘彪</t>
  </si>
  <si>
    <t>人工智能学部20级3班</t>
  </si>
  <si>
    <t>180301010</t>
  </si>
  <si>
    <t>童祉昂</t>
  </si>
  <si>
    <t>180301042</t>
  </si>
  <si>
    <t>覃朝雄</t>
  </si>
  <si>
    <t>190301001</t>
  </si>
  <si>
    <t>温佳洛</t>
  </si>
  <si>
    <t>190301002</t>
  </si>
  <si>
    <t>周涛</t>
  </si>
  <si>
    <t>190301003</t>
  </si>
  <si>
    <t>何中尉</t>
  </si>
  <si>
    <t>190301004</t>
  </si>
  <si>
    <t>王华鹏</t>
  </si>
  <si>
    <t>190301005</t>
  </si>
  <si>
    <t>袁竹</t>
  </si>
  <si>
    <t>190301006</t>
  </si>
  <si>
    <t>苟晨雨</t>
  </si>
  <si>
    <t>190301007</t>
  </si>
  <si>
    <t>夏婧姣</t>
  </si>
  <si>
    <t>190301008</t>
  </si>
  <si>
    <t>王思皓</t>
  </si>
  <si>
    <t>190301009</t>
  </si>
  <si>
    <t>刘丹</t>
  </si>
  <si>
    <t>190301010</t>
  </si>
  <si>
    <t>杨星</t>
  </si>
  <si>
    <t>190301011</t>
  </si>
  <si>
    <t>何晨</t>
  </si>
  <si>
    <t>190301012</t>
  </si>
  <si>
    <t>尹昊</t>
  </si>
  <si>
    <t>190301013</t>
  </si>
  <si>
    <t>姜佳幸</t>
  </si>
  <si>
    <t>190301014</t>
  </si>
  <si>
    <t>潘瑞智</t>
  </si>
  <si>
    <t>190301015</t>
  </si>
  <si>
    <t>陈俊</t>
  </si>
  <si>
    <t>190301016</t>
  </si>
  <si>
    <t>任昌鹏</t>
  </si>
  <si>
    <t>190301017</t>
  </si>
  <si>
    <t>王聪</t>
  </si>
  <si>
    <t>190301018</t>
  </si>
  <si>
    <t>胡雨梦</t>
  </si>
  <si>
    <t>190301019</t>
  </si>
  <si>
    <t>钟瑞东</t>
  </si>
  <si>
    <t>190301020</t>
  </si>
  <si>
    <t>张鹏</t>
  </si>
  <si>
    <t>190301021</t>
  </si>
  <si>
    <t>尹杰</t>
  </si>
  <si>
    <t>190301022</t>
  </si>
  <si>
    <t>寇云琦</t>
  </si>
  <si>
    <t>190301023</t>
  </si>
  <si>
    <t>杨承烨</t>
  </si>
  <si>
    <t>190301024</t>
  </si>
  <si>
    <t>喻钦鑫</t>
  </si>
  <si>
    <t>190301025</t>
  </si>
  <si>
    <t>唐伟峰</t>
  </si>
  <si>
    <t>190301026</t>
  </si>
  <si>
    <t>李宗益</t>
  </si>
  <si>
    <t>190301028</t>
  </si>
  <si>
    <t>钟鸿宇</t>
  </si>
  <si>
    <t>190301029</t>
  </si>
  <si>
    <t>陈芃岐</t>
  </si>
  <si>
    <t>190301030</t>
  </si>
  <si>
    <t>禹钦瀚</t>
  </si>
  <si>
    <t>190301033</t>
  </si>
  <si>
    <t>邓淳译</t>
  </si>
  <si>
    <t>190301034</t>
  </si>
  <si>
    <t>郑伟</t>
  </si>
  <si>
    <t>190301035</t>
  </si>
  <si>
    <t>于涛</t>
  </si>
  <si>
    <t>190301037</t>
  </si>
  <si>
    <t>王存志</t>
  </si>
  <si>
    <t>190302001</t>
  </si>
  <si>
    <t>何洱圳</t>
  </si>
  <si>
    <t>190302002</t>
  </si>
  <si>
    <t>石梦军</t>
  </si>
  <si>
    <t>190302003</t>
  </si>
  <si>
    <t>李森洪</t>
  </si>
  <si>
    <t>190302004</t>
  </si>
  <si>
    <t>陈鹏</t>
  </si>
  <si>
    <t>190302005</t>
  </si>
  <si>
    <t>刘云川</t>
  </si>
  <si>
    <t>190302007</t>
  </si>
  <si>
    <t>李秋涵</t>
  </si>
  <si>
    <t>190302008</t>
  </si>
  <si>
    <t>周磊</t>
  </si>
  <si>
    <t>190302009</t>
  </si>
  <si>
    <t>何江龙</t>
  </si>
  <si>
    <t>190302010</t>
  </si>
  <si>
    <t>郭曜荣</t>
  </si>
  <si>
    <t>190302011</t>
  </si>
  <si>
    <t>雷箭舟</t>
  </si>
  <si>
    <t>190302012</t>
  </si>
  <si>
    <t>王盛</t>
  </si>
  <si>
    <t>190302013</t>
  </si>
  <si>
    <t>张志鹏</t>
  </si>
  <si>
    <t>190302014</t>
  </si>
  <si>
    <t>余业伟</t>
  </si>
  <si>
    <t>190302015</t>
  </si>
  <si>
    <t>黄松</t>
  </si>
  <si>
    <t>190302016</t>
  </si>
  <si>
    <t>高世国</t>
  </si>
  <si>
    <t>190302017</t>
  </si>
  <si>
    <t>王浩然</t>
  </si>
  <si>
    <t>190302018</t>
  </si>
  <si>
    <t>黄文泉</t>
  </si>
  <si>
    <t>190302019</t>
  </si>
  <si>
    <t>李利婷</t>
  </si>
  <si>
    <t>190302020</t>
  </si>
  <si>
    <t>邓家豪</t>
  </si>
  <si>
    <t>190302021</t>
  </si>
  <si>
    <t>杨以坤</t>
  </si>
  <si>
    <t>190302022</t>
  </si>
  <si>
    <t>皮成鹏</t>
  </si>
  <si>
    <t>190302023</t>
  </si>
  <si>
    <t>张罗鑫</t>
  </si>
  <si>
    <t>190302024</t>
  </si>
  <si>
    <t>刘新</t>
  </si>
  <si>
    <t>190302026</t>
  </si>
  <si>
    <t>兰茜</t>
  </si>
  <si>
    <t>190302027</t>
  </si>
  <si>
    <t>李洪</t>
  </si>
  <si>
    <t>190302028</t>
  </si>
  <si>
    <t>庞陈杰</t>
  </si>
  <si>
    <t>190302029</t>
  </si>
  <si>
    <t>刘畅</t>
  </si>
  <si>
    <t>190302030</t>
  </si>
  <si>
    <t>刘宗洋</t>
  </si>
  <si>
    <t>190302032</t>
  </si>
  <si>
    <t>胡万全</t>
  </si>
  <si>
    <t>190302033</t>
  </si>
  <si>
    <t>夏珑阳</t>
  </si>
  <si>
    <t>190302034</t>
  </si>
  <si>
    <t>陈淇</t>
  </si>
  <si>
    <t>190302035</t>
  </si>
  <si>
    <t>李欣原</t>
  </si>
  <si>
    <t>190302036</t>
  </si>
  <si>
    <t>胡力</t>
  </si>
  <si>
    <t>190706024</t>
  </si>
  <si>
    <t>余银涛</t>
  </si>
  <si>
    <t>190706029</t>
  </si>
  <si>
    <t>谢玉婷</t>
  </si>
  <si>
    <t>190706030</t>
  </si>
  <si>
    <t>魏雨婷</t>
  </si>
  <si>
    <t>人工智能学部22级6班</t>
  </si>
  <si>
    <t>210110106</t>
  </si>
  <si>
    <t>田磊</t>
  </si>
  <si>
    <t>210402111</t>
  </si>
  <si>
    <t>汪博伦</t>
  </si>
  <si>
    <t>210402112</t>
  </si>
  <si>
    <t>李乐斌</t>
  </si>
  <si>
    <t>210504123</t>
  </si>
  <si>
    <t>陈小愉</t>
  </si>
  <si>
    <t>220106101</t>
  </si>
  <si>
    <t>伍海涵</t>
  </si>
  <si>
    <t>220106102</t>
  </si>
  <si>
    <t>周雍丁</t>
  </si>
  <si>
    <t>220106103</t>
  </si>
  <si>
    <t>李玲</t>
  </si>
  <si>
    <t>220106104</t>
  </si>
  <si>
    <t>刘川</t>
  </si>
  <si>
    <t>220106105</t>
  </si>
  <si>
    <t>王瑶</t>
  </si>
  <si>
    <t>220106106</t>
  </si>
  <si>
    <t>吴耀东</t>
  </si>
  <si>
    <t>220106107</t>
  </si>
  <si>
    <t>段高飞</t>
  </si>
  <si>
    <t>220106108</t>
  </si>
  <si>
    <t>马明月</t>
  </si>
  <si>
    <t>220106109</t>
  </si>
  <si>
    <t>余乐</t>
  </si>
  <si>
    <t>220106110</t>
  </si>
  <si>
    <t>任金凤</t>
  </si>
  <si>
    <t>220106111</t>
  </si>
  <si>
    <t>陈俊明</t>
  </si>
  <si>
    <t>220106112</t>
  </si>
  <si>
    <t>闻璋</t>
  </si>
  <si>
    <t>220106113</t>
  </si>
  <si>
    <t>刘海</t>
  </si>
  <si>
    <t>220106114</t>
  </si>
  <si>
    <t>季明伟</t>
  </si>
  <si>
    <t>220106115</t>
  </si>
  <si>
    <t>刘芫宏</t>
  </si>
  <si>
    <t>220106116</t>
  </si>
  <si>
    <t>李云伟</t>
  </si>
  <si>
    <t>220106117</t>
  </si>
  <si>
    <t>黄立平</t>
  </si>
  <si>
    <t>220106118</t>
  </si>
  <si>
    <t>黄佳南</t>
  </si>
  <si>
    <t>220106119</t>
  </si>
  <si>
    <t>王栋</t>
  </si>
  <si>
    <t>220106120</t>
  </si>
  <si>
    <t>庞思民</t>
  </si>
  <si>
    <t>220106121</t>
  </si>
  <si>
    <t>高涵</t>
  </si>
  <si>
    <t>220106122</t>
  </si>
  <si>
    <t>谢光宗</t>
  </si>
  <si>
    <t>220106123</t>
  </si>
  <si>
    <t>陈巧玲</t>
  </si>
  <si>
    <t>220106124</t>
  </si>
  <si>
    <t>蒋春宇</t>
  </si>
  <si>
    <t>220106125</t>
  </si>
  <si>
    <t>卢攀</t>
  </si>
  <si>
    <t>220106127</t>
  </si>
  <si>
    <t>廖子豪</t>
  </si>
  <si>
    <t>220106128</t>
  </si>
  <si>
    <t>秦浩</t>
  </si>
  <si>
    <t>220106129</t>
  </si>
  <si>
    <t>阳文杰</t>
  </si>
  <si>
    <t>220106130</t>
  </si>
  <si>
    <t>陈康</t>
  </si>
  <si>
    <t>220106131</t>
  </si>
  <si>
    <t>段海潮</t>
  </si>
  <si>
    <t>220106132</t>
  </si>
  <si>
    <t>周艺</t>
  </si>
  <si>
    <t>220106133</t>
  </si>
  <si>
    <t>屈洪华</t>
  </si>
  <si>
    <t>220106134</t>
  </si>
  <si>
    <t>魏松灵</t>
  </si>
  <si>
    <t>220106135</t>
  </si>
  <si>
    <t>孙茂银</t>
  </si>
  <si>
    <t>220106136</t>
  </si>
  <si>
    <t>钟凯</t>
  </si>
  <si>
    <t>220106137</t>
  </si>
  <si>
    <t>龚代亿</t>
  </si>
  <si>
    <t>220106138</t>
  </si>
  <si>
    <t>陈子俊</t>
  </si>
  <si>
    <t>220106139</t>
  </si>
  <si>
    <t>杨鑫萍</t>
  </si>
  <si>
    <t>220106140</t>
  </si>
  <si>
    <t>刘天祥</t>
  </si>
  <si>
    <t>220106141</t>
  </si>
  <si>
    <t>王俊力</t>
  </si>
  <si>
    <t>220106142</t>
  </si>
  <si>
    <t>张昊洋</t>
  </si>
  <si>
    <t>220106144</t>
  </si>
  <si>
    <t>黄智</t>
  </si>
  <si>
    <t>220106145</t>
  </si>
  <si>
    <t>刘文彬</t>
  </si>
  <si>
    <t>220106146</t>
  </si>
  <si>
    <t>张小萍</t>
  </si>
  <si>
    <t>220106147</t>
  </si>
  <si>
    <t>贾世宏</t>
  </si>
  <si>
    <t>220106148</t>
  </si>
  <si>
    <t>谢帅</t>
  </si>
  <si>
    <t>220106149</t>
  </si>
  <si>
    <t>曾海</t>
  </si>
  <si>
    <t>220106150</t>
  </si>
  <si>
    <t>罗萧</t>
  </si>
  <si>
    <t>220106151</t>
  </si>
  <si>
    <t>王学扬</t>
  </si>
  <si>
    <t>220106152</t>
  </si>
  <si>
    <t>吴正浩</t>
  </si>
  <si>
    <t>220106153</t>
  </si>
  <si>
    <t>陆思娅</t>
  </si>
  <si>
    <t>220106154</t>
  </si>
  <si>
    <t>朱喆怡</t>
  </si>
  <si>
    <t>220106155</t>
  </si>
  <si>
    <t>罗涛</t>
  </si>
  <si>
    <t>220106156</t>
  </si>
  <si>
    <t>胡森</t>
  </si>
  <si>
    <t>220106157</t>
  </si>
  <si>
    <t>梁真兴</t>
  </si>
  <si>
    <t>220306159</t>
  </si>
  <si>
    <t>马春昭</t>
  </si>
  <si>
    <t>220507128</t>
  </si>
  <si>
    <t>王莽</t>
  </si>
  <si>
    <t>220515126</t>
  </si>
  <si>
    <t>欧向坤</t>
  </si>
  <si>
    <t>220701112</t>
  </si>
  <si>
    <t>邓林</t>
  </si>
  <si>
    <t>220706117</t>
  </si>
  <si>
    <t>叶瀚枫</t>
  </si>
  <si>
    <t>220706138</t>
  </si>
  <si>
    <t>王丽佳</t>
  </si>
  <si>
    <t>220910127</t>
  </si>
  <si>
    <t>罗章成</t>
  </si>
  <si>
    <t>220910131</t>
  </si>
  <si>
    <t>唐晓晴</t>
  </si>
  <si>
    <t>221307136</t>
  </si>
  <si>
    <t>肖杰文</t>
  </si>
  <si>
    <t>课程目标间接评价</t>
  </si>
  <si>
    <r>
      <rPr>
        <sz val="12"/>
        <rFont val="宋体"/>
        <charset val="134"/>
      </rPr>
      <t>班级：</t>
    </r>
  </si>
  <si>
    <r>
      <rPr>
        <sz val="12"/>
        <rFont val="宋体"/>
        <charset val="134"/>
      </rPr>
      <t>任课教师：</t>
    </r>
  </si>
  <si>
    <r>
      <rPr>
        <sz val="12"/>
        <rFont val="宋体"/>
        <charset val="134"/>
      </rPr>
      <t>学生问卷调查结果</t>
    </r>
  </si>
  <si>
    <r>
      <rPr>
        <sz val="12"/>
        <rFont val="Times New Roman"/>
        <charset val="134"/>
      </rPr>
      <t>(</t>
    </r>
    <r>
      <rPr>
        <sz val="12"/>
        <rFont val="宋体"/>
        <charset val="134"/>
      </rPr>
      <t>单位：人</t>
    </r>
    <r>
      <rPr>
        <sz val="12"/>
        <rFont val="Times New Roman"/>
        <charset val="134"/>
      </rPr>
      <t>)</t>
    </r>
  </si>
  <si>
    <r>
      <rPr>
        <sz val="12"/>
        <rFont val="宋体"/>
        <charset val="134"/>
      </rPr>
      <t>占比</t>
    </r>
  </si>
  <si>
    <r>
      <rPr>
        <sz val="12"/>
        <rFont val="宋体"/>
        <charset val="134"/>
      </rPr>
      <t>课程目标</t>
    </r>
  </si>
  <si>
    <r>
      <rPr>
        <sz val="12"/>
        <rFont val="宋体"/>
        <charset val="134"/>
      </rPr>
      <t>完全达成（</t>
    </r>
    <r>
      <rPr>
        <sz val="12"/>
        <rFont val="Times New Roman"/>
        <charset val="134"/>
      </rPr>
      <t>A</t>
    </r>
    <r>
      <rPr>
        <sz val="12"/>
        <rFont val="宋体"/>
        <charset val="134"/>
      </rPr>
      <t>）</t>
    </r>
  </si>
  <si>
    <r>
      <rPr>
        <sz val="12"/>
        <rFont val="宋体"/>
        <charset val="134"/>
      </rPr>
      <t>达成（</t>
    </r>
    <r>
      <rPr>
        <sz val="12"/>
        <rFont val="Times New Roman"/>
        <charset val="134"/>
      </rPr>
      <t>B</t>
    </r>
    <r>
      <rPr>
        <sz val="12"/>
        <rFont val="宋体"/>
        <charset val="134"/>
      </rPr>
      <t>）</t>
    </r>
  </si>
  <si>
    <r>
      <rPr>
        <sz val="12"/>
        <rFont val="宋体"/>
        <charset val="134"/>
      </rPr>
      <t>基本达成（</t>
    </r>
    <r>
      <rPr>
        <sz val="12"/>
        <rFont val="Times New Roman"/>
        <charset val="134"/>
      </rPr>
      <t>C</t>
    </r>
    <r>
      <rPr>
        <sz val="12"/>
        <rFont val="宋体"/>
        <charset val="134"/>
      </rPr>
      <t>）</t>
    </r>
  </si>
  <si>
    <r>
      <rPr>
        <sz val="12"/>
        <rFont val="宋体"/>
        <charset val="134"/>
      </rPr>
      <t>较低达成（</t>
    </r>
    <r>
      <rPr>
        <sz val="12"/>
        <rFont val="Times New Roman"/>
        <charset val="134"/>
      </rPr>
      <t>D</t>
    </r>
    <r>
      <rPr>
        <sz val="12"/>
        <rFont val="宋体"/>
        <charset val="134"/>
      </rPr>
      <t>）</t>
    </r>
  </si>
  <si>
    <r>
      <rPr>
        <sz val="12"/>
        <rFont val="宋体"/>
        <charset val="134"/>
      </rPr>
      <t>未达成（</t>
    </r>
    <r>
      <rPr>
        <sz val="12"/>
        <rFont val="Times New Roman"/>
        <charset val="134"/>
      </rPr>
      <t>E</t>
    </r>
    <r>
      <rPr>
        <sz val="12"/>
        <rFont val="宋体"/>
        <charset val="134"/>
      </rPr>
      <t>）</t>
    </r>
  </si>
  <si>
    <t>达成度</t>
  </si>
  <si>
    <r>
      <rPr>
        <sz val="12"/>
        <rFont val="宋体"/>
        <charset val="134"/>
      </rPr>
      <t>赋值</t>
    </r>
    <r>
      <rPr>
        <sz val="12"/>
        <rFont val="Times New Roman"/>
        <charset val="134"/>
      </rPr>
      <t>1</t>
    </r>
  </si>
  <si>
    <r>
      <rPr>
        <sz val="12"/>
        <rFont val="宋体"/>
        <charset val="134"/>
      </rPr>
      <t>赋值</t>
    </r>
    <r>
      <rPr>
        <sz val="12"/>
        <rFont val="Times New Roman"/>
        <charset val="134"/>
      </rPr>
      <t>0.8</t>
    </r>
  </si>
  <si>
    <r>
      <rPr>
        <sz val="12"/>
        <rFont val="宋体"/>
        <charset val="134"/>
      </rPr>
      <t>赋值</t>
    </r>
    <r>
      <rPr>
        <sz val="12"/>
        <rFont val="Times New Roman"/>
        <charset val="134"/>
      </rPr>
      <t>0.6</t>
    </r>
  </si>
  <si>
    <r>
      <rPr>
        <sz val="12"/>
        <rFont val="宋体"/>
        <charset val="134"/>
      </rPr>
      <t>赋值</t>
    </r>
    <r>
      <rPr>
        <sz val="12"/>
        <rFont val="Times New Roman"/>
        <charset val="134"/>
      </rPr>
      <t>0.4</t>
    </r>
  </si>
  <si>
    <r>
      <rPr>
        <sz val="12"/>
        <rFont val="宋体"/>
        <charset val="134"/>
      </rPr>
      <t>赋值</t>
    </r>
    <r>
      <rPr>
        <sz val="12"/>
        <rFont val="Times New Roman"/>
        <charset val="134"/>
      </rPr>
      <t>0.2</t>
    </r>
  </si>
  <si>
    <r>
      <rPr>
        <sz val="12"/>
        <rFont val="宋体"/>
        <charset val="134"/>
      </rPr>
      <t>课程目标</t>
    </r>
    <r>
      <rPr>
        <sz val="12"/>
        <rFont val="Times New Roman"/>
        <charset val="134"/>
      </rPr>
      <t>1</t>
    </r>
  </si>
  <si>
    <r>
      <rPr>
        <sz val="12"/>
        <rFont val="宋体"/>
        <charset val="134"/>
      </rPr>
      <t>课程目标</t>
    </r>
    <r>
      <rPr>
        <sz val="12"/>
        <rFont val="Times New Roman"/>
        <charset val="134"/>
      </rPr>
      <t>2</t>
    </r>
  </si>
  <si>
    <r>
      <rPr>
        <sz val="12"/>
        <rFont val="宋体"/>
        <charset val="134"/>
      </rPr>
      <t>课程目标</t>
    </r>
    <r>
      <rPr>
        <sz val="12"/>
        <rFont val="Times New Roman"/>
        <charset val="134"/>
      </rPr>
      <t>3</t>
    </r>
  </si>
  <si>
    <r>
      <rPr>
        <sz val="12"/>
        <rFont val="宋体"/>
        <charset val="134"/>
      </rPr>
      <t>课程目标</t>
    </r>
    <r>
      <rPr>
        <sz val="12"/>
        <rFont val="Times New Roman"/>
        <charset val="134"/>
      </rPr>
      <t>4</t>
    </r>
  </si>
  <si>
    <r>
      <rPr>
        <sz val="12"/>
        <rFont val="宋体"/>
        <charset val="134"/>
      </rPr>
      <t>课程目标</t>
    </r>
    <r>
      <rPr>
        <sz val="12"/>
        <rFont val="Times New Roman"/>
        <charset val="134"/>
      </rPr>
      <t>5</t>
    </r>
  </si>
  <si>
    <r>
      <rPr>
        <sz val="12"/>
        <rFont val="宋体"/>
        <charset val="134"/>
      </rPr>
      <t>课程目标</t>
    </r>
    <r>
      <rPr>
        <sz val="12"/>
        <rFont val="Times New Roman"/>
        <charset val="134"/>
      </rPr>
      <t>6</t>
    </r>
  </si>
  <si>
    <r>
      <rPr>
        <sz val="12"/>
        <rFont val="宋体"/>
        <charset val="134"/>
      </rPr>
      <t>课程目标</t>
    </r>
    <r>
      <rPr>
        <sz val="12"/>
        <rFont val="Times New Roman"/>
        <charset val="134"/>
      </rPr>
      <t>7</t>
    </r>
  </si>
  <si>
    <r>
      <rPr>
        <sz val="12"/>
        <rFont val="宋体"/>
        <charset val="134"/>
      </rPr>
      <t>课程目标间接评价结果</t>
    </r>
  </si>
  <si>
    <r>
      <rPr>
        <sz val="12"/>
        <rFont val="宋体"/>
        <charset val="134"/>
      </rPr>
      <t>评价主体</t>
    </r>
  </si>
  <si>
    <t>课程目标达成度评价报告</t>
  </si>
  <si>
    <t xml:space="preserve">           毕业要求  课程目标</t>
  </si>
  <si>
    <t xml:space="preserve">   评价
   方式                                                                                                                                                                                                                                                                                                       课程     分目标</t>
  </si>
  <si>
    <t>四、考试试题对应课程分目标</t>
  </si>
  <si>
    <t>五、课程目标达成度评价结果</t>
  </si>
  <si>
    <t>评价方式及比例</t>
  </si>
  <si>
    <t>实际
平均分</t>
  </si>
  <si>
    <t>分目标
权重</t>
  </si>
  <si>
    <t>目标
达成度</t>
  </si>
  <si>
    <t>课程总目标综合评价达成度：</t>
  </si>
  <si>
    <t>六、课程分析与改进措施</t>
  </si>
  <si>
    <t>（一）课程分析。（主要对课程目标、课程内容、目标实现途径、评价依据、评价方式的合理性进行分析；对学生的课堂学习投入、学习成果或考试成绩进行分析。）</t>
  </si>
  <si>
    <t>直接评价学生在各课程目标达成度散点图</t>
  </si>
  <si>
    <r>
      <rPr>
        <b/>
        <sz val="12"/>
        <color rgb="FF0033CC"/>
        <rFont val="仿宋"/>
        <charset val="134"/>
      </rPr>
      <t xml:space="preserve">   </t>
    </r>
    <r>
      <rPr>
        <b/>
        <sz val="12"/>
        <color rgb="FFFF0000"/>
        <rFont val="仿宋"/>
        <charset val="134"/>
      </rPr>
      <t xml:space="preserve">  从目标达成度计算结果来看，课程目标1、4的达成度最高，课程目标3,5的达成度次之，课程目标2的达成度最低，反映出学生对基本概念、SQL语言和关键环节等知识掌握较好，对于综合分析设计能力相对较差。从课程总目标达成度来看，课程总目标达成度高于期望值（0.7），通过本学期的教学，学生整体达到了课程目标要求。</t>
    </r>
    <r>
      <rPr>
        <b/>
        <sz val="12"/>
        <color rgb="FF0033CC"/>
        <rFont val="仿宋"/>
        <charset val="134"/>
      </rPr>
      <t xml:space="preserve">
    </t>
    </r>
  </si>
  <si>
    <t>（二）改进措施</t>
  </si>
  <si>
    <t xml:space="preserve">   在今后的教学过程中需要进行以下几方面的改进，进一步提升学生综合解题分析能力：
1.教学方法上：多采用学生能够接受的教学方式和教学形式进行，教会学生如何提升思维能力。
2.教学内容上：针对学生知识点掌握的薄弱点，多进行训练和讲解，特别是多举例让学生掌握。
3.教学管理上：成立教学小组，让各小组长成为教学助手，监督不能及时跟进学习进度的同学，互助共进。
4.教学评价上：从多角度、多方面进行课程考核，注重过程考核，多方评价。</t>
  </si>
  <si>
    <t>七、其它相关说明</t>
  </si>
  <si>
    <t>（一）对不适合做量化计算的课程进行说明。</t>
  </si>
  <si>
    <t>（二）对选课但未参与评价学生情况进行说明。</t>
  </si>
  <si>
    <t>（三）其它需要说明的情况。</t>
  </si>
  <si>
    <t>基于直接评价的学生课程目标达成度</t>
  </si>
  <si>
    <t xml:space="preserve">          
          课程信息
学生信息</t>
  </si>
  <si>
    <t>课程分目标</t>
  </si>
  <si>
    <t>评价方式1</t>
  </si>
  <si>
    <t>评价方式2</t>
  </si>
  <si>
    <t>评价方式3</t>
  </si>
  <si>
    <t>评价方式4</t>
  </si>
  <si>
    <t>评价方式5</t>
  </si>
  <si>
    <t>分目标达成度</t>
  </si>
  <si>
    <t>总目标达成度</t>
  </si>
  <si>
    <t xml:space="preserve">   平均达
     成度
姓名</t>
  </si>
  <si>
    <t>总目标</t>
  </si>
  <si>
    <t>期望值</t>
  </si>
  <si>
    <t>平均达成度</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</si>
</sst>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 numFmtId="177" formatCode="0_ "/>
    <numFmt numFmtId="178" formatCode="0_);[Red]\(0\)"/>
  </numFmts>
  <fonts count="64">
    <font>
      <sz val="11"/>
      <color theme="1"/>
      <name val="宋体"/>
      <charset val="134"/>
      <scheme val="minor"/>
    </font>
    <font>
      <b/>
      <sz val="11"/>
      <color theme="1"/>
      <name val="FangSong"/>
      <charset val="134"/>
    </font>
    <font>
      <sz val="11"/>
      <color indexed="8"/>
      <name val="宋体"/>
      <charset val="134"/>
      <scheme val="minor"/>
    </font>
    <font>
      <b/>
      <sz val="18"/>
      <color rgb="FF000000"/>
      <name val="黑体"/>
      <charset val="134"/>
    </font>
    <font>
      <b/>
      <sz val="12"/>
      <color theme="1"/>
      <name val="仿宋"/>
      <charset val="134"/>
    </font>
    <font>
      <b/>
      <sz val="12"/>
      <color rgb="FF000000"/>
      <name val="仿宋"/>
      <charset val="134"/>
    </font>
    <font>
      <b/>
      <sz val="12"/>
      <color rgb="FFFF0000"/>
      <name val="仿宋"/>
      <charset val="134"/>
    </font>
    <font>
      <b/>
      <sz val="11"/>
      <color theme="1"/>
      <name val="宋体"/>
      <charset val="134"/>
      <scheme val="minor"/>
    </font>
    <font>
      <b/>
      <sz val="11"/>
      <color rgb="FFFF0000"/>
      <name val="宋体"/>
      <charset val="134"/>
      <scheme val="minor"/>
    </font>
    <font>
      <sz val="10.5"/>
      <color theme="1"/>
      <name val="等线"/>
      <charset val="134"/>
    </font>
    <font>
      <sz val="11"/>
      <color rgb="FFFF0000"/>
      <name val="宋体"/>
      <charset val="134"/>
      <scheme val="minor"/>
    </font>
    <font>
      <sz val="16"/>
      <color theme="1"/>
      <name val="黑体"/>
      <charset val="134"/>
    </font>
    <font>
      <sz val="12"/>
      <color theme="1"/>
      <name val="黑体"/>
      <charset val="134"/>
    </font>
    <font>
      <b/>
      <sz val="12"/>
      <name val="仿宋"/>
      <charset val="134"/>
    </font>
    <font>
      <sz val="10"/>
      <color theme="1"/>
      <name val="仿宋"/>
      <charset val="134"/>
    </font>
    <font>
      <b/>
      <sz val="11"/>
      <name val="宋体"/>
      <charset val="134"/>
      <scheme val="minor"/>
    </font>
    <font>
      <b/>
      <sz val="11"/>
      <color theme="1"/>
      <name val="仿宋"/>
      <charset val="134"/>
    </font>
    <font>
      <b/>
      <sz val="14"/>
      <color theme="1"/>
      <name val="仿宋"/>
      <charset val="134"/>
    </font>
    <font>
      <b/>
      <sz val="12"/>
      <color rgb="FF0033CC"/>
      <name val="仿宋"/>
      <charset val="134"/>
    </font>
    <font>
      <sz val="12"/>
      <color theme="1"/>
      <name val="仿宋"/>
      <charset val="134"/>
    </font>
    <font>
      <sz val="20"/>
      <name val="黑体"/>
      <charset val="134"/>
    </font>
    <font>
      <sz val="12"/>
      <name val="宋体"/>
      <charset val="134"/>
    </font>
    <font>
      <sz val="12"/>
      <name val="Times New Roman"/>
      <charset val="134"/>
    </font>
    <font>
      <sz val="16"/>
      <name val="Times New Roman"/>
      <charset val="134"/>
    </font>
    <font>
      <sz val="12"/>
      <color rgb="FF0033CC"/>
      <name val="Times New Roman"/>
      <charset val="134"/>
    </font>
    <font>
      <sz val="12"/>
      <color rgb="FF0515EB"/>
      <name val="Times New Roman"/>
      <charset val="134"/>
    </font>
    <font>
      <b/>
      <sz val="20"/>
      <color theme="1"/>
      <name val="黑体"/>
      <charset val="134"/>
    </font>
    <font>
      <sz val="11"/>
      <name val="宋体"/>
      <charset val="134"/>
      <scheme val="minor"/>
    </font>
    <font>
      <sz val="11"/>
      <color rgb="FF0033CC"/>
      <name val="宋体"/>
      <charset val="134"/>
      <scheme val="minor"/>
    </font>
    <font>
      <b/>
      <sz val="11"/>
      <color rgb="FF001ECC"/>
      <name val="仿宋"/>
      <charset val="134"/>
    </font>
    <font>
      <sz val="12"/>
      <color rgb="FFFF0000"/>
      <name val="宋体"/>
      <charset val="134"/>
      <scheme val="minor"/>
    </font>
    <font>
      <sz val="12"/>
      <color theme="1"/>
      <name val="宋体"/>
      <charset val="134"/>
      <scheme val="minor"/>
    </font>
    <font>
      <sz val="11"/>
      <color rgb="FF0070C0"/>
      <name val="宋体"/>
      <charset val="134"/>
      <scheme val="minor"/>
    </font>
    <font>
      <sz val="10"/>
      <color rgb="FF0033CC"/>
      <name val="宋体"/>
      <charset val="134"/>
      <scheme val="minor"/>
    </font>
    <font>
      <b/>
      <sz val="14"/>
      <color rgb="FFFF0000"/>
      <name val="宋体"/>
      <charset val="134"/>
    </font>
    <font>
      <b/>
      <sz val="9"/>
      <color rgb="FFFF0000"/>
      <name val="宋体"/>
      <charset val="134"/>
    </font>
    <font>
      <b/>
      <sz val="14"/>
      <name val="仿宋"/>
      <charset val="134"/>
    </font>
    <font>
      <b/>
      <sz val="8"/>
      <color rgb="FFFF0000"/>
      <name val="宋体"/>
      <charset val="134"/>
      <scheme val="minor"/>
    </font>
    <font>
      <b/>
      <sz val="12"/>
      <color theme="5"/>
      <name val="宋体"/>
      <charset val="134"/>
      <scheme val="minor"/>
    </font>
    <font>
      <b/>
      <sz val="12"/>
      <color theme="3"/>
      <name val="仿宋"/>
      <charset val="134"/>
    </font>
    <font>
      <b/>
      <sz val="11"/>
      <color rgb="FF0033CC"/>
      <name val="宋体"/>
      <charset val="134"/>
      <scheme val="minor"/>
    </font>
    <font>
      <b/>
      <sz val="11"/>
      <color rgb="FF0033CC"/>
      <name val="仿宋"/>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2"/>
      <color rgb="FFFF0000"/>
      <name val="宋体"/>
      <charset val="134"/>
      <scheme val="minor"/>
    </font>
    <font>
      <b/>
      <sz val="12"/>
      <color theme="1"/>
      <name val="宋体"/>
      <charset val="134"/>
      <scheme val="minor"/>
    </font>
    <font>
      <b/>
      <sz val="12"/>
      <color rgb="FF0033CC"/>
      <name val="宋体"/>
      <charset val="134"/>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9">
    <border>
      <left/>
      <right/>
      <top/>
      <bottom/>
      <diagonal/>
    </border>
    <border>
      <left style="thin">
        <color auto="1"/>
      </left>
      <right style="thin">
        <color auto="1"/>
      </right>
      <top style="thin">
        <color auto="1"/>
      </top>
      <bottom/>
      <diagonal/>
    </border>
    <border diagonalDown="1">
      <left style="thin">
        <color auto="1"/>
      </left>
      <right style="thin">
        <color auto="1"/>
      </right>
      <top style="thin">
        <color auto="1"/>
      </top>
      <bottom/>
      <diagonal style="thin">
        <color auto="1"/>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diagonalDown="1">
      <left style="thin">
        <color auto="1"/>
      </left>
      <right style="thin">
        <color auto="1"/>
      </right>
      <top/>
      <bottom style="thin">
        <color auto="1"/>
      </bottom>
      <diagonal style="thin">
        <color auto="1"/>
      </diagonal>
    </border>
    <border diagonalDown="1">
      <left style="thin">
        <color auto="1"/>
      </left>
      <right style="thin">
        <color auto="1"/>
      </right>
      <top style="thin">
        <color auto="1"/>
      </top>
      <bottom style="thin">
        <color auto="1"/>
      </bottom>
      <diagonal style="thin">
        <color auto="1"/>
      </diagonal>
    </border>
    <border>
      <left style="thin">
        <color auto="1"/>
      </left>
      <right style="thin">
        <color auto="1"/>
      </right>
      <top/>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2"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0" fillId="2" borderId="21" applyNumberFormat="0" applyFont="0" applyAlignment="0" applyProtection="0">
      <alignment vertical="center"/>
    </xf>
    <xf numFmtId="0" fontId="44"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47" fillId="0" borderId="22" applyNumberFormat="0" applyFill="0" applyAlignment="0" applyProtection="0">
      <alignment vertical="center"/>
    </xf>
    <xf numFmtId="0" fontId="48" fillId="0" borderId="22" applyNumberFormat="0" applyFill="0" applyAlignment="0" applyProtection="0">
      <alignment vertical="center"/>
    </xf>
    <xf numFmtId="0" fontId="49" fillId="0" borderId="23" applyNumberFormat="0" applyFill="0" applyAlignment="0" applyProtection="0">
      <alignment vertical="center"/>
    </xf>
    <xf numFmtId="0" fontId="49" fillId="0" borderId="0" applyNumberFormat="0" applyFill="0" applyBorder="0" applyAlignment="0" applyProtection="0">
      <alignment vertical="center"/>
    </xf>
    <xf numFmtId="0" fontId="50" fillId="3" borderId="24" applyNumberFormat="0" applyAlignment="0" applyProtection="0">
      <alignment vertical="center"/>
    </xf>
    <xf numFmtId="0" fontId="51" fillId="4" borderId="25" applyNumberFormat="0" applyAlignment="0" applyProtection="0">
      <alignment vertical="center"/>
    </xf>
    <xf numFmtId="0" fontId="52" fillId="4" borderId="24" applyNumberFormat="0" applyAlignment="0" applyProtection="0">
      <alignment vertical="center"/>
    </xf>
    <xf numFmtId="0" fontId="53" fillId="5" borderId="26" applyNumberFormat="0" applyAlignment="0" applyProtection="0">
      <alignment vertical="center"/>
    </xf>
    <xf numFmtId="0" fontId="54" fillId="0" borderId="27" applyNumberFormat="0" applyFill="0" applyAlignment="0" applyProtection="0">
      <alignment vertical="center"/>
    </xf>
    <xf numFmtId="0" fontId="55" fillId="0" borderId="28" applyNumberFormat="0" applyFill="0" applyAlignment="0" applyProtection="0">
      <alignment vertical="center"/>
    </xf>
    <xf numFmtId="0" fontId="56" fillId="6" borderId="0" applyNumberFormat="0" applyBorder="0" applyAlignment="0" applyProtection="0">
      <alignment vertical="center"/>
    </xf>
    <xf numFmtId="0" fontId="57" fillId="7" borderId="0" applyNumberFormat="0" applyBorder="0" applyAlignment="0" applyProtection="0">
      <alignment vertical="center"/>
    </xf>
    <xf numFmtId="0" fontId="58" fillId="8" borderId="0" applyNumberFormat="0" applyBorder="0" applyAlignment="0" applyProtection="0">
      <alignment vertical="center"/>
    </xf>
    <xf numFmtId="0" fontId="59" fillId="9" borderId="0" applyNumberFormat="0" applyBorder="0" applyAlignment="0" applyProtection="0">
      <alignment vertical="center"/>
    </xf>
    <xf numFmtId="0" fontId="60" fillId="10" borderId="0" applyNumberFormat="0" applyBorder="0" applyAlignment="0" applyProtection="0">
      <alignment vertical="center"/>
    </xf>
    <xf numFmtId="0" fontId="60" fillId="11" borderId="0" applyNumberFormat="0" applyBorder="0" applyAlignment="0" applyProtection="0">
      <alignment vertical="center"/>
    </xf>
    <xf numFmtId="0" fontId="59" fillId="12" borderId="0" applyNumberFormat="0" applyBorder="0" applyAlignment="0" applyProtection="0">
      <alignment vertical="center"/>
    </xf>
    <xf numFmtId="0" fontId="59" fillId="13" borderId="0" applyNumberFormat="0" applyBorder="0" applyAlignment="0" applyProtection="0">
      <alignment vertical="center"/>
    </xf>
    <xf numFmtId="0" fontId="60" fillId="14" borderId="0" applyNumberFormat="0" applyBorder="0" applyAlignment="0" applyProtection="0">
      <alignment vertical="center"/>
    </xf>
    <xf numFmtId="0" fontId="60" fillId="15" borderId="0" applyNumberFormat="0" applyBorder="0" applyAlignment="0" applyProtection="0">
      <alignment vertical="center"/>
    </xf>
    <xf numFmtId="0" fontId="59" fillId="16" borderId="0" applyNumberFormat="0" applyBorder="0" applyAlignment="0" applyProtection="0">
      <alignment vertical="center"/>
    </xf>
    <xf numFmtId="0" fontId="59" fillId="17" borderId="0" applyNumberFormat="0" applyBorder="0" applyAlignment="0" applyProtection="0">
      <alignment vertical="center"/>
    </xf>
    <xf numFmtId="0" fontId="60" fillId="18" borderId="0" applyNumberFormat="0" applyBorder="0" applyAlignment="0" applyProtection="0">
      <alignment vertical="center"/>
    </xf>
    <xf numFmtId="0" fontId="60" fillId="19" borderId="0" applyNumberFormat="0" applyBorder="0" applyAlignment="0" applyProtection="0">
      <alignment vertical="center"/>
    </xf>
    <xf numFmtId="0" fontId="59" fillId="20" borderId="0" applyNumberFormat="0" applyBorder="0" applyAlignment="0" applyProtection="0">
      <alignment vertical="center"/>
    </xf>
    <xf numFmtId="0" fontId="59" fillId="21" borderId="0" applyNumberFormat="0" applyBorder="0" applyAlignment="0" applyProtection="0">
      <alignment vertical="center"/>
    </xf>
    <xf numFmtId="0" fontId="60" fillId="22" borderId="0" applyNumberFormat="0" applyBorder="0" applyAlignment="0" applyProtection="0">
      <alignment vertical="center"/>
    </xf>
    <xf numFmtId="0" fontId="60" fillId="23" borderId="0" applyNumberFormat="0" applyBorder="0" applyAlignment="0" applyProtection="0">
      <alignment vertical="center"/>
    </xf>
    <xf numFmtId="0" fontId="59" fillId="24" borderId="0" applyNumberFormat="0" applyBorder="0" applyAlignment="0" applyProtection="0">
      <alignment vertical="center"/>
    </xf>
    <xf numFmtId="0" fontId="59" fillId="25" borderId="0" applyNumberFormat="0" applyBorder="0" applyAlignment="0" applyProtection="0">
      <alignment vertical="center"/>
    </xf>
    <xf numFmtId="0" fontId="60" fillId="26" borderId="0" applyNumberFormat="0" applyBorder="0" applyAlignment="0" applyProtection="0">
      <alignment vertical="center"/>
    </xf>
    <xf numFmtId="0" fontId="60" fillId="27" borderId="0" applyNumberFormat="0" applyBorder="0" applyAlignment="0" applyProtection="0">
      <alignment vertical="center"/>
    </xf>
    <xf numFmtId="0" fontId="59" fillId="28" borderId="0" applyNumberFormat="0" applyBorder="0" applyAlignment="0" applyProtection="0">
      <alignment vertical="center"/>
    </xf>
    <xf numFmtId="0" fontId="59" fillId="29" borderId="0" applyNumberFormat="0" applyBorder="0" applyAlignment="0" applyProtection="0">
      <alignment vertical="center"/>
    </xf>
    <xf numFmtId="0" fontId="60" fillId="30" borderId="0" applyNumberFormat="0" applyBorder="0" applyAlignment="0" applyProtection="0">
      <alignment vertical="center"/>
    </xf>
    <xf numFmtId="0" fontId="60" fillId="31" borderId="0" applyNumberFormat="0" applyBorder="0" applyAlignment="0" applyProtection="0">
      <alignment vertical="center"/>
    </xf>
    <xf numFmtId="0" fontId="59" fillId="32" borderId="0" applyNumberFormat="0" applyBorder="0" applyAlignment="0" applyProtection="0">
      <alignment vertical="center"/>
    </xf>
  </cellStyleXfs>
  <cellXfs count="196">
    <xf numFmtId="0" fontId="0" fillId="0" borderId="0" xfId="0">
      <alignment vertical="center"/>
    </xf>
    <xf numFmtId="0" fontId="0" fillId="0" borderId="1" xfId="0" applyBorder="1" applyAlignment="1">
      <alignment horizontal="center" vertical="center"/>
    </xf>
    <xf numFmtId="0" fontId="1" fillId="0" borderId="2" xfId="0" applyFont="1" applyBorder="1" applyAlignment="1">
      <alignment horizontal="left" vertical="top" wrapText="1"/>
    </xf>
    <xf numFmtId="0" fontId="0" fillId="0" borderId="3" xfId="0" applyBorder="1" applyAlignment="1">
      <alignment horizontal="center" vertical="center"/>
    </xf>
    <xf numFmtId="0" fontId="0" fillId="0" borderId="4" xfId="0" applyBorder="1" applyAlignment="1">
      <alignment horizontal="center" vertical="center"/>
    </xf>
    <xf numFmtId="0" fontId="1" fillId="0" borderId="5" xfId="0" applyFont="1" applyBorder="1" applyAlignment="1">
      <alignment horizontal="left" vertical="top" wrapText="1"/>
    </xf>
    <xf numFmtId="176" fontId="0" fillId="0" borderId="3" xfId="0" applyNumberFormat="1" applyBorder="1" applyAlignment="1">
      <alignment horizontal="center" vertical="center"/>
    </xf>
    <xf numFmtId="0" fontId="0" fillId="0" borderId="3" xfId="0" applyBorder="1">
      <alignment vertical="center"/>
    </xf>
    <xf numFmtId="0" fontId="2" fillId="0" borderId="3" xfId="0" applyFont="1" applyBorder="1" applyAlignment="1">
      <alignment horizontal="centerContinuous" vertical="center"/>
    </xf>
    <xf numFmtId="0" fontId="2" fillId="0" borderId="3" xfId="0" applyFont="1" applyBorder="1" applyAlignment="1">
      <alignment horizontal="centerContinuous" vertical="top"/>
    </xf>
    <xf numFmtId="0" fontId="0" fillId="0" borderId="0" xfId="0" applyAlignment="1">
      <alignment horizontal="center" vertical="center"/>
    </xf>
    <xf numFmtId="176" fontId="0" fillId="0" borderId="0" xfId="0" applyNumberFormat="1" applyAlignment="1">
      <alignment horizontal="center" vertical="center"/>
    </xf>
    <xf numFmtId="0" fontId="3" fillId="0" borderId="0" xfId="0" applyFont="1" applyAlignment="1" applyProtection="1">
      <alignment horizontal="center" vertical="center"/>
      <protection locked="0" hidden="1"/>
    </xf>
    <xf numFmtId="0" fontId="4" fillId="0" borderId="6" xfId="0" applyFont="1" applyBorder="1" applyAlignment="1" applyProtection="1">
      <alignment horizontal="left" vertical="top" wrapText="1"/>
      <protection locked="0" hidden="1"/>
    </xf>
    <xf numFmtId="0" fontId="4" fillId="0" borderId="6" xfId="0" applyFont="1" applyBorder="1" applyAlignment="1" applyProtection="1">
      <alignment horizontal="left" vertical="top"/>
      <protection locked="0" hidden="1"/>
    </xf>
    <xf numFmtId="0" fontId="5" fillId="0" borderId="3" xfId="0" applyFont="1" applyBorder="1" applyAlignment="1" applyProtection="1">
      <alignment horizontal="center" vertical="center" wrapText="1"/>
      <protection locked="0" hidden="1"/>
    </xf>
    <xf numFmtId="9" fontId="6" fillId="0" borderId="3" xfId="0" applyNumberFormat="1" applyFont="1" applyBorder="1" applyAlignment="1" applyProtection="1">
      <alignment horizontal="center" vertical="center" wrapText="1"/>
      <protection locked="0" hidden="1"/>
    </xf>
    <xf numFmtId="0" fontId="0" fillId="0" borderId="1" xfId="0" applyBorder="1" applyAlignment="1" applyProtection="1">
      <alignment horizontal="center" vertical="center"/>
      <protection locked="0" hidden="1"/>
    </xf>
    <xf numFmtId="0" fontId="0" fillId="0" borderId="3" xfId="0" applyBorder="1" applyAlignment="1" applyProtection="1">
      <alignment horizontal="center" vertical="center"/>
      <protection locked="0" hidden="1"/>
    </xf>
    <xf numFmtId="177" fontId="0" fillId="0" borderId="3" xfId="0" applyNumberFormat="1" applyBorder="1" applyAlignment="1" applyProtection="1">
      <alignment horizontal="center" vertical="center"/>
      <protection locked="0" hidden="1"/>
    </xf>
    <xf numFmtId="0" fontId="0" fillId="0" borderId="7" xfId="0" applyBorder="1" applyAlignment="1" applyProtection="1">
      <alignment horizontal="center" vertical="center"/>
      <protection locked="0" hidden="1"/>
    </xf>
    <xf numFmtId="0" fontId="0" fillId="0" borderId="4" xfId="0" applyBorder="1" applyAlignment="1" applyProtection="1">
      <alignment horizontal="center" vertical="center"/>
      <protection locked="0" hidden="1"/>
    </xf>
    <xf numFmtId="0" fontId="7" fillId="0" borderId="3" xfId="0" applyFont="1" applyBorder="1" applyAlignment="1" applyProtection="1">
      <alignment horizontal="center" vertical="center" wrapText="1"/>
      <protection locked="0" hidden="1"/>
    </xf>
    <xf numFmtId="9" fontId="5" fillId="0" borderId="3" xfId="0" applyNumberFormat="1" applyFont="1" applyBorder="1" applyAlignment="1" applyProtection="1">
      <alignment horizontal="center" vertical="center" wrapText="1"/>
      <protection locked="0" hidden="1"/>
    </xf>
    <xf numFmtId="9" fontId="8" fillId="0" borderId="3" xfId="0" applyNumberFormat="1" applyFont="1" applyBorder="1" applyAlignment="1" applyProtection="1">
      <alignment horizontal="center" vertical="center"/>
      <protection locked="0" hidden="1"/>
    </xf>
    <xf numFmtId="176" fontId="0" fillId="0" borderId="3" xfId="0" applyNumberFormat="1" applyBorder="1" applyAlignment="1" applyProtection="1">
      <alignment horizontal="center" vertical="center"/>
      <protection locked="0" hidden="1"/>
    </xf>
    <xf numFmtId="176" fontId="0" fillId="0" borderId="1" xfId="0" applyNumberFormat="1" applyBorder="1" applyAlignment="1" applyProtection="1">
      <alignment horizontal="center" vertical="center"/>
      <protection locked="0" hidden="1"/>
    </xf>
    <xf numFmtId="176" fontId="0" fillId="0" borderId="7" xfId="0" applyNumberFormat="1" applyBorder="1" applyAlignment="1" applyProtection="1">
      <alignment horizontal="center" vertical="center"/>
      <protection locked="0" hidden="1"/>
    </xf>
    <xf numFmtId="0" fontId="9" fillId="0" borderId="0" xfId="0" applyFont="1">
      <alignment vertical="center"/>
    </xf>
    <xf numFmtId="176" fontId="10" fillId="0" borderId="0" xfId="0" applyNumberFormat="1" applyFont="1">
      <alignment vertical="center"/>
    </xf>
    <xf numFmtId="176" fontId="0" fillId="0" borderId="4" xfId="0" applyNumberFormat="1" applyBorder="1" applyAlignment="1" applyProtection="1">
      <alignment horizontal="center" vertical="center"/>
      <protection locked="0" hidden="1"/>
    </xf>
    <xf numFmtId="0" fontId="11" fillId="0" borderId="0" xfId="0" applyFont="1" applyAlignment="1">
      <alignment horizontal="center" vertical="center"/>
    </xf>
    <xf numFmtId="0" fontId="12" fillId="0" borderId="0" xfId="0" applyFont="1" applyAlignment="1">
      <alignment horizontal="left" vertical="center"/>
    </xf>
    <xf numFmtId="0" fontId="4" fillId="0" borderId="3" xfId="0" applyFont="1" applyBorder="1" applyAlignment="1">
      <alignment horizontal="center" vertical="center" wrapText="1"/>
    </xf>
    <xf numFmtId="0" fontId="13" fillId="0" borderId="3" xfId="0" applyFont="1" applyBorder="1" applyAlignment="1">
      <alignment horizontal="center" vertical="center"/>
    </xf>
    <xf numFmtId="0" fontId="4" fillId="0" borderId="6" xfId="0" applyFont="1" applyBorder="1" applyAlignment="1">
      <alignment horizontal="left" vertical="center" wrapText="1"/>
    </xf>
    <xf numFmtId="0" fontId="4" fillId="0" borderId="3" xfId="0" applyFont="1" applyBorder="1" applyAlignment="1">
      <alignment horizontal="center" vertical="center"/>
    </xf>
    <xf numFmtId="0" fontId="4" fillId="0" borderId="1" xfId="0" applyFont="1" applyBorder="1" applyAlignment="1">
      <alignment horizontal="center" vertical="center" textRotation="255" wrapText="1"/>
    </xf>
    <xf numFmtId="0" fontId="4" fillId="0" borderId="8" xfId="0" applyFont="1" applyBorder="1" applyAlignment="1">
      <alignment horizontal="center" vertical="center" wrapText="1"/>
    </xf>
    <xf numFmtId="0" fontId="14" fillId="0" borderId="3" xfId="0" applyFont="1" applyBorder="1" applyAlignment="1">
      <alignment horizontal="center" vertical="center" wrapText="1"/>
    </xf>
    <xf numFmtId="0" fontId="4" fillId="0" borderId="7" xfId="0" applyFont="1" applyBorder="1" applyAlignment="1">
      <alignment horizontal="center" vertical="center" textRotation="255" wrapText="1"/>
    </xf>
    <xf numFmtId="0" fontId="4" fillId="0" borderId="4" xfId="0" applyFont="1" applyBorder="1" applyAlignment="1">
      <alignment horizontal="center" vertical="center" textRotation="255" wrapText="1"/>
    </xf>
    <xf numFmtId="0" fontId="4" fillId="0" borderId="6" xfId="0" applyFont="1" applyBorder="1" applyAlignment="1">
      <alignment horizontal="left" vertical="top" wrapText="1"/>
    </xf>
    <xf numFmtId="10" fontId="15" fillId="0" borderId="3" xfId="0" applyNumberFormat="1" applyFont="1" applyBorder="1" applyAlignment="1">
      <alignment horizontal="center" vertical="center"/>
    </xf>
    <xf numFmtId="0" fontId="4" fillId="0" borderId="3" xfId="0" applyFont="1" applyBorder="1" applyAlignment="1">
      <alignment vertical="center" wrapText="1"/>
    </xf>
    <xf numFmtId="0" fontId="13" fillId="0" borderId="9" xfId="0" applyFont="1" applyBorder="1" applyAlignment="1">
      <alignment horizontal="center" vertical="center" wrapText="1"/>
    </xf>
    <xf numFmtId="0" fontId="4" fillId="0" borderId="9" xfId="0" applyFont="1" applyBorder="1" applyAlignment="1">
      <alignment horizontal="center" vertical="center"/>
    </xf>
    <xf numFmtId="0" fontId="4" fillId="0" borderId="10" xfId="0" applyFont="1" applyBorder="1" applyAlignment="1">
      <alignment horizontal="center" vertical="center"/>
    </xf>
    <xf numFmtId="0" fontId="4" fillId="0" borderId="8" xfId="0" applyFont="1" applyBorder="1" applyAlignment="1">
      <alignment horizontal="center" vertical="center"/>
    </xf>
    <xf numFmtId="10" fontId="16" fillId="0" borderId="3" xfId="0" applyNumberFormat="1" applyFont="1" applyBorder="1" applyAlignment="1">
      <alignment horizontal="center" vertical="center" wrapText="1"/>
    </xf>
    <xf numFmtId="0" fontId="16" fillId="0" borderId="3" xfId="0" applyFont="1" applyBorder="1" applyAlignment="1">
      <alignment horizontal="center" vertical="center" wrapText="1"/>
    </xf>
    <xf numFmtId="176" fontId="16" fillId="0" borderId="3" xfId="0" applyNumberFormat="1" applyFont="1" applyBorder="1" applyAlignment="1">
      <alignment horizontal="center" vertical="center" wrapText="1"/>
    </xf>
    <xf numFmtId="0" fontId="13" fillId="0" borderId="10" xfId="0" applyFont="1" applyBorder="1" applyAlignment="1">
      <alignment horizontal="center" vertical="center" wrapText="1"/>
    </xf>
    <xf numFmtId="0" fontId="13" fillId="0" borderId="8" xfId="0" applyFont="1" applyBorder="1" applyAlignment="1">
      <alignment horizontal="center" vertical="center" wrapText="1"/>
    </xf>
    <xf numFmtId="9" fontId="4" fillId="0" borderId="3" xfId="0" applyNumberFormat="1" applyFont="1" applyBorder="1" applyAlignment="1">
      <alignment horizontal="center" vertical="center" wrapText="1"/>
    </xf>
    <xf numFmtId="9" fontId="4" fillId="0" borderId="3" xfId="0" applyNumberFormat="1" applyFont="1" applyBorder="1" applyAlignment="1">
      <alignment horizontal="center" vertical="center"/>
    </xf>
    <xf numFmtId="9" fontId="15" fillId="0" borderId="3" xfId="0" applyNumberFormat="1" applyFont="1" applyBorder="1" applyAlignment="1">
      <alignment horizontal="center" vertical="center"/>
    </xf>
    <xf numFmtId="10" fontId="0" fillId="0" borderId="0" xfId="0" applyNumberFormat="1">
      <alignment vertical="center"/>
    </xf>
    <xf numFmtId="0" fontId="4" fillId="0" borderId="0" xfId="0" applyFont="1">
      <alignment vertical="center"/>
    </xf>
    <xf numFmtId="0" fontId="7" fillId="0" borderId="3" xfId="0" applyFont="1" applyBorder="1" applyAlignment="1">
      <alignment horizontal="center" vertical="center"/>
    </xf>
    <xf numFmtId="176" fontId="7" fillId="0" borderId="3" xfId="0" applyNumberFormat="1" applyFont="1" applyBorder="1" applyAlignment="1">
      <alignment horizontal="center" vertical="center"/>
    </xf>
    <xf numFmtId="0" fontId="4" fillId="0" borderId="3" xfId="0" applyFont="1" applyBorder="1" applyAlignment="1">
      <alignment horizontal="left" vertical="center" wrapText="1"/>
    </xf>
    <xf numFmtId="0" fontId="4" fillId="0" borderId="0" xfId="0" applyFont="1" applyAlignment="1">
      <alignment horizontal="left" vertical="center" wrapText="1"/>
    </xf>
    <xf numFmtId="0" fontId="4" fillId="0" borderId="11" xfId="0" applyFont="1" applyBorder="1" applyAlignment="1">
      <alignment horizontal="left" vertical="top" wrapText="1"/>
    </xf>
    <xf numFmtId="0" fontId="4" fillId="0" borderId="12" xfId="0" applyFont="1" applyBorder="1" applyAlignment="1">
      <alignment horizontal="left" vertical="top" wrapText="1"/>
    </xf>
    <xf numFmtId="0" fontId="4" fillId="0" borderId="13" xfId="0" applyFont="1" applyBorder="1" applyAlignment="1">
      <alignment horizontal="left" vertical="top" wrapText="1"/>
    </xf>
    <xf numFmtId="0" fontId="4" fillId="0" borderId="0" xfId="0" applyFont="1" applyAlignment="1">
      <alignment horizontal="left" vertical="top" wrapText="1"/>
    </xf>
    <xf numFmtId="0" fontId="0" fillId="0" borderId="13" xfId="0" applyBorder="1">
      <alignment vertical="center"/>
    </xf>
    <xf numFmtId="0" fontId="4" fillId="0" borderId="14" xfId="0" applyFont="1" applyBorder="1" applyAlignment="1">
      <alignment horizontal="left" vertical="top" wrapText="1"/>
    </xf>
    <xf numFmtId="0" fontId="4" fillId="0" borderId="15" xfId="0" applyFont="1" applyBorder="1" applyAlignment="1">
      <alignment horizontal="left" vertical="top" wrapText="1"/>
    </xf>
    <xf numFmtId="0" fontId="0" fillId="0" borderId="15" xfId="0" applyBorder="1">
      <alignment vertical="center"/>
    </xf>
    <xf numFmtId="0" fontId="4" fillId="0" borderId="13" xfId="0" applyFont="1" applyBorder="1" applyAlignment="1">
      <alignment horizontal="left" vertical="center"/>
    </xf>
    <xf numFmtId="0" fontId="17" fillId="0" borderId="13" xfId="0" applyFont="1" applyBorder="1" applyAlignment="1">
      <alignment horizontal="center" vertical="center"/>
    </xf>
    <xf numFmtId="0" fontId="17" fillId="0" borderId="16" xfId="0" applyFont="1" applyBorder="1" applyAlignment="1">
      <alignment horizontal="center" vertical="center"/>
    </xf>
    <xf numFmtId="0" fontId="0" fillId="0" borderId="17" xfId="0" applyBorder="1" applyAlignment="1">
      <alignment horizontal="center" vertical="center"/>
    </xf>
    <xf numFmtId="0" fontId="18" fillId="0" borderId="13" xfId="0" applyFont="1" applyBorder="1" applyAlignment="1">
      <alignment horizontal="left" vertical="top" wrapText="1"/>
    </xf>
    <xf numFmtId="0" fontId="18" fillId="0" borderId="0" xfId="0" applyFont="1" applyAlignment="1">
      <alignment horizontal="left" vertical="top" wrapText="1"/>
    </xf>
    <xf numFmtId="0" fontId="18" fillId="0" borderId="16" xfId="0" applyFont="1" applyBorder="1" applyAlignment="1">
      <alignment horizontal="left" vertical="top" wrapText="1"/>
    </xf>
    <xf numFmtId="0" fontId="18" fillId="0" borderId="17" xfId="0" applyFont="1" applyBorder="1" applyAlignment="1">
      <alignment horizontal="left" vertical="top" wrapText="1"/>
    </xf>
    <xf numFmtId="0" fontId="4" fillId="0" borderId="0" xfId="0" applyFont="1" applyAlignment="1">
      <alignment horizontal="left" vertical="center"/>
    </xf>
    <xf numFmtId="0" fontId="19" fillId="0" borderId="0" xfId="0" applyFont="1" applyAlignment="1">
      <alignment horizontal="left" vertical="center"/>
    </xf>
    <xf numFmtId="0" fontId="4" fillId="0" borderId="0" xfId="0" applyFont="1" applyAlignment="1">
      <alignment horizontal="center" vertical="center"/>
    </xf>
    <xf numFmtId="0" fontId="0" fillId="0" borderId="15" xfId="0" applyBorder="1" applyAlignment="1">
      <alignment horizontal="center" vertical="center"/>
    </xf>
    <xf numFmtId="0" fontId="0" fillId="0" borderId="18" xfId="0" applyBorder="1" applyAlignment="1">
      <alignment horizontal="center" vertical="center"/>
    </xf>
    <xf numFmtId="0" fontId="18" fillId="0" borderId="15" xfId="0" applyFont="1" applyBorder="1" applyAlignment="1">
      <alignment horizontal="left" vertical="top" wrapText="1"/>
    </xf>
    <xf numFmtId="0" fontId="18" fillId="0" borderId="18" xfId="0" applyFont="1" applyBorder="1" applyAlignment="1">
      <alignment horizontal="left" vertical="top" wrapText="1"/>
    </xf>
    <xf numFmtId="0" fontId="4" fillId="0" borderId="15" xfId="0" applyFont="1" applyBorder="1" applyAlignment="1">
      <alignment horizontal="left" vertical="center"/>
    </xf>
    <xf numFmtId="0" fontId="20" fillId="0" borderId="0" xfId="0" applyFont="1" applyAlignment="1">
      <alignment horizontal="center" vertical="center"/>
    </xf>
    <xf numFmtId="0" fontId="21" fillId="0" borderId="0" xfId="0" applyFont="1" applyAlignment="1">
      <alignment horizontal="left" vertical="center"/>
    </xf>
    <xf numFmtId="0" fontId="22" fillId="0" borderId="0" xfId="0" applyFont="1">
      <alignment vertical="center"/>
    </xf>
    <xf numFmtId="0" fontId="23" fillId="0" borderId="0" xfId="0" applyFont="1" applyAlignment="1">
      <alignment horizontal="center" vertical="center"/>
    </xf>
    <xf numFmtId="0" fontId="22" fillId="0" borderId="0" xfId="0" applyFont="1" applyAlignment="1">
      <alignment horizontal="left" vertical="center"/>
    </xf>
    <xf numFmtId="0" fontId="21" fillId="0" borderId="0" xfId="0" applyFont="1">
      <alignment vertical="center"/>
    </xf>
    <xf numFmtId="0" fontId="21" fillId="0" borderId="0" xfId="0" applyFont="1" applyAlignment="1">
      <alignment horizontal="center" vertical="center"/>
    </xf>
    <xf numFmtId="0" fontId="22" fillId="0" borderId="0" xfId="0" applyFont="1" applyAlignment="1">
      <alignment horizontal="center" vertical="center"/>
    </xf>
    <xf numFmtId="9" fontId="22" fillId="0" borderId="0" xfId="0" applyNumberFormat="1" applyFont="1" applyAlignment="1">
      <alignment horizontal="center" vertical="center"/>
    </xf>
    <xf numFmtId="0" fontId="22" fillId="0" borderId="1" xfId="0" applyFont="1" applyBorder="1" applyAlignment="1">
      <alignment horizontal="center" vertical="center"/>
    </xf>
    <xf numFmtId="0" fontId="22" fillId="0" borderId="3" xfId="0" applyFont="1" applyBorder="1" applyAlignment="1">
      <alignment horizontal="center" vertical="center" wrapText="1"/>
    </xf>
    <xf numFmtId="0" fontId="21" fillId="0" borderId="3" xfId="0" applyFont="1" applyBorder="1" applyAlignment="1">
      <alignment horizontal="center" vertical="center" wrapText="1"/>
    </xf>
    <xf numFmtId="0" fontId="22" fillId="0" borderId="4" xfId="0" applyFont="1" applyBorder="1" applyAlignment="1">
      <alignment horizontal="center" vertical="center"/>
    </xf>
    <xf numFmtId="0" fontId="22" fillId="0" borderId="3" xfId="0" applyFont="1" applyBorder="1" applyAlignment="1">
      <alignment horizontal="center" vertical="center"/>
    </xf>
    <xf numFmtId="0" fontId="24" fillId="0" borderId="3" xfId="0" applyFont="1" applyBorder="1" applyAlignment="1">
      <alignment horizontal="center" vertical="center"/>
    </xf>
    <xf numFmtId="0" fontId="25" fillId="0" borderId="3" xfId="0" applyFont="1" applyBorder="1" applyAlignment="1">
      <alignment horizontal="center" vertical="center"/>
    </xf>
    <xf numFmtId="176" fontId="22" fillId="0" borderId="3" xfId="0" applyNumberFormat="1" applyFont="1" applyBorder="1" applyAlignment="1">
      <alignment horizontal="center" vertical="center"/>
    </xf>
    <xf numFmtId="9" fontId="22" fillId="0" borderId="3" xfId="0" applyNumberFormat="1" applyFont="1" applyBorder="1" applyAlignment="1">
      <alignment horizontal="center" vertical="center"/>
    </xf>
    <xf numFmtId="0" fontId="21" fillId="0" borderId="3" xfId="0" applyFont="1" applyBorder="1" applyAlignment="1">
      <alignment horizontal="center" vertical="center"/>
    </xf>
    <xf numFmtId="0" fontId="26" fillId="0" borderId="0" xfId="0" applyFont="1" applyAlignment="1">
      <alignment horizontal="center" vertical="center"/>
    </xf>
    <xf numFmtId="0" fontId="27" fillId="0" borderId="3" xfId="0" applyFont="1" applyBorder="1" applyAlignment="1">
      <alignment horizontal="center" vertical="center" textRotation="255"/>
    </xf>
    <xf numFmtId="0" fontId="27" fillId="0" borderId="3" xfId="0" applyFont="1" applyBorder="1" applyAlignment="1">
      <alignment horizontal="center" vertical="center" wrapText="1" shrinkToFit="1"/>
    </xf>
    <xf numFmtId="0" fontId="27" fillId="0" borderId="3" xfId="0" applyFont="1" applyBorder="1" applyAlignment="1">
      <alignment horizontal="center" vertical="center"/>
    </xf>
    <xf numFmtId="0" fontId="15" fillId="0" borderId="3" xfId="0" applyFont="1" applyBorder="1" applyAlignment="1">
      <alignment horizontal="center" vertical="center"/>
    </xf>
    <xf numFmtId="0" fontId="28" fillId="0" borderId="3" xfId="0" applyFont="1" applyBorder="1" applyAlignment="1">
      <alignment horizontal="center" vertical="center"/>
    </xf>
    <xf numFmtId="0" fontId="29" fillId="0" borderId="19" xfId="0" applyFont="1" applyBorder="1" applyAlignment="1">
      <alignment horizontal="center" vertical="center" wrapText="1"/>
    </xf>
    <xf numFmtId="177" fontId="28" fillId="0" borderId="3" xfId="0" applyNumberFormat="1" applyFont="1" applyBorder="1" applyAlignment="1">
      <alignment horizontal="center" vertical="center"/>
    </xf>
    <xf numFmtId="0" fontId="17" fillId="0" borderId="0" xfId="0" applyFont="1">
      <alignment vertical="center"/>
    </xf>
    <xf numFmtId="177" fontId="0" fillId="0" borderId="0" xfId="0" applyNumberFormat="1">
      <alignment vertical="center"/>
    </xf>
    <xf numFmtId="0" fontId="29" fillId="0" borderId="20" xfId="0" applyFont="1" applyBorder="1" applyAlignment="1">
      <alignment horizontal="center" vertical="center" wrapText="1"/>
    </xf>
    <xf numFmtId="0" fontId="29" fillId="0" borderId="3" xfId="0" applyFont="1" applyBorder="1" applyAlignment="1">
      <alignment horizontal="center" vertical="center" wrapText="1"/>
    </xf>
    <xf numFmtId="177" fontId="28" fillId="0" borderId="1" xfId="0" applyNumberFormat="1" applyFont="1" applyBorder="1" applyAlignment="1">
      <alignment horizontal="center" vertical="center"/>
    </xf>
    <xf numFmtId="178" fontId="28" fillId="0" borderId="1" xfId="0" applyNumberFormat="1" applyFont="1" applyBorder="1" applyAlignment="1">
      <alignment horizontal="center" vertical="center"/>
    </xf>
    <xf numFmtId="178" fontId="28" fillId="0" borderId="3" xfId="0" applyNumberFormat="1" applyFont="1" applyBorder="1" applyAlignment="1">
      <alignment horizontal="center" vertical="center"/>
    </xf>
    <xf numFmtId="0" fontId="7" fillId="0" borderId="0" xfId="0" applyFont="1">
      <alignment vertical="center"/>
    </xf>
    <xf numFmtId="0" fontId="30" fillId="0" borderId="0" xfId="0" applyFont="1" applyAlignment="1">
      <alignment horizontal="left" vertical="center" wrapText="1"/>
    </xf>
    <xf numFmtId="0" fontId="31" fillId="0" borderId="0" xfId="0" applyFont="1" applyAlignment="1">
      <alignment horizontal="left" vertical="center"/>
    </xf>
    <xf numFmtId="0" fontId="18" fillId="0" borderId="3" xfId="0" applyFont="1" applyBorder="1" applyAlignment="1">
      <alignment horizontal="center" vertical="center"/>
    </xf>
    <xf numFmtId="0" fontId="18" fillId="0" borderId="9" xfId="0" applyFont="1" applyBorder="1" applyAlignment="1">
      <alignment horizontal="center" vertical="center"/>
    </xf>
    <xf numFmtId="0" fontId="18" fillId="0" borderId="10" xfId="0" applyFont="1" applyBorder="1" applyAlignment="1">
      <alignment horizontal="center" vertical="center"/>
    </xf>
    <xf numFmtId="0" fontId="4" fillId="0" borderId="0" xfId="0" applyFont="1" applyAlignment="1">
      <alignment horizontal="center" vertical="center" wrapText="1"/>
    </xf>
    <xf numFmtId="0" fontId="32" fillId="0" borderId="0" xfId="0" applyFont="1" applyAlignment="1">
      <alignment horizontal="center" vertical="center"/>
    </xf>
    <xf numFmtId="0" fontId="7" fillId="0" borderId="3" xfId="0" applyFont="1" applyBorder="1" applyAlignment="1">
      <alignment horizontal="center" vertical="center" textRotation="255" wrapText="1"/>
    </xf>
    <xf numFmtId="0" fontId="7" fillId="0" borderId="3" xfId="0" applyFont="1" applyBorder="1" applyAlignment="1">
      <alignment horizontal="center" vertical="center" wrapText="1"/>
    </xf>
    <xf numFmtId="0" fontId="33" fillId="0" borderId="3" xfId="0" applyFont="1" applyBorder="1" applyAlignment="1">
      <alignment horizontal="justify" vertical="center" wrapText="1"/>
    </xf>
    <xf numFmtId="0" fontId="33" fillId="0" borderId="3" xfId="0" applyFont="1" applyBorder="1" applyAlignment="1">
      <alignment horizontal="justify" vertical="center"/>
    </xf>
    <xf numFmtId="0" fontId="33" fillId="0" borderId="3" xfId="0" applyFont="1" applyBorder="1" applyAlignment="1">
      <alignment vertical="center" wrapText="1"/>
    </xf>
    <xf numFmtId="0" fontId="33" fillId="0" borderId="3" xfId="0" applyFont="1" applyBorder="1" applyAlignment="1">
      <alignment horizontal="center" vertical="center"/>
    </xf>
    <xf numFmtId="0" fontId="6" fillId="0" borderId="0" xfId="0" applyFont="1" applyAlignment="1">
      <alignment horizontal="left" vertical="center" wrapText="1"/>
    </xf>
    <xf numFmtId="0" fontId="0" fillId="0" borderId="0" xfId="0" applyAlignment="1">
      <alignment horizontal="left" vertical="center" wrapText="1"/>
    </xf>
    <xf numFmtId="0" fontId="13" fillId="0" borderId="0" xfId="0" applyFont="1" applyAlignment="1">
      <alignment horizontal="left" vertical="center"/>
    </xf>
    <xf numFmtId="9" fontId="18" fillId="0" borderId="3" xfId="0" applyNumberFormat="1" applyFont="1" applyBorder="1" applyAlignment="1">
      <alignment horizontal="center" vertical="center"/>
    </xf>
    <xf numFmtId="0" fontId="34" fillId="0" borderId="3" xfId="0" applyFont="1" applyBorder="1" applyAlignment="1">
      <alignment horizontal="center" vertical="center"/>
    </xf>
    <xf numFmtId="0" fontId="35" fillId="0" borderId="3" xfId="0" applyFont="1" applyBorder="1" applyAlignment="1">
      <alignment horizontal="center" vertical="center"/>
    </xf>
    <xf numFmtId="0" fontId="13" fillId="0" borderId="0" xfId="0" applyFont="1" applyAlignment="1">
      <alignment horizontal="center" vertical="center"/>
    </xf>
    <xf numFmtId="9" fontId="18" fillId="0" borderId="0" xfId="0" applyNumberFormat="1" applyFont="1" applyAlignment="1">
      <alignment horizontal="center" vertical="center"/>
    </xf>
    <xf numFmtId="9" fontId="13" fillId="0" borderId="3" xfId="0" applyNumberFormat="1" applyFont="1" applyBorder="1" applyAlignment="1">
      <alignment horizontal="center" vertical="center"/>
    </xf>
    <xf numFmtId="49" fontId="18" fillId="0" borderId="3" xfId="0" applyNumberFormat="1" applyFont="1" applyBorder="1" applyAlignment="1">
      <alignment horizontal="center" vertical="center"/>
    </xf>
    <xf numFmtId="0" fontId="18" fillId="0" borderId="8" xfId="0" applyFont="1" applyBorder="1" applyAlignment="1">
      <alignment horizontal="center" vertical="center"/>
    </xf>
    <xf numFmtId="0" fontId="33" fillId="0" borderId="3" xfId="0" applyFont="1" applyBorder="1" applyAlignment="1">
      <alignment horizontal="center" vertical="center" wrapText="1"/>
    </xf>
    <xf numFmtId="0" fontId="36" fillId="0" borderId="0" xfId="0" applyFont="1">
      <alignment vertical="center"/>
    </xf>
    <xf numFmtId="9" fontId="18" fillId="0" borderId="3" xfId="0" applyNumberFormat="1" applyFont="1" applyBorder="1" applyAlignment="1">
      <alignment horizontal="center" vertical="center" wrapText="1"/>
    </xf>
    <xf numFmtId="9" fontId="18" fillId="0" borderId="9" xfId="0" applyNumberFormat="1" applyFont="1" applyBorder="1" applyAlignment="1">
      <alignment horizontal="center" vertical="center"/>
    </xf>
    <xf numFmtId="0" fontId="8" fillId="0" borderId="3" xfId="0" applyFont="1" applyBorder="1" applyAlignment="1">
      <alignment horizontal="center" vertical="center"/>
    </xf>
    <xf numFmtId="0" fontId="8" fillId="0" borderId="11" xfId="0" applyFont="1" applyBorder="1" applyAlignment="1">
      <alignment horizontal="center" vertical="center" wrapText="1"/>
    </xf>
    <xf numFmtId="0" fontId="8" fillId="0" borderId="12" xfId="0" applyFont="1" applyBorder="1" applyAlignment="1">
      <alignment horizontal="center" vertical="center" wrapText="1"/>
    </xf>
    <xf numFmtId="0" fontId="8" fillId="0" borderId="14" xfId="0" applyFont="1" applyBorder="1" applyAlignment="1">
      <alignment horizontal="center" vertical="center" wrapText="1"/>
    </xf>
    <xf numFmtId="0" fontId="8" fillId="0" borderId="13" xfId="0" applyFont="1" applyBorder="1" applyAlignment="1">
      <alignment horizontal="center" vertical="center" wrapText="1"/>
    </xf>
    <xf numFmtId="0" fontId="8" fillId="0" borderId="0" xfId="0" applyFont="1" applyAlignment="1">
      <alignment horizontal="center" vertical="center" wrapText="1"/>
    </xf>
    <xf numFmtId="0" fontId="8" fillId="0" borderId="15" xfId="0" applyFont="1" applyBorder="1" applyAlignment="1">
      <alignment horizontal="center" vertical="center" wrapText="1"/>
    </xf>
    <xf numFmtId="0" fontId="8" fillId="0" borderId="16" xfId="0" applyFont="1" applyBorder="1" applyAlignment="1">
      <alignment horizontal="center" vertical="center" wrapText="1"/>
    </xf>
    <xf numFmtId="0" fontId="8" fillId="0" borderId="17" xfId="0" applyFont="1" applyBorder="1" applyAlignment="1">
      <alignment horizontal="center" vertical="center" wrapText="1"/>
    </xf>
    <xf numFmtId="0" fontId="8" fillId="0" borderId="18" xfId="0" applyFont="1" applyBorder="1" applyAlignment="1">
      <alignment horizontal="center" vertical="center" wrapText="1"/>
    </xf>
    <xf numFmtId="0" fontId="8" fillId="0" borderId="9" xfId="0" applyFont="1" applyBorder="1" applyAlignment="1">
      <alignment horizontal="center" vertical="center"/>
    </xf>
    <xf numFmtId="0" fontId="8" fillId="0" borderId="10" xfId="0" applyFont="1" applyBorder="1" applyAlignment="1">
      <alignment horizontal="center" vertical="center"/>
    </xf>
    <xf numFmtId="0" fontId="8" fillId="0" borderId="11" xfId="0" applyFont="1" applyBorder="1" applyAlignment="1">
      <alignment horizontal="center" vertical="center"/>
    </xf>
    <xf numFmtId="0" fontId="8" fillId="0" borderId="12" xfId="0" applyFont="1" applyBorder="1" applyAlignment="1">
      <alignment horizontal="center" vertical="center"/>
    </xf>
    <xf numFmtId="0" fontId="8" fillId="0" borderId="13" xfId="0" applyFont="1" applyBorder="1" applyAlignment="1">
      <alignment horizontal="center" vertical="center"/>
    </xf>
    <xf numFmtId="0" fontId="8" fillId="0" borderId="0" xfId="0" applyFont="1" applyAlignment="1">
      <alignment horizontal="center" vertical="center"/>
    </xf>
    <xf numFmtId="0" fontId="8" fillId="0" borderId="16" xfId="0" applyFont="1" applyBorder="1" applyAlignment="1">
      <alignment horizontal="center" vertical="center"/>
    </xf>
    <xf numFmtId="0" fontId="8" fillId="0" borderId="17" xfId="0" applyFont="1" applyBorder="1" applyAlignment="1">
      <alignment horizontal="center" vertical="center"/>
    </xf>
    <xf numFmtId="0" fontId="0" fillId="0" borderId="8" xfId="0" applyBorder="1">
      <alignment vertical="center"/>
    </xf>
    <xf numFmtId="0" fontId="0" fillId="0" borderId="9" xfId="0" applyBorder="1">
      <alignment vertical="center"/>
    </xf>
    <xf numFmtId="0" fontId="0" fillId="0" borderId="0" xfId="0" applyAlignment="1">
      <alignment horizontal="left" vertical="center"/>
    </xf>
    <xf numFmtId="9" fontId="0" fillId="0" borderId="3" xfId="0" applyNumberFormat="1" applyBorder="1">
      <alignment vertical="center"/>
    </xf>
    <xf numFmtId="9" fontId="37" fillId="0" borderId="3" xfId="0" applyNumberFormat="1" applyFont="1" applyBorder="1" applyAlignment="1">
      <alignment horizontal="center" vertical="center"/>
    </xf>
    <xf numFmtId="9" fontId="37" fillId="0" borderId="0" xfId="0" applyNumberFormat="1" applyFont="1">
      <alignment vertical="center"/>
    </xf>
    <xf numFmtId="0" fontId="8" fillId="0" borderId="8" xfId="0" applyFont="1" applyBorder="1" applyAlignment="1">
      <alignment horizontal="center" vertical="center"/>
    </xf>
    <xf numFmtId="0" fontId="10" fillId="0" borderId="0" xfId="0" applyFont="1">
      <alignment vertical="center"/>
    </xf>
    <xf numFmtId="0" fontId="8" fillId="0" borderId="14" xfId="0" applyFont="1" applyBorder="1" applyAlignment="1">
      <alignment horizontal="center" vertical="center"/>
    </xf>
    <xf numFmtId="0" fontId="8" fillId="0" borderId="15" xfId="0" applyFont="1" applyBorder="1" applyAlignment="1">
      <alignment horizontal="center" vertical="center"/>
    </xf>
    <xf numFmtId="0" fontId="8" fillId="0" borderId="18" xfId="0" applyFont="1" applyBorder="1" applyAlignment="1">
      <alignment horizontal="center" vertical="center"/>
    </xf>
    <xf numFmtId="0" fontId="8" fillId="0" borderId="0" xfId="0" applyFont="1" applyAlignment="1">
      <alignment horizontal="left" vertical="center"/>
    </xf>
    <xf numFmtId="0" fontId="7" fillId="0" borderId="0" xfId="0" applyFont="1" applyAlignment="1">
      <alignment horizontal="left" vertical="center"/>
    </xf>
    <xf numFmtId="0" fontId="0" fillId="0" borderId="18" xfId="0" applyBorder="1">
      <alignment vertical="center"/>
    </xf>
    <xf numFmtId="0" fontId="0" fillId="0" borderId="16" xfId="0" applyBorder="1">
      <alignment vertical="center"/>
    </xf>
    <xf numFmtId="0" fontId="0" fillId="0" borderId="14" xfId="0" applyBorder="1">
      <alignment vertical="center"/>
    </xf>
    <xf numFmtId="0" fontId="0" fillId="0" borderId="11" xfId="0" applyBorder="1">
      <alignment vertical="center"/>
    </xf>
    <xf numFmtId="0" fontId="10" fillId="0" borderId="13" xfId="0" applyFont="1" applyBorder="1" applyAlignment="1">
      <alignment horizontal="center" vertical="center"/>
    </xf>
    <xf numFmtId="0" fontId="10" fillId="0" borderId="0" xfId="0" applyFont="1" applyAlignment="1">
      <alignment horizontal="center" vertical="center"/>
    </xf>
    <xf numFmtId="0" fontId="13" fillId="0" borderId="3" xfId="0" applyFont="1" applyBorder="1" applyAlignment="1">
      <alignment horizontal="center" vertical="center" wrapText="1"/>
    </xf>
    <xf numFmtId="0" fontId="10" fillId="0" borderId="13" xfId="0" applyFont="1" applyBorder="1" applyAlignment="1">
      <alignment horizontal="center" vertical="center" wrapText="1"/>
    </xf>
    <xf numFmtId="0" fontId="10" fillId="0" borderId="0" xfId="0" applyFont="1" applyAlignment="1">
      <alignment horizontal="center" vertical="center" wrapText="1"/>
    </xf>
    <xf numFmtId="0" fontId="38" fillId="0" borderId="13" xfId="0" applyFont="1" applyBorder="1" applyAlignment="1">
      <alignment horizontal="center" vertical="center" wrapText="1"/>
    </xf>
    <xf numFmtId="0" fontId="38" fillId="0" borderId="0" xfId="0" applyFont="1" applyAlignment="1">
      <alignment horizontal="center" vertical="center" wrapText="1"/>
    </xf>
    <xf numFmtId="0" fontId="39" fillId="0" borderId="0" xfId="0" applyFont="1" applyAlignment="1">
      <alignment horizontal="center" vertical="center" wrapText="1"/>
    </xf>
    <xf numFmtId="0" fontId="40" fillId="0" borderId="3" xfId="0" applyFont="1" applyBorder="1" applyAlignment="1">
      <alignment horizontal="center" vertical="center"/>
    </xf>
    <xf numFmtId="0" fontId="7" fillId="0" borderId="0" xfId="0" applyFont="1" applyAlignment="1">
      <alignment horizontal="center" vertical="center"/>
    </xf>
    <xf numFmtId="0" fontId="41" fillId="0" borderId="3" xfId="0" applyFont="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0033C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externalLink" Target="externalLinks/externalLink1.xml"/><Relationship Id="rId7" Type="http://schemas.openxmlformats.org/officeDocument/2006/relationships/customXml" Target="../customXml/item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charts/_rels/chart2.xml.rels><?xml version="1.0" encoding="UTF-8" standalone="yes"?>
<Relationships xmlns="http://schemas.openxmlformats.org/package/2006/relationships"><Relationship Id="rId3" Type="http://schemas.microsoft.com/office/2011/relationships/chartColorStyle" Target="colors1.xml"/><Relationship Id="rId2" Type="http://schemas.microsoft.com/office/2011/relationships/chartStyle" Target="style1.xml"/><Relationship Id="rId1" Type="http://schemas.openxmlformats.org/officeDocument/2006/relationships/themeOverride" Target="../theme/themeOverride1.xml"/></Relationships>
</file>

<file path=xl/charts/_rels/chart3.xml.rels><?xml version="1.0" encoding="UTF-8" standalone="yes"?>
<Relationships xmlns="http://schemas.openxmlformats.org/package/2006/relationships"><Relationship Id="rId3" Type="http://schemas.microsoft.com/office/2011/relationships/chartColorStyle" Target="colors2.xml"/><Relationship Id="rId2" Type="http://schemas.microsoft.com/office/2011/relationships/chartStyle" Target="style2.xml"/><Relationship Id="rId1" Type="http://schemas.openxmlformats.org/officeDocument/2006/relationships/themeOverride" Target="../theme/themeOverride2.xml"/></Relationships>
</file>

<file path=xl/charts/_rels/chart4.xml.rels><?xml version="1.0" encoding="UTF-8" standalone="yes"?>
<Relationships xmlns="http://schemas.openxmlformats.org/package/2006/relationships"><Relationship Id="rId1" Type="http://schemas.openxmlformats.org/officeDocument/2006/relationships/themeOverride" Target="../theme/themeOverride3.xml"/></Relationships>
</file>

<file path=xl/charts/_rels/chart5.xml.rels><?xml version="1.0" encoding="UTF-8" standalone="yes"?>
<Relationships xmlns="http://schemas.openxmlformats.org/package/2006/relationships"><Relationship Id="rId1" Type="http://schemas.openxmlformats.org/officeDocument/2006/relationships/themeOverride" Target="../theme/themeOverride4.xml"/></Relationships>
</file>

<file path=xl/charts/_rels/chart6.xml.rels><?xml version="1.0" encoding="UTF-8" standalone="yes"?>
<Relationships xmlns="http://schemas.openxmlformats.org/package/2006/relationships"><Relationship Id="rId1" Type="http://schemas.openxmlformats.org/officeDocument/2006/relationships/themeOverride" Target="../theme/themeOverride5.xml"/></Relationships>
</file>

<file path=xl/charts/_rels/chart7.xml.rels><?xml version="1.0" encoding="UTF-8" standalone="yes"?>
<Relationships xmlns="http://schemas.openxmlformats.org/package/2006/relationships"><Relationship Id="rId1" Type="http://schemas.openxmlformats.org/officeDocument/2006/relationships/themeOverride" Target="../theme/themeOverride6.xml"/></Relationships>
</file>

<file path=xl/charts/_rels/chart8.xml.rels><?xml version="1.0" encoding="UTF-8" standalone="yes"?>
<Relationships xmlns="http://schemas.openxmlformats.org/package/2006/relationships"><Relationship Id="rId3" Type="http://schemas.microsoft.com/office/2011/relationships/chartColorStyle" Target="colors3.xml"/><Relationship Id="rId2" Type="http://schemas.microsoft.com/office/2011/relationships/chartStyle" Target="style3.xml"/><Relationship Id="rId1" Type="http://schemas.openxmlformats.org/officeDocument/2006/relationships/themeOverride" Target="../theme/themeOverride7.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zh-CN" sz="1400" b="0" i="0" u="none" strike="noStrike" kern="1200" spc="0" baseline="0">
                <a:solidFill>
                  <a:schemeClr val="tx1">
                    <a:lumMod val="65000"/>
                    <a:lumOff val="35000"/>
                  </a:schemeClr>
                </a:solidFill>
                <a:latin typeface="+mn-lt"/>
                <a:ea typeface="+mn-ea"/>
                <a:cs typeface="+mn-cs"/>
              </a:defRPr>
            </a:pPr>
            <a:r>
              <a:rPr lang="zh-CN" altLang="en-US" sz="1200" b="1">
                <a:solidFill>
                  <a:schemeClr val="tx1"/>
                </a:solidFill>
                <a:latin typeface="仿宋" panose="02010609060101010101" pitchFamily="49" charset="-122"/>
                <a:ea typeface="仿宋" panose="02010609060101010101" pitchFamily="49" charset="-122"/>
              </a:rPr>
              <a:t>总目标 学生达成度散点图</a:t>
            </a:r>
            <a:endParaRPr lang="zh-CN" altLang="en-US" sz="1200" b="1">
              <a:solidFill>
                <a:schemeClr val="tx1"/>
              </a:solidFill>
              <a:latin typeface="仿宋" panose="02010609060101010101" pitchFamily="49" charset="-122"/>
              <a:ea typeface="仿宋" panose="02010609060101010101" pitchFamily="49" charset="-122"/>
            </a:endParaRPr>
          </a:p>
        </c:rich>
      </c:tx>
      <c:layout>
        <c:manualLayout>
          <c:xMode val="edge"/>
          <c:yMode val="edge"/>
          <c:x val="0.339057291666667"/>
          <c:y val="0.873043703703704"/>
        </c:manualLayout>
      </c:layout>
      <c:overlay val="0"/>
      <c:spPr>
        <a:effectLst/>
      </c:spPr>
    </c:title>
    <c:autoTitleDeleted val="0"/>
    <c:plotArea>
      <c:layout>
        <c:manualLayout>
          <c:layoutTarget val="inner"/>
          <c:xMode val="edge"/>
          <c:yMode val="edge"/>
          <c:x val="0.111084838644205"/>
          <c:y val="0.0606059259259259"/>
          <c:w val="0.86648965390954"/>
          <c:h val="0.68137741046832"/>
        </c:manualLayout>
      </c:layout>
      <c:lineChart>
        <c:grouping val="stacked"/>
        <c:varyColors val="0"/>
        <c:ser>
          <c:idx val="0"/>
          <c:order val="1"/>
          <c:tx>
            <c:strRef>
              <c:f>"平均达成度"</c:f>
              <c:strCache>
                <c:ptCount val="1"/>
                <c:pt idx="0">
                  <c:v>平均达成度</c:v>
                </c:pt>
              </c:strCache>
            </c:strRef>
          </c:tx>
          <c:spPr>
            <a:ln w="25400" cap="rnd" cmpd="sng" algn="ctr">
              <a:solidFill>
                <a:schemeClr val="accent4"/>
              </a:solidFill>
              <a:prstDash val="solid"/>
              <a:round/>
            </a:ln>
            <a:effectLst/>
          </c:spPr>
          <c:marker>
            <c:symbol val="none"/>
          </c:marker>
          <c:dLbls>
            <c:delete val="1"/>
          </c:dLbls>
          <c:cat>
            <c:numRef>
              <c:f>'5绘图数据'!$A$3:$A$143</c:f>
              <c:numCache>
                <c:formatCode>General</c:formatCode>
                <c:ptCount val="14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numCache>
            </c:numRef>
          </c:cat>
          <c:val>
            <c:numRef>
              <c:f>'5绘图数据'!$T$3:$T$143</c:f>
              <c:numCache>
                <c:formatCode>0.00_ </c:formatCode>
                <c:ptCount val="141"/>
                <c:pt idx="0">
                  <c:v>0.718587314003615</c:v>
                </c:pt>
                <c:pt idx="1">
                  <c:v>0.718587314003615</c:v>
                </c:pt>
                <c:pt idx="2">
                  <c:v>0.718587314003615</c:v>
                </c:pt>
                <c:pt idx="3">
                  <c:v>0.718587314003615</c:v>
                </c:pt>
                <c:pt idx="4">
                  <c:v>0.718587314003615</c:v>
                </c:pt>
                <c:pt idx="5">
                  <c:v>0.718587314003615</c:v>
                </c:pt>
                <c:pt idx="6">
                  <c:v>0.718587314003615</c:v>
                </c:pt>
                <c:pt idx="7">
                  <c:v>0.718587314003615</c:v>
                </c:pt>
                <c:pt idx="8">
                  <c:v>0.718587314003615</c:v>
                </c:pt>
                <c:pt idx="9">
                  <c:v>0.718587314003615</c:v>
                </c:pt>
                <c:pt idx="10">
                  <c:v>0.718587314003615</c:v>
                </c:pt>
                <c:pt idx="11">
                  <c:v>0.718587314003615</c:v>
                </c:pt>
                <c:pt idx="12">
                  <c:v>0.718587314003615</c:v>
                </c:pt>
                <c:pt idx="13">
                  <c:v>0.718587314003615</c:v>
                </c:pt>
                <c:pt idx="14">
                  <c:v>0.718587314003615</c:v>
                </c:pt>
                <c:pt idx="15">
                  <c:v>0.718587314003615</c:v>
                </c:pt>
                <c:pt idx="16">
                  <c:v>0.718587314003615</c:v>
                </c:pt>
                <c:pt idx="17">
                  <c:v>0.718587314003615</c:v>
                </c:pt>
                <c:pt idx="18">
                  <c:v>0.718587314003615</c:v>
                </c:pt>
                <c:pt idx="19">
                  <c:v>0.718587314003615</c:v>
                </c:pt>
                <c:pt idx="20">
                  <c:v>0.718587314003615</c:v>
                </c:pt>
                <c:pt idx="21">
                  <c:v>0.718587314003615</c:v>
                </c:pt>
                <c:pt idx="22">
                  <c:v>0.718587314003615</c:v>
                </c:pt>
                <c:pt idx="23">
                  <c:v>0.718587314003615</c:v>
                </c:pt>
                <c:pt idx="24">
                  <c:v>0.718587314003615</c:v>
                </c:pt>
                <c:pt idx="25">
                  <c:v>0.718587314003615</c:v>
                </c:pt>
                <c:pt idx="26">
                  <c:v>0.718587314003615</c:v>
                </c:pt>
                <c:pt idx="27">
                  <c:v>0.718587314003615</c:v>
                </c:pt>
                <c:pt idx="28">
                  <c:v>0.718587314003615</c:v>
                </c:pt>
                <c:pt idx="29">
                  <c:v>0.718587314003615</c:v>
                </c:pt>
                <c:pt idx="30">
                  <c:v>0.718587314003615</c:v>
                </c:pt>
                <c:pt idx="31">
                  <c:v>0.718587314003615</c:v>
                </c:pt>
                <c:pt idx="32">
                  <c:v>0.718587314003615</c:v>
                </c:pt>
                <c:pt idx="33">
                  <c:v>0.718587314003615</c:v>
                </c:pt>
                <c:pt idx="34">
                  <c:v>0.718587314003615</c:v>
                </c:pt>
                <c:pt idx="35">
                  <c:v>0.718587314003615</c:v>
                </c:pt>
                <c:pt idx="36">
                  <c:v>0.718587314003615</c:v>
                </c:pt>
                <c:pt idx="37">
                  <c:v>0.718587314003615</c:v>
                </c:pt>
                <c:pt idx="38">
                  <c:v>0.718587314003615</c:v>
                </c:pt>
                <c:pt idx="39">
                  <c:v>0.718587314003615</c:v>
                </c:pt>
                <c:pt idx="40">
                  <c:v>0.718587314003615</c:v>
                </c:pt>
                <c:pt idx="41">
                  <c:v>0.718587314003615</c:v>
                </c:pt>
                <c:pt idx="42">
                  <c:v>0.718587314003615</c:v>
                </c:pt>
                <c:pt idx="43">
                  <c:v>0.718587314003615</c:v>
                </c:pt>
                <c:pt idx="44">
                  <c:v>0.718587314003615</c:v>
                </c:pt>
                <c:pt idx="45">
                  <c:v>0.718587314003615</c:v>
                </c:pt>
                <c:pt idx="46">
                  <c:v>0.718587314003615</c:v>
                </c:pt>
                <c:pt idx="47">
                  <c:v>0.718587314003615</c:v>
                </c:pt>
                <c:pt idx="48">
                  <c:v>0.718587314003615</c:v>
                </c:pt>
                <c:pt idx="49">
                  <c:v>0.718587314003615</c:v>
                </c:pt>
                <c:pt idx="50">
                  <c:v>0.718587314003615</c:v>
                </c:pt>
                <c:pt idx="51">
                  <c:v>0.718587314003615</c:v>
                </c:pt>
                <c:pt idx="52">
                  <c:v>0.718587314003615</c:v>
                </c:pt>
                <c:pt idx="53">
                  <c:v>0.718587314003615</c:v>
                </c:pt>
                <c:pt idx="54">
                  <c:v>0.718587314003615</c:v>
                </c:pt>
                <c:pt idx="55">
                  <c:v>0.718587314003615</c:v>
                </c:pt>
                <c:pt idx="56">
                  <c:v>0.718587314003615</c:v>
                </c:pt>
                <c:pt idx="57">
                  <c:v>0.718587314003615</c:v>
                </c:pt>
                <c:pt idx="58">
                  <c:v>0.718587314003615</c:v>
                </c:pt>
                <c:pt idx="59">
                  <c:v>0.718587314003615</c:v>
                </c:pt>
                <c:pt idx="60">
                  <c:v>0.718587314003615</c:v>
                </c:pt>
                <c:pt idx="61">
                  <c:v>0.718587314003615</c:v>
                </c:pt>
                <c:pt idx="62">
                  <c:v>0.718587314003615</c:v>
                </c:pt>
                <c:pt idx="63">
                  <c:v>0.718587314003615</c:v>
                </c:pt>
                <c:pt idx="64">
                  <c:v>0.718587314003615</c:v>
                </c:pt>
                <c:pt idx="65">
                  <c:v>0.718587314003615</c:v>
                </c:pt>
                <c:pt idx="66">
                  <c:v>0.718587314003615</c:v>
                </c:pt>
                <c:pt idx="67">
                  <c:v>0.718587314003615</c:v>
                </c:pt>
                <c:pt idx="68">
                  <c:v>0.718587314003615</c:v>
                </c:pt>
                <c:pt idx="69">
                  <c:v>0.718587314003615</c:v>
                </c:pt>
                <c:pt idx="70">
                  <c:v>0.718587314003615</c:v>
                </c:pt>
                <c:pt idx="71">
                  <c:v>0.718587314003615</c:v>
                </c:pt>
                <c:pt idx="72">
                  <c:v>0.718587314003615</c:v>
                </c:pt>
                <c:pt idx="73">
                  <c:v>0.718587314003615</c:v>
                </c:pt>
                <c:pt idx="74">
                  <c:v>0.718587314003615</c:v>
                </c:pt>
                <c:pt idx="75">
                  <c:v>0.718587314003615</c:v>
                </c:pt>
                <c:pt idx="76">
                  <c:v>0.718587314003615</c:v>
                </c:pt>
                <c:pt idx="77">
                  <c:v>0.718587314003615</c:v>
                </c:pt>
                <c:pt idx="78">
                  <c:v>0.718587314003615</c:v>
                </c:pt>
                <c:pt idx="79">
                  <c:v>0.718587314003615</c:v>
                </c:pt>
                <c:pt idx="80">
                  <c:v>0.718587314003615</c:v>
                </c:pt>
                <c:pt idx="81">
                  <c:v>0.718587314003615</c:v>
                </c:pt>
                <c:pt idx="82">
                  <c:v>0.718587314003615</c:v>
                </c:pt>
                <c:pt idx="83">
                  <c:v>0.718587314003615</c:v>
                </c:pt>
                <c:pt idx="84">
                  <c:v>0.718587314003615</c:v>
                </c:pt>
                <c:pt idx="85">
                  <c:v>0.718587314003615</c:v>
                </c:pt>
                <c:pt idx="86">
                  <c:v>0.718587314003615</c:v>
                </c:pt>
                <c:pt idx="87">
                  <c:v>0.718587314003615</c:v>
                </c:pt>
                <c:pt idx="88">
                  <c:v>0.718587314003615</c:v>
                </c:pt>
                <c:pt idx="89">
                  <c:v>0.718587314003615</c:v>
                </c:pt>
                <c:pt idx="90">
                  <c:v>0.718587314003615</c:v>
                </c:pt>
                <c:pt idx="91">
                  <c:v>0.718587314003615</c:v>
                </c:pt>
                <c:pt idx="92">
                  <c:v>0.718587314003615</c:v>
                </c:pt>
                <c:pt idx="93">
                  <c:v>0.718587314003615</c:v>
                </c:pt>
                <c:pt idx="94">
                  <c:v>0.718587314003615</c:v>
                </c:pt>
                <c:pt idx="95">
                  <c:v>0.718587314003615</c:v>
                </c:pt>
                <c:pt idx="96">
                  <c:v>0.718587314003615</c:v>
                </c:pt>
                <c:pt idx="97">
                  <c:v>0.718587314003615</c:v>
                </c:pt>
                <c:pt idx="98">
                  <c:v>0.718587314003615</c:v>
                </c:pt>
                <c:pt idx="99">
                  <c:v>0.718587314003615</c:v>
                </c:pt>
                <c:pt idx="100">
                  <c:v>0.718587314003615</c:v>
                </c:pt>
                <c:pt idx="101">
                  <c:v>0.718587314003615</c:v>
                </c:pt>
                <c:pt idx="102">
                  <c:v>0.718587314003615</c:v>
                </c:pt>
                <c:pt idx="103">
                  <c:v>0.718587314003615</c:v>
                </c:pt>
                <c:pt idx="104">
                  <c:v>0.718587314003615</c:v>
                </c:pt>
                <c:pt idx="105">
                  <c:v>0.718587314003615</c:v>
                </c:pt>
                <c:pt idx="106">
                  <c:v>0.718587314003615</c:v>
                </c:pt>
                <c:pt idx="107">
                  <c:v>0.718587314003615</c:v>
                </c:pt>
                <c:pt idx="108">
                  <c:v>0.718587314003615</c:v>
                </c:pt>
                <c:pt idx="109">
                  <c:v>0.718587314003615</c:v>
                </c:pt>
                <c:pt idx="110">
                  <c:v>0.718587314003615</c:v>
                </c:pt>
                <c:pt idx="111">
                  <c:v>0.718587314003615</c:v>
                </c:pt>
                <c:pt idx="112">
                  <c:v>0.718587314003615</c:v>
                </c:pt>
                <c:pt idx="113">
                  <c:v>0.718587314003615</c:v>
                </c:pt>
                <c:pt idx="114">
                  <c:v>0.718587314003615</c:v>
                </c:pt>
                <c:pt idx="115">
                  <c:v>0.718587314003615</c:v>
                </c:pt>
                <c:pt idx="116">
                  <c:v>0.718587314003615</c:v>
                </c:pt>
                <c:pt idx="117">
                  <c:v>0.718587314003615</c:v>
                </c:pt>
                <c:pt idx="118">
                  <c:v>0.718587314003615</c:v>
                </c:pt>
                <c:pt idx="119">
                  <c:v>0.718587314003615</c:v>
                </c:pt>
                <c:pt idx="120">
                  <c:v>0.718587314003615</c:v>
                </c:pt>
                <c:pt idx="121">
                  <c:v>0.718587314003615</c:v>
                </c:pt>
                <c:pt idx="122">
                  <c:v>0.718587314003615</c:v>
                </c:pt>
                <c:pt idx="123">
                  <c:v>0.718587314003615</c:v>
                </c:pt>
                <c:pt idx="124">
                  <c:v>0.718587314003615</c:v>
                </c:pt>
                <c:pt idx="125">
                  <c:v>0.718587314003615</c:v>
                </c:pt>
                <c:pt idx="126">
                  <c:v>0.718587314003615</c:v>
                </c:pt>
                <c:pt idx="127">
                  <c:v>0.718587314003615</c:v>
                </c:pt>
                <c:pt idx="128">
                  <c:v>0.718587314003615</c:v>
                </c:pt>
                <c:pt idx="129">
                  <c:v>0.718587314003615</c:v>
                </c:pt>
                <c:pt idx="130">
                  <c:v>0.718587314003615</c:v>
                </c:pt>
                <c:pt idx="131">
                  <c:v>0.718587314003615</c:v>
                </c:pt>
                <c:pt idx="132">
                  <c:v>0.718587314003615</c:v>
                </c:pt>
                <c:pt idx="133">
                  <c:v>0.718587314003615</c:v>
                </c:pt>
                <c:pt idx="134">
                  <c:v>0.718587314003615</c:v>
                </c:pt>
                <c:pt idx="135">
                  <c:v>0.718587314003615</c:v>
                </c:pt>
                <c:pt idx="136">
                  <c:v>0.718587314003615</c:v>
                </c:pt>
                <c:pt idx="137">
                  <c:v>0.718587314003615</c:v>
                </c:pt>
                <c:pt idx="138">
                  <c:v>0.718587314003615</c:v>
                </c:pt>
                <c:pt idx="139">
                  <c:v>0.718587314003615</c:v>
                </c:pt>
                <c:pt idx="140">
                  <c:v>0.718587314003615</c:v>
                </c:pt>
              </c:numCache>
            </c:numRef>
          </c:val>
          <c:smooth val="0"/>
        </c:ser>
        <c:dLbls>
          <c:showLegendKey val="0"/>
          <c:showVal val="0"/>
          <c:showCatName val="0"/>
          <c:showSerName val="0"/>
          <c:showPercent val="0"/>
          <c:showBubbleSize val="0"/>
        </c:dLbls>
        <c:marker val="0"/>
        <c:smooth val="0"/>
        <c:axId val="136824320"/>
        <c:axId val="136826240"/>
      </c:lineChart>
      <c:scatterChart>
        <c:scatterStyle val="marker"/>
        <c:varyColors val="0"/>
        <c:ser>
          <c:idx val="3"/>
          <c:order val="0"/>
          <c:tx>
            <c:strRef>
              <c:f>"学生达成度"</c:f>
              <c:strCache>
                <c:ptCount val="1"/>
                <c:pt idx="0">
                  <c:v>学生达成度</c:v>
                </c:pt>
              </c:strCache>
            </c:strRef>
          </c:tx>
          <c:spPr>
            <a:ln w="19050" cap="rnd" cmpd="sng" algn="ctr">
              <a:noFill/>
              <a:prstDash val="solid"/>
              <a:round/>
            </a:ln>
            <a:effectLst/>
          </c:spPr>
          <c:marker>
            <c:symbol val="circle"/>
            <c:size val="5"/>
            <c:spPr>
              <a:solidFill>
                <a:schemeClr val="accent5"/>
              </a:solidFill>
              <a:ln w="9525" cap="flat" cmpd="sng" algn="ctr">
                <a:noFill/>
                <a:prstDash val="solid"/>
                <a:round/>
              </a:ln>
              <a:effectLst/>
            </c:spPr>
          </c:marker>
          <c:dLbls>
            <c:delete val="1"/>
          </c:dLbls>
          <c:xVal>
            <c:numRef>
              <c:f>'5绘图数据'!$A$3:$A$143</c:f>
              <c:numCache>
                <c:formatCode>General</c:formatCode>
                <c:ptCount val="14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numCache>
            </c:numRef>
          </c:xVal>
          <c:yVal>
            <c:numRef>
              <c:f>'5绘图数据'!$K$3:$K$143</c:f>
              <c:numCache>
                <c:formatCode>0.00_ </c:formatCode>
                <c:ptCount val="141"/>
                <c:pt idx="0">
                  <c:v>0.661524509803922</c:v>
                </c:pt>
                <c:pt idx="1">
                  <c:v>0.796205882352941</c:v>
                </c:pt>
                <c:pt idx="2">
                  <c:v>0.740539215686274</c:v>
                </c:pt>
                <c:pt idx="3">
                  <c:v>0.772892156862745</c:v>
                </c:pt>
                <c:pt idx="4">
                  <c:v>0.639958333333333</c:v>
                </c:pt>
                <c:pt idx="5">
                  <c:v>0.886490196078431</c:v>
                </c:pt>
                <c:pt idx="6">
                  <c:v>0.775392156862745</c:v>
                </c:pt>
                <c:pt idx="7">
                  <c:v>0.166323529411765</c:v>
                </c:pt>
                <c:pt idx="8">
                  <c:v>0.778039215686274</c:v>
                </c:pt>
                <c:pt idx="9">
                  <c:v>0.754330882352941</c:v>
                </c:pt>
                <c:pt idx="10">
                  <c:v>0.594987745098039</c:v>
                </c:pt>
                <c:pt idx="11">
                  <c:v>0.537487745098039</c:v>
                </c:pt>
                <c:pt idx="12">
                  <c:v>0.659419117647059</c:v>
                </c:pt>
                <c:pt idx="13">
                  <c:v>0.770098039215686</c:v>
                </c:pt>
                <c:pt idx="14">
                  <c:v>0.801220588235294</c:v>
                </c:pt>
                <c:pt idx="15">
                  <c:v>0.794725490196078</c:v>
                </c:pt>
                <c:pt idx="16">
                  <c:v>0.676352941176471</c:v>
                </c:pt>
                <c:pt idx="17">
                  <c:v>0.766205882352941</c:v>
                </c:pt>
                <c:pt idx="18">
                  <c:v>0.7735</c:v>
                </c:pt>
                <c:pt idx="19">
                  <c:v>0.844529411764706</c:v>
                </c:pt>
                <c:pt idx="20">
                  <c:v>0.766745098039216</c:v>
                </c:pt>
                <c:pt idx="21">
                  <c:v>0.757372549019608</c:v>
                </c:pt>
                <c:pt idx="22">
                  <c:v>0.740813725490196</c:v>
                </c:pt>
                <c:pt idx="23">
                  <c:v>0.601794117647059</c:v>
                </c:pt>
                <c:pt idx="24">
                  <c:v>0.683313725490196</c:v>
                </c:pt>
                <c:pt idx="25">
                  <c:v>0.789245098039216</c:v>
                </c:pt>
                <c:pt idx="26">
                  <c:v>0.78693137254902</c:v>
                </c:pt>
                <c:pt idx="27">
                  <c:v>0.679620098039216</c:v>
                </c:pt>
                <c:pt idx="28">
                  <c:v>0.46625</c:v>
                </c:pt>
                <c:pt idx="29">
                  <c:v>0.784098039215686</c:v>
                </c:pt>
                <c:pt idx="30">
                  <c:v>0.863362745098039</c:v>
                </c:pt>
                <c:pt idx="31">
                  <c:v>0.808019607843137</c:v>
                </c:pt>
                <c:pt idx="32">
                  <c:v>0.542009803921569</c:v>
                </c:pt>
                <c:pt idx="33">
                  <c:v>0.7515</c:v>
                </c:pt>
                <c:pt idx="34">
                  <c:v>0.832009803921569</c:v>
                </c:pt>
                <c:pt idx="35">
                  <c:v>0.842176470588235</c:v>
                </c:pt>
                <c:pt idx="36">
                  <c:v>0.848303921568627</c:v>
                </c:pt>
                <c:pt idx="37">
                  <c:v>0.911882352941176</c:v>
                </c:pt>
                <c:pt idx="38">
                  <c:v>0.877303921568627</c:v>
                </c:pt>
                <c:pt idx="39">
                  <c:v>0.762039215686274</c:v>
                </c:pt>
                <c:pt idx="40">
                  <c:v>0.668401960784314</c:v>
                </c:pt>
                <c:pt idx="41">
                  <c:v>0.781745098039216</c:v>
                </c:pt>
                <c:pt idx="42">
                  <c:v>0.711980392156863</c:v>
                </c:pt>
                <c:pt idx="43">
                  <c:v>0.721960784313725</c:v>
                </c:pt>
                <c:pt idx="44">
                  <c:v>0.723897058823529</c:v>
                </c:pt>
                <c:pt idx="45">
                  <c:v>0.745142156862745</c:v>
                </c:pt>
                <c:pt idx="46">
                  <c:v>0.757058823529412</c:v>
                </c:pt>
                <c:pt idx="47">
                  <c:v>0.892676470588235</c:v>
                </c:pt>
                <c:pt idx="48">
                  <c:v>0.84443137254902</c:v>
                </c:pt>
                <c:pt idx="49">
                  <c:v>0.732333333333333</c:v>
                </c:pt>
                <c:pt idx="50">
                  <c:v>0.786495098039216</c:v>
                </c:pt>
                <c:pt idx="51">
                  <c:v>0.728877450980392</c:v>
                </c:pt>
                <c:pt idx="52">
                  <c:v>0.780833333333333</c:v>
                </c:pt>
                <c:pt idx="53">
                  <c:v>0.737647058823529</c:v>
                </c:pt>
                <c:pt idx="54">
                  <c:v>0.765852941176471</c:v>
                </c:pt>
                <c:pt idx="55">
                  <c:v>0.749416666666667</c:v>
                </c:pt>
                <c:pt idx="56">
                  <c:v>0.845509803921569</c:v>
                </c:pt>
                <c:pt idx="57">
                  <c:v>0.832303921568627</c:v>
                </c:pt>
                <c:pt idx="58">
                  <c:v>0.883843137254902</c:v>
                </c:pt>
                <c:pt idx="59">
                  <c:v>0.796686274509804</c:v>
                </c:pt>
                <c:pt idx="60">
                  <c:v>0.769686274509804</c:v>
                </c:pt>
                <c:pt idx="61">
                  <c:v>0.915127450980392</c:v>
                </c:pt>
                <c:pt idx="62">
                  <c:v>0.755850490196078</c:v>
                </c:pt>
                <c:pt idx="63">
                  <c:v>0.738370098039216</c:v>
                </c:pt>
                <c:pt idx="64">
                  <c:v>0.730017156862745</c:v>
                </c:pt>
                <c:pt idx="65">
                  <c:v>0.783970588235294</c:v>
                </c:pt>
                <c:pt idx="66">
                  <c:v>0.842676470588235</c:v>
                </c:pt>
                <c:pt idx="67">
                  <c:v>0.737916666666667</c:v>
                </c:pt>
                <c:pt idx="68">
                  <c:v>0.926549019607843</c:v>
                </c:pt>
                <c:pt idx="69">
                  <c:v>0.548990196078431</c:v>
                </c:pt>
                <c:pt idx="70">
                  <c:v>0.866637254901961</c:v>
                </c:pt>
                <c:pt idx="71">
                  <c:v>0.765436274509804</c:v>
                </c:pt>
                <c:pt idx="72">
                  <c:v>0.733107843137255</c:v>
                </c:pt>
                <c:pt idx="73">
                  <c:v>0.706142156862745</c:v>
                </c:pt>
                <c:pt idx="74">
                  <c:v>0.642127450980392</c:v>
                </c:pt>
                <c:pt idx="75">
                  <c:v>0.695308823529412</c:v>
                </c:pt>
                <c:pt idx="76">
                  <c:v>0.573132352941176</c:v>
                </c:pt>
                <c:pt idx="77">
                  <c:v>0.642024509803922</c:v>
                </c:pt>
                <c:pt idx="78">
                  <c:v>0.786367647058823</c:v>
                </c:pt>
                <c:pt idx="79">
                  <c:v>0.689392156862745</c:v>
                </c:pt>
                <c:pt idx="80">
                  <c:v>0.803406862745098</c:v>
                </c:pt>
                <c:pt idx="81">
                  <c:v>0.61656862745098</c:v>
                </c:pt>
                <c:pt idx="82">
                  <c:v>0.737098039215686</c:v>
                </c:pt>
                <c:pt idx="83">
                  <c:v>0.78168137254902</c:v>
                </c:pt>
                <c:pt idx="84">
                  <c:v>0.683941176470588</c:v>
                </c:pt>
                <c:pt idx="85">
                  <c:v>0.658335784313726</c:v>
                </c:pt>
                <c:pt idx="86">
                  <c:v>0.664441176470588</c:v>
                </c:pt>
                <c:pt idx="87">
                  <c:v>0.778450980392157</c:v>
                </c:pt>
                <c:pt idx="88">
                  <c:v>0.695044117647059</c:v>
                </c:pt>
                <c:pt idx="89">
                  <c:v>0.730852941176471</c:v>
                </c:pt>
                <c:pt idx="90">
                  <c:v>0.869985294117647</c:v>
                </c:pt>
                <c:pt idx="91">
                  <c:v>0.736161764705882</c:v>
                </c:pt>
                <c:pt idx="92">
                  <c:v>0.715164215686275</c:v>
                </c:pt>
                <c:pt idx="93">
                  <c:v>0.634254901960784</c:v>
                </c:pt>
                <c:pt idx="94">
                  <c:v>0.800887254901961</c:v>
                </c:pt>
                <c:pt idx="95">
                  <c:v>0.808867647058824</c:v>
                </c:pt>
                <c:pt idx="96">
                  <c:v>0.671544117647059</c:v>
                </c:pt>
                <c:pt idx="97">
                  <c:v>0.629879901960784</c:v>
                </c:pt>
                <c:pt idx="98">
                  <c:v>0.709352941176471</c:v>
                </c:pt>
                <c:pt idx="99">
                  <c:v>0.686022058823529</c:v>
                </c:pt>
                <c:pt idx="100">
                  <c:v>0.717916666666667</c:v>
                </c:pt>
                <c:pt idx="101">
                  <c:v>0.678377450980392</c:v>
                </c:pt>
                <c:pt idx="102">
                  <c:v>0.629088235294118</c:v>
                </c:pt>
                <c:pt idx="103">
                  <c:v>0.659502450980392</c:v>
                </c:pt>
                <c:pt idx="104">
                  <c:v>0.569191176470588</c:v>
                </c:pt>
                <c:pt idx="105">
                  <c:v>0.845176470588235</c:v>
                </c:pt>
                <c:pt idx="106">
                  <c:v>0.794828431372549</c:v>
                </c:pt>
                <c:pt idx="107">
                  <c:v>0.79003431372549</c:v>
                </c:pt>
                <c:pt idx="108">
                  <c:v>0.698705882352941</c:v>
                </c:pt>
                <c:pt idx="109">
                  <c:v>0.688897058823529</c:v>
                </c:pt>
                <c:pt idx="110">
                  <c:v>0.705044117647059</c:v>
                </c:pt>
                <c:pt idx="111">
                  <c:v>0.82055637254902</c:v>
                </c:pt>
                <c:pt idx="112">
                  <c:v>0.702789215686275</c:v>
                </c:pt>
                <c:pt idx="113">
                  <c:v>0.658647058823529</c:v>
                </c:pt>
                <c:pt idx="114">
                  <c:v>0.787161764705882</c:v>
                </c:pt>
                <c:pt idx="115">
                  <c:v>0.651107843137255</c:v>
                </c:pt>
                <c:pt idx="116">
                  <c:v>0.655061274509804</c:v>
                </c:pt>
                <c:pt idx="117">
                  <c:v>0.820281862745098</c:v>
                </c:pt>
                <c:pt idx="118">
                  <c:v>0.719686274509804</c:v>
                </c:pt>
                <c:pt idx="119">
                  <c:v>0.795531862745098</c:v>
                </c:pt>
                <c:pt idx="120">
                  <c:v>0.787098039215686</c:v>
                </c:pt>
                <c:pt idx="121">
                  <c:v>0.758911764705882</c:v>
                </c:pt>
                <c:pt idx="122">
                  <c:v>0.617862745098039</c:v>
                </c:pt>
                <c:pt idx="123">
                  <c:v>0.600171568627451</c:v>
                </c:pt>
                <c:pt idx="124">
                  <c:v>0.600901960784314</c:v>
                </c:pt>
                <c:pt idx="125">
                  <c:v>0.73018137254902</c:v>
                </c:pt>
                <c:pt idx="126">
                  <c:v>0.660147058823529</c:v>
                </c:pt>
                <c:pt idx="127">
                  <c:v>0.825428921568627</c:v>
                </c:pt>
                <c:pt idx="128">
                  <c:v>0.902107843137255</c:v>
                </c:pt>
                <c:pt idx="129">
                  <c:v>0.792406862745098</c:v>
                </c:pt>
                <c:pt idx="130">
                  <c:v>0.743414215686275</c:v>
                </c:pt>
                <c:pt idx="131">
                  <c:v>0.865049019607843</c:v>
                </c:pt>
                <c:pt idx="132">
                  <c:v>0.684455882352941</c:v>
                </c:pt>
                <c:pt idx="133">
                  <c:v>0.488823529411765</c:v>
                </c:pt>
                <c:pt idx="134">
                  <c:v>0.769450980392157</c:v>
                </c:pt>
                <c:pt idx="135">
                  <c:v>0.676502450980392</c:v>
                </c:pt>
                <c:pt idx="136">
                  <c:v>0.667058823529412</c:v>
                </c:pt>
                <c:pt idx="137">
                  <c:v>0.730372549019608</c:v>
                </c:pt>
                <c:pt idx="138">
                  <c:v>0.673191176470588</c:v>
                </c:pt>
                <c:pt idx="139">
                  <c:v>0.665754901960784</c:v>
                </c:pt>
                <c:pt idx="140">
                  <c:v>0.751661764705882</c:v>
                </c:pt>
              </c:numCache>
            </c:numRef>
          </c:yVal>
          <c:smooth val="0"/>
        </c:ser>
        <c:dLbls>
          <c:showLegendKey val="0"/>
          <c:showVal val="0"/>
          <c:showCatName val="0"/>
          <c:showSerName val="0"/>
          <c:showPercent val="0"/>
          <c:showBubbleSize val="0"/>
        </c:dLbls>
        <c:axId val="136824320"/>
        <c:axId val="136826240"/>
      </c:scatterChart>
      <c:catAx>
        <c:axId val="136824320"/>
        <c:scaling>
          <c:orientation val="minMax"/>
        </c:scaling>
        <c:delete val="0"/>
        <c:axPos val="b"/>
        <c:numFmt formatCode="General" sourceLinked="0"/>
        <c:majorTickMark val="out"/>
        <c:minorTickMark val="none"/>
        <c:tickLblPos val="nextTo"/>
        <c:spPr>
          <a:noFill/>
          <a:ln w="19050" cap="flat" cmpd="sng" algn="ctr">
            <a:solidFill>
              <a:schemeClr val="tx1"/>
            </a:solidFill>
            <a:prstDash val="solid"/>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36826240"/>
        <c:crosses val="autoZero"/>
        <c:auto val="1"/>
        <c:lblAlgn val="ctr"/>
        <c:lblOffset val="100"/>
        <c:tickLblSkip val="30"/>
        <c:tickMarkSkip val="30"/>
        <c:noMultiLvlLbl val="0"/>
      </c:catAx>
      <c:valAx>
        <c:axId val="136826240"/>
        <c:scaling>
          <c:orientation val="minMax"/>
          <c:max val="1"/>
        </c:scaling>
        <c:delete val="0"/>
        <c:axPos val="l"/>
        <c:majorGridlines>
          <c:spPr>
            <a:ln w="9525" cap="flat" cmpd="sng" algn="ctr">
              <a:solidFill>
                <a:schemeClr val="tx1">
                  <a:lumMod val="15000"/>
                  <a:lumOff val="85000"/>
                </a:schemeClr>
              </a:solidFill>
              <a:prstDash val="solid"/>
              <a:round/>
            </a:ln>
            <a:effectLst/>
          </c:spPr>
        </c:majorGridlines>
        <c:title>
          <c:tx>
            <c:rich>
              <a:bodyPr rot="0" spcFirstLastPara="1" vertOverflow="ellipsis" vert="eaVert"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zh-CN" altLang="en-US" sz="1100" b="1">
                    <a:latin typeface="仿宋" panose="02010609060101010101" pitchFamily="49" charset="-122"/>
                    <a:ea typeface="仿宋" panose="02010609060101010101" pitchFamily="49" charset="-122"/>
                  </a:rPr>
                  <a:t>达成度</a:t>
                </a:r>
                <a:endParaRPr lang="zh-CN" altLang="en-US" sz="1100" b="1">
                  <a:latin typeface="仿宋" panose="02010609060101010101" pitchFamily="49" charset="-122"/>
                  <a:ea typeface="仿宋" panose="02010609060101010101" pitchFamily="49" charset="-122"/>
                </a:endParaRPr>
              </a:p>
            </c:rich>
          </c:tx>
          <c:layout/>
          <c:overlay val="0"/>
          <c:spPr>
            <a:noFill/>
            <a:ln>
              <a:noFill/>
            </a:ln>
            <a:effectLst/>
          </c:spPr>
        </c:title>
        <c:numFmt formatCode="0.00_ " sourceLinked="1"/>
        <c:majorTickMark val="none"/>
        <c:minorTickMark val="none"/>
        <c:tickLblPos val="nextTo"/>
        <c:spPr>
          <a:noFill/>
          <a:ln w="19050" cap="flat" cmpd="sng" algn="ctr">
            <a:solidFill>
              <a:schemeClr val="tx1"/>
            </a:solidFill>
            <a:prstDash val="solid"/>
            <a:round/>
          </a:ln>
          <a:effectLst/>
        </c:spPr>
        <c:txPr>
          <a:bodyPr rot="-60000000" spcFirstLastPara="0"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p>
        </c:txPr>
        <c:crossAx val="136824320"/>
        <c:crossesAt val="0"/>
        <c:crossBetween val="between"/>
        <c:majorUnit val="0.2"/>
        <c:minorUnit val="0.2"/>
      </c:valAx>
      <c:spPr>
        <a:noFill/>
        <a:ln>
          <a:noFill/>
        </a:ln>
        <a:effectLst/>
      </c:spPr>
    </c:plotArea>
    <c:legend>
      <c:legendPos val="t"/>
      <c:layout>
        <c:manualLayout>
          <c:xMode val="edge"/>
          <c:yMode val="edge"/>
          <c:x val="0.322541145833333"/>
          <c:y val="0.622236296296296"/>
          <c:w val="0.365125"/>
          <c:h val="0.0793755555555556"/>
        </c:manualLayout>
      </c:layout>
      <c:overlay val="1"/>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af5161ba-3426-424e-bc5c-e9f1f99b8ca3}"/>
      </c:ext>
    </c:extLst>
  </c:chart>
  <c:spPr>
    <a:solidFill>
      <a:schemeClr val="bg1"/>
    </a:solidFill>
    <a:ln w="9525" cap="flat" cmpd="sng" algn="ctr">
      <a:noFill/>
      <a:prstDash val="solid"/>
      <a:round/>
    </a:ln>
    <a:effectLst/>
  </c:spPr>
  <c:txPr>
    <a:bodyPr/>
    <a:lstStyle/>
    <a:p>
      <a:pPr>
        <a:defRPr lang="zh-CN"/>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0" vertOverflow="ellipsis" vert="horz" wrap="square" anchor="b" anchorCtr="1"/>
          <a:lstStyle/>
          <a:p>
            <a:pPr algn="ctr" defTabSz="914400">
              <a:defRPr lang="zh-CN" sz="1400" b="0" i="0" u="none" strike="noStrike" kern="1200" spc="0" baseline="0">
                <a:solidFill>
                  <a:schemeClr val="tx1">
                    <a:lumMod val="65000"/>
                    <a:lumOff val="35000"/>
                  </a:schemeClr>
                </a:solidFill>
                <a:latin typeface="+mn-lt"/>
                <a:ea typeface="+mn-ea"/>
                <a:cs typeface="+mn-cs"/>
              </a:defRPr>
            </a:pPr>
            <a:r>
              <a:rPr lang="zh-CN" altLang="en-US" sz="1200" b="1">
                <a:latin typeface="仿宋" panose="02010609060101010101" pitchFamily="49" charset="-122"/>
                <a:ea typeface="仿宋" panose="02010609060101010101" pitchFamily="49" charset="-122"/>
              </a:rPr>
              <a:t>目标</a:t>
            </a:r>
            <a:r>
              <a:rPr lang="en-US" altLang="zh-CN" sz="1200" b="1">
                <a:latin typeface="仿宋" panose="02010609060101010101" pitchFamily="49" charset="-122"/>
                <a:ea typeface="仿宋" panose="02010609060101010101" pitchFamily="49" charset="-122"/>
              </a:rPr>
              <a:t>1 </a:t>
            </a:r>
            <a:r>
              <a:rPr lang="zh-CN" altLang="en-US" sz="1200" b="1">
                <a:latin typeface="仿宋" panose="02010609060101010101" pitchFamily="49" charset="-122"/>
                <a:ea typeface="仿宋" panose="02010609060101010101" pitchFamily="49" charset="-122"/>
              </a:rPr>
              <a:t>学生达成度散点图</a:t>
            </a:r>
            <a:endParaRPr lang="zh-CN" altLang="en-US" sz="1200" b="1">
              <a:latin typeface="仿宋" panose="02010609060101010101" pitchFamily="49" charset="-122"/>
              <a:ea typeface="仿宋" panose="02010609060101010101" pitchFamily="49" charset="-122"/>
            </a:endParaRPr>
          </a:p>
        </c:rich>
      </c:tx>
      <c:layout>
        <c:manualLayout>
          <c:xMode val="edge"/>
          <c:yMode val="edge"/>
          <c:x val="0.32827800669994"/>
          <c:y val="0.863636235238287"/>
        </c:manualLayout>
      </c:layout>
      <c:overlay val="0"/>
      <c:spPr>
        <a:noFill/>
        <a:ln>
          <a:noFill/>
        </a:ln>
        <a:effectLst/>
      </c:spPr>
    </c:title>
    <c:autoTitleDeleted val="0"/>
    <c:plotArea>
      <c:layout>
        <c:manualLayout>
          <c:layoutTarget val="inner"/>
          <c:xMode val="edge"/>
          <c:yMode val="edge"/>
          <c:x val="0.106940281300438"/>
          <c:y val="0.0479573712255773"/>
          <c:w val="0.875766658980862"/>
          <c:h val="0.690364120781528"/>
        </c:manualLayout>
      </c:layout>
      <c:lineChart>
        <c:grouping val="stacked"/>
        <c:varyColors val="0"/>
        <c:ser>
          <c:idx val="0"/>
          <c:order val="1"/>
          <c:tx>
            <c:strRef>
              <c:f>"平均达成度"</c:f>
              <c:strCache>
                <c:ptCount val="1"/>
                <c:pt idx="0">
                  <c:v>平均达成度</c:v>
                </c:pt>
              </c:strCache>
            </c:strRef>
          </c:tx>
          <c:spPr>
            <a:ln w="25400" cap="rnd">
              <a:solidFill>
                <a:schemeClr val="accent4"/>
              </a:solidFill>
              <a:round/>
            </a:ln>
            <a:effectLst/>
          </c:spPr>
          <c:marker>
            <c:symbol val="none"/>
          </c:marker>
          <c:dLbls>
            <c:delete val="1"/>
          </c:dLbls>
          <c:cat>
            <c:numRef>
              <c:f>'5绘图数据'!$A$3:$A$143</c:f>
              <c:numCache>
                <c:formatCode>General</c:formatCode>
                <c:ptCount val="14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numCache>
            </c:numRef>
          </c:cat>
          <c:val>
            <c:numRef>
              <c:f>'5绘图数据'!$M$3:$M$143</c:f>
              <c:numCache>
                <c:formatCode>0.00_ </c:formatCode>
                <c:ptCount val="141"/>
                <c:pt idx="0">
                  <c:v>0.820478723404255</c:v>
                </c:pt>
                <c:pt idx="1">
                  <c:v>0.820478723404255</c:v>
                </c:pt>
                <c:pt idx="2">
                  <c:v>0.820478723404255</c:v>
                </c:pt>
                <c:pt idx="3">
                  <c:v>0.820478723404255</c:v>
                </c:pt>
                <c:pt idx="4">
                  <c:v>0.820478723404255</c:v>
                </c:pt>
                <c:pt idx="5">
                  <c:v>0.820478723404255</c:v>
                </c:pt>
                <c:pt idx="6">
                  <c:v>0.820478723404255</c:v>
                </c:pt>
                <c:pt idx="7">
                  <c:v>0.820478723404255</c:v>
                </c:pt>
                <c:pt idx="8">
                  <c:v>0.820478723404255</c:v>
                </c:pt>
                <c:pt idx="9">
                  <c:v>0.820478723404255</c:v>
                </c:pt>
                <c:pt idx="10">
                  <c:v>0.820478723404255</c:v>
                </c:pt>
                <c:pt idx="11">
                  <c:v>0.820478723404255</c:v>
                </c:pt>
                <c:pt idx="12">
                  <c:v>0.820478723404255</c:v>
                </c:pt>
                <c:pt idx="13">
                  <c:v>0.820478723404255</c:v>
                </c:pt>
                <c:pt idx="14">
                  <c:v>0.820478723404255</c:v>
                </c:pt>
                <c:pt idx="15">
                  <c:v>0.820478723404255</c:v>
                </c:pt>
                <c:pt idx="16">
                  <c:v>0.820478723404255</c:v>
                </c:pt>
                <c:pt idx="17">
                  <c:v>0.820478723404255</c:v>
                </c:pt>
                <c:pt idx="18">
                  <c:v>0.820478723404255</c:v>
                </c:pt>
                <c:pt idx="19">
                  <c:v>0.820478723404255</c:v>
                </c:pt>
                <c:pt idx="20">
                  <c:v>0.820478723404255</c:v>
                </c:pt>
                <c:pt idx="21">
                  <c:v>0.820478723404255</c:v>
                </c:pt>
                <c:pt idx="22">
                  <c:v>0.820478723404255</c:v>
                </c:pt>
                <c:pt idx="23">
                  <c:v>0.820478723404255</c:v>
                </c:pt>
                <c:pt idx="24">
                  <c:v>0.820478723404255</c:v>
                </c:pt>
                <c:pt idx="25">
                  <c:v>0.820478723404255</c:v>
                </c:pt>
                <c:pt idx="26">
                  <c:v>0.820478723404255</c:v>
                </c:pt>
                <c:pt idx="27">
                  <c:v>0.820478723404255</c:v>
                </c:pt>
                <c:pt idx="28">
                  <c:v>0.820478723404255</c:v>
                </c:pt>
                <c:pt idx="29">
                  <c:v>0.820478723404255</c:v>
                </c:pt>
                <c:pt idx="30">
                  <c:v>0.820478723404255</c:v>
                </c:pt>
                <c:pt idx="31">
                  <c:v>0.820478723404255</c:v>
                </c:pt>
                <c:pt idx="32">
                  <c:v>0.820478723404255</c:v>
                </c:pt>
                <c:pt idx="33">
                  <c:v>0.820478723404255</c:v>
                </c:pt>
                <c:pt idx="34">
                  <c:v>0.820478723404255</c:v>
                </c:pt>
                <c:pt idx="35">
                  <c:v>0.820478723404255</c:v>
                </c:pt>
                <c:pt idx="36">
                  <c:v>0.820478723404255</c:v>
                </c:pt>
                <c:pt idx="37">
                  <c:v>0.820478723404255</c:v>
                </c:pt>
                <c:pt idx="38">
                  <c:v>0.820478723404255</c:v>
                </c:pt>
                <c:pt idx="39">
                  <c:v>0.820478723404255</c:v>
                </c:pt>
                <c:pt idx="40">
                  <c:v>0.820478723404255</c:v>
                </c:pt>
                <c:pt idx="41">
                  <c:v>0.820478723404255</c:v>
                </c:pt>
                <c:pt idx="42">
                  <c:v>0.820478723404255</c:v>
                </c:pt>
                <c:pt idx="43">
                  <c:v>0.820478723404255</c:v>
                </c:pt>
                <c:pt idx="44">
                  <c:v>0.820478723404255</c:v>
                </c:pt>
                <c:pt idx="45">
                  <c:v>0.820478723404255</c:v>
                </c:pt>
                <c:pt idx="46">
                  <c:v>0.820478723404255</c:v>
                </c:pt>
                <c:pt idx="47">
                  <c:v>0.820478723404255</c:v>
                </c:pt>
                <c:pt idx="48">
                  <c:v>0.820478723404255</c:v>
                </c:pt>
                <c:pt idx="49">
                  <c:v>0.820478723404255</c:v>
                </c:pt>
                <c:pt idx="50">
                  <c:v>0.820478723404255</c:v>
                </c:pt>
                <c:pt idx="51">
                  <c:v>0.820478723404255</c:v>
                </c:pt>
                <c:pt idx="52">
                  <c:v>0.820478723404255</c:v>
                </c:pt>
                <c:pt idx="53">
                  <c:v>0.820478723404255</c:v>
                </c:pt>
                <c:pt idx="54">
                  <c:v>0.820478723404255</c:v>
                </c:pt>
                <c:pt idx="55">
                  <c:v>0.820478723404255</c:v>
                </c:pt>
                <c:pt idx="56">
                  <c:v>0.820478723404255</c:v>
                </c:pt>
                <c:pt idx="57">
                  <c:v>0.820478723404255</c:v>
                </c:pt>
                <c:pt idx="58">
                  <c:v>0.820478723404255</c:v>
                </c:pt>
                <c:pt idx="59">
                  <c:v>0.820478723404255</c:v>
                </c:pt>
                <c:pt idx="60">
                  <c:v>0.820478723404255</c:v>
                </c:pt>
                <c:pt idx="61">
                  <c:v>0.820478723404255</c:v>
                </c:pt>
                <c:pt idx="62">
                  <c:v>0.820478723404255</c:v>
                </c:pt>
                <c:pt idx="63">
                  <c:v>0.820478723404255</c:v>
                </c:pt>
                <c:pt idx="64">
                  <c:v>0.820478723404255</c:v>
                </c:pt>
                <c:pt idx="65">
                  <c:v>0.820478723404255</c:v>
                </c:pt>
                <c:pt idx="66">
                  <c:v>0.820478723404255</c:v>
                </c:pt>
                <c:pt idx="67">
                  <c:v>0.820478723404255</c:v>
                </c:pt>
                <c:pt idx="68">
                  <c:v>0.820478723404255</c:v>
                </c:pt>
                <c:pt idx="69">
                  <c:v>0.820478723404255</c:v>
                </c:pt>
                <c:pt idx="70">
                  <c:v>0.820478723404255</c:v>
                </c:pt>
                <c:pt idx="71">
                  <c:v>0.820478723404255</c:v>
                </c:pt>
                <c:pt idx="72">
                  <c:v>0.820478723404255</c:v>
                </c:pt>
                <c:pt idx="73">
                  <c:v>0.820478723404255</c:v>
                </c:pt>
                <c:pt idx="74">
                  <c:v>0.820478723404255</c:v>
                </c:pt>
                <c:pt idx="75">
                  <c:v>0.820478723404255</c:v>
                </c:pt>
                <c:pt idx="76">
                  <c:v>0.820478723404255</c:v>
                </c:pt>
                <c:pt idx="77">
                  <c:v>0.820478723404255</c:v>
                </c:pt>
                <c:pt idx="78">
                  <c:v>0.820478723404255</c:v>
                </c:pt>
                <c:pt idx="79">
                  <c:v>0.820478723404255</c:v>
                </c:pt>
                <c:pt idx="80">
                  <c:v>0.820478723404255</c:v>
                </c:pt>
                <c:pt idx="81">
                  <c:v>0.820478723404255</c:v>
                </c:pt>
                <c:pt idx="82">
                  <c:v>0.820478723404255</c:v>
                </c:pt>
                <c:pt idx="83">
                  <c:v>0.820478723404255</c:v>
                </c:pt>
                <c:pt idx="84">
                  <c:v>0.820478723404255</c:v>
                </c:pt>
                <c:pt idx="85">
                  <c:v>0.820478723404255</c:v>
                </c:pt>
                <c:pt idx="86">
                  <c:v>0.820478723404255</c:v>
                </c:pt>
                <c:pt idx="87">
                  <c:v>0.820478723404255</c:v>
                </c:pt>
                <c:pt idx="88">
                  <c:v>0.820478723404255</c:v>
                </c:pt>
                <c:pt idx="89">
                  <c:v>0.820478723404255</c:v>
                </c:pt>
                <c:pt idx="90">
                  <c:v>0.820478723404255</c:v>
                </c:pt>
                <c:pt idx="91">
                  <c:v>0.820478723404255</c:v>
                </c:pt>
                <c:pt idx="92">
                  <c:v>0.820478723404255</c:v>
                </c:pt>
                <c:pt idx="93">
                  <c:v>0.820478723404255</c:v>
                </c:pt>
                <c:pt idx="94">
                  <c:v>0.820478723404255</c:v>
                </c:pt>
                <c:pt idx="95">
                  <c:v>0.820478723404255</c:v>
                </c:pt>
                <c:pt idx="96">
                  <c:v>0.820478723404255</c:v>
                </c:pt>
                <c:pt idx="97">
                  <c:v>0.820478723404255</c:v>
                </c:pt>
                <c:pt idx="98">
                  <c:v>0.820478723404255</c:v>
                </c:pt>
                <c:pt idx="99">
                  <c:v>0.820478723404255</c:v>
                </c:pt>
                <c:pt idx="100">
                  <c:v>0.820478723404255</c:v>
                </c:pt>
                <c:pt idx="101">
                  <c:v>0.820478723404255</c:v>
                </c:pt>
                <c:pt idx="102">
                  <c:v>0.820478723404255</c:v>
                </c:pt>
                <c:pt idx="103">
                  <c:v>0.820478723404255</c:v>
                </c:pt>
                <c:pt idx="104">
                  <c:v>0.820478723404255</c:v>
                </c:pt>
                <c:pt idx="105">
                  <c:v>0.820478723404255</c:v>
                </c:pt>
                <c:pt idx="106">
                  <c:v>0.820478723404255</c:v>
                </c:pt>
                <c:pt idx="107">
                  <c:v>0.820478723404255</c:v>
                </c:pt>
                <c:pt idx="108">
                  <c:v>0.820478723404255</c:v>
                </c:pt>
                <c:pt idx="109">
                  <c:v>0.820478723404255</c:v>
                </c:pt>
                <c:pt idx="110">
                  <c:v>0.820478723404255</c:v>
                </c:pt>
                <c:pt idx="111">
                  <c:v>0.820478723404255</c:v>
                </c:pt>
                <c:pt idx="112">
                  <c:v>0.820478723404255</c:v>
                </c:pt>
                <c:pt idx="113">
                  <c:v>0.820478723404255</c:v>
                </c:pt>
                <c:pt idx="114">
                  <c:v>0.820478723404255</c:v>
                </c:pt>
                <c:pt idx="115">
                  <c:v>0.820478723404255</c:v>
                </c:pt>
                <c:pt idx="116">
                  <c:v>0.820478723404255</c:v>
                </c:pt>
                <c:pt idx="117">
                  <c:v>0.820478723404255</c:v>
                </c:pt>
                <c:pt idx="118">
                  <c:v>0.820478723404255</c:v>
                </c:pt>
                <c:pt idx="119">
                  <c:v>0.820478723404255</c:v>
                </c:pt>
                <c:pt idx="120">
                  <c:v>0.820478723404255</c:v>
                </c:pt>
                <c:pt idx="121">
                  <c:v>0.820478723404255</c:v>
                </c:pt>
                <c:pt idx="122">
                  <c:v>0.820478723404255</c:v>
                </c:pt>
                <c:pt idx="123">
                  <c:v>0.820478723404255</c:v>
                </c:pt>
                <c:pt idx="124">
                  <c:v>0.820478723404255</c:v>
                </c:pt>
                <c:pt idx="125">
                  <c:v>0.820478723404255</c:v>
                </c:pt>
                <c:pt idx="126">
                  <c:v>0.820478723404255</c:v>
                </c:pt>
                <c:pt idx="127">
                  <c:v>0.820478723404255</c:v>
                </c:pt>
                <c:pt idx="128">
                  <c:v>0.820478723404255</c:v>
                </c:pt>
                <c:pt idx="129">
                  <c:v>0.820478723404255</c:v>
                </c:pt>
                <c:pt idx="130">
                  <c:v>0.820478723404255</c:v>
                </c:pt>
                <c:pt idx="131">
                  <c:v>0.820478723404255</c:v>
                </c:pt>
                <c:pt idx="132">
                  <c:v>0.820478723404255</c:v>
                </c:pt>
                <c:pt idx="133">
                  <c:v>0.820478723404255</c:v>
                </c:pt>
                <c:pt idx="134">
                  <c:v>0.820478723404255</c:v>
                </c:pt>
                <c:pt idx="135">
                  <c:v>0.820478723404255</c:v>
                </c:pt>
                <c:pt idx="136">
                  <c:v>0.820478723404255</c:v>
                </c:pt>
                <c:pt idx="137">
                  <c:v>0.820478723404255</c:v>
                </c:pt>
                <c:pt idx="138">
                  <c:v>0.820478723404255</c:v>
                </c:pt>
                <c:pt idx="139">
                  <c:v>0.820478723404255</c:v>
                </c:pt>
                <c:pt idx="140">
                  <c:v>0.820478723404255</c:v>
                </c:pt>
              </c:numCache>
            </c:numRef>
          </c:val>
          <c:smooth val="0"/>
        </c:ser>
        <c:dLbls>
          <c:showLegendKey val="0"/>
          <c:showVal val="0"/>
          <c:showCatName val="0"/>
          <c:showSerName val="0"/>
          <c:showPercent val="0"/>
          <c:showBubbleSize val="0"/>
        </c:dLbls>
        <c:marker val="0"/>
        <c:smooth val="0"/>
        <c:axId val="162228096"/>
        <c:axId val="162230272"/>
      </c:lineChart>
      <c:scatterChart>
        <c:scatterStyle val="marker"/>
        <c:varyColors val="0"/>
        <c:ser>
          <c:idx val="3"/>
          <c:order val="0"/>
          <c:tx>
            <c:strRef>
              <c:f>"学生达成度"</c:f>
              <c:strCache>
                <c:ptCount val="1"/>
                <c:pt idx="0">
                  <c:v>学生达成度</c:v>
                </c:pt>
              </c:strCache>
            </c:strRef>
          </c:tx>
          <c:spPr>
            <a:ln w="19050" cap="rnd">
              <a:noFill/>
              <a:round/>
            </a:ln>
            <a:effectLst/>
          </c:spPr>
          <c:marker>
            <c:symbol val="circle"/>
            <c:size val="5"/>
            <c:spPr>
              <a:solidFill>
                <a:schemeClr val="accent5"/>
              </a:solidFill>
              <a:ln w="9525">
                <a:noFill/>
              </a:ln>
              <a:effectLst/>
            </c:spPr>
          </c:marker>
          <c:dLbls>
            <c:delete val="1"/>
          </c:dLbls>
          <c:xVal>
            <c:numRef>
              <c:f>'5绘图数据'!$A$3:$A$143</c:f>
              <c:numCache>
                <c:formatCode>General</c:formatCode>
                <c:ptCount val="14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numCache>
            </c:numRef>
          </c:xVal>
          <c:yVal>
            <c:numRef>
              <c:f>'5绘图数据'!$D$3:$D$143</c:f>
              <c:numCache>
                <c:formatCode>0.00_ </c:formatCode>
                <c:ptCount val="141"/>
                <c:pt idx="0">
                  <c:v>0.763888888888889</c:v>
                </c:pt>
                <c:pt idx="1">
                  <c:v>0.916666666666667</c:v>
                </c:pt>
                <c:pt idx="2">
                  <c:v>0.972222222222222</c:v>
                </c:pt>
                <c:pt idx="3">
                  <c:v>0.972222222222222</c:v>
                </c:pt>
                <c:pt idx="4">
                  <c:v>0.743055555555556</c:v>
                </c:pt>
                <c:pt idx="5">
                  <c:v>0.944444444444444</c:v>
                </c:pt>
                <c:pt idx="6">
                  <c:v>0.888888888888889</c:v>
                </c:pt>
                <c:pt idx="7">
                  <c:v>0.25</c:v>
                </c:pt>
                <c:pt idx="8">
                  <c:v>0.888888888888889</c:v>
                </c:pt>
                <c:pt idx="9">
                  <c:v>0.854166666666667</c:v>
                </c:pt>
                <c:pt idx="10">
                  <c:v>0.659722222222222</c:v>
                </c:pt>
                <c:pt idx="11">
                  <c:v>0.743055555555556</c:v>
                </c:pt>
                <c:pt idx="12">
                  <c:v>0.770833333333333</c:v>
                </c:pt>
                <c:pt idx="13">
                  <c:v>0.888888888888889</c:v>
                </c:pt>
                <c:pt idx="14">
                  <c:v>0.791666666666667</c:v>
                </c:pt>
                <c:pt idx="15">
                  <c:v>0.944444444444444</c:v>
                </c:pt>
                <c:pt idx="16">
                  <c:v>0.833333333333333</c:v>
                </c:pt>
                <c:pt idx="17">
                  <c:v>0.916666666666667</c:v>
                </c:pt>
                <c:pt idx="18">
                  <c:v>0.916666666666667</c:v>
                </c:pt>
                <c:pt idx="19">
                  <c:v>1</c:v>
                </c:pt>
                <c:pt idx="20">
                  <c:v>0.888888888888889</c:v>
                </c:pt>
                <c:pt idx="21">
                  <c:v>0.944444444444444</c:v>
                </c:pt>
                <c:pt idx="22">
                  <c:v>0.861111111111111</c:v>
                </c:pt>
                <c:pt idx="23">
                  <c:v>0.583333333333333</c:v>
                </c:pt>
                <c:pt idx="24">
                  <c:v>0.777777777777778</c:v>
                </c:pt>
                <c:pt idx="25">
                  <c:v>0.972222222222222</c:v>
                </c:pt>
                <c:pt idx="26">
                  <c:v>0.861111111111111</c:v>
                </c:pt>
                <c:pt idx="27">
                  <c:v>0.784722222222222</c:v>
                </c:pt>
                <c:pt idx="28">
                  <c:v>0.708333333333333</c:v>
                </c:pt>
                <c:pt idx="29">
                  <c:v>0.888888888888889</c:v>
                </c:pt>
                <c:pt idx="30">
                  <c:v>0.972222222222222</c:v>
                </c:pt>
                <c:pt idx="31">
                  <c:v>0.944444444444444</c:v>
                </c:pt>
                <c:pt idx="32">
                  <c:v>0.805555555555556</c:v>
                </c:pt>
                <c:pt idx="33">
                  <c:v>0.916666666666667</c:v>
                </c:pt>
                <c:pt idx="34">
                  <c:v>0.972222222222222</c:v>
                </c:pt>
                <c:pt idx="35">
                  <c:v>1</c:v>
                </c:pt>
                <c:pt idx="36">
                  <c:v>0.972222222222222</c:v>
                </c:pt>
                <c:pt idx="37">
                  <c:v>1</c:v>
                </c:pt>
                <c:pt idx="38">
                  <c:v>0.972222222222222</c:v>
                </c:pt>
                <c:pt idx="39">
                  <c:v>0.888888888888889</c:v>
                </c:pt>
                <c:pt idx="40">
                  <c:v>0.861111111111111</c:v>
                </c:pt>
                <c:pt idx="41">
                  <c:v>0.888888888888889</c:v>
                </c:pt>
                <c:pt idx="42">
                  <c:v>0.888888888888889</c:v>
                </c:pt>
                <c:pt idx="43">
                  <c:v>0.777777777777778</c:v>
                </c:pt>
                <c:pt idx="44">
                  <c:v>0.875</c:v>
                </c:pt>
                <c:pt idx="45">
                  <c:v>0.680555555555556</c:v>
                </c:pt>
                <c:pt idx="46">
                  <c:v>0.833333333333333</c:v>
                </c:pt>
                <c:pt idx="47">
                  <c:v>0.916666666666667</c:v>
                </c:pt>
                <c:pt idx="48">
                  <c:v>0.944444444444444</c:v>
                </c:pt>
                <c:pt idx="49">
                  <c:v>0.888888888888889</c:v>
                </c:pt>
                <c:pt idx="50">
                  <c:v>0.847222222222222</c:v>
                </c:pt>
                <c:pt idx="51">
                  <c:v>0.930555555555556</c:v>
                </c:pt>
                <c:pt idx="52">
                  <c:v>0.972222222222222</c:v>
                </c:pt>
                <c:pt idx="53">
                  <c:v>0.833333333333333</c:v>
                </c:pt>
                <c:pt idx="54">
                  <c:v>0.916666666666667</c:v>
                </c:pt>
                <c:pt idx="55">
                  <c:v>0.902777777777778</c:v>
                </c:pt>
                <c:pt idx="56">
                  <c:v>0.888888888888889</c:v>
                </c:pt>
                <c:pt idx="57">
                  <c:v>0.972222222222222</c:v>
                </c:pt>
                <c:pt idx="58">
                  <c:v>0.944444444444444</c:v>
                </c:pt>
                <c:pt idx="59">
                  <c:v>0.888888888888889</c:v>
                </c:pt>
                <c:pt idx="60">
                  <c:v>0.888888888888889</c:v>
                </c:pt>
                <c:pt idx="61">
                  <c:v>0.972222222222222</c:v>
                </c:pt>
                <c:pt idx="62">
                  <c:v>0.881944444444444</c:v>
                </c:pt>
                <c:pt idx="63">
                  <c:v>0.909722222222222</c:v>
                </c:pt>
                <c:pt idx="64">
                  <c:v>0.909722222222222</c:v>
                </c:pt>
                <c:pt idx="65">
                  <c:v>0.916666666666667</c:v>
                </c:pt>
                <c:pt idx="66">
                  <c:v>0.916666666666667</c:v>
                </c:pt>
                <c:pt idx="67">
                  <c:v>0.819444444444444</c:v>
                </c:pt>
                <c:pt idx="68">
                  <c:v>0.944444444444444</c:v>
                </c:pt>
                <c:pt idx="69">
                  <c:v>0.694444444444444</c:v>
                </c:pt>
                <c:pt idx="70">
                  <c:v>0.861111111111111</c:v>
                </c:pt>
                <c:pt idx="71">
                  <c:v>0.847222222222222</c:v>
                </c:pt>
                <c:pt idx="72">
                  <c:v>0.861111111111111</c:v>
                </c:pt>
                <c:pt idx="73">
                  <c:v>0.730555555555556</c:v>
                </c:pt>
                <c:pt idx="74">
                  <c:v>0.705555555555556</c:v>
                </c:pt>
                <c:pt idx="75">
                  <c:v>0.758333333333333</c:v>
                </c:pt>
                <c:pt idx="76">
                  <c:v>0.608333333333333</c:v>
                </c:pt>
                <c:pt idx="77">
                  <c:v>0.580555555555556</c:v>
                </c:pt>
                <c:pt idx="78">
                  <c:v>0.841666666666667</c:v>
                </c:pt>
                <c:pt idx="79">
                  <c:v>0.788888888888889</c:v>
                </c:pt>
                <c:pt idx="80">
                  <c:v>0.813888888888889</c:v>
                </c:pt>
                <c:pt idx="81">
                  <c:v>0.772222222222222</c:v>
                </c:pt>
                <c:pt idx="82">
                  <c:v>0.772222222222222</c:v>
                </c:pt>
                <c:pt idx="83">
                  <c:v>0.869444444444444</c:v>
                </c:pt>
                <c:pt idx="84">
                  <c:v>0.733333333333333</c:v>
                </c:pt>
                <c:pt idx="85">
                  <c:v>0.856944444444444</c:v>
                </c:pt>
                <c:pt idx="86">
                  <c:v>0.65</c:v>
                </c:pt>
                <c:pt idx="87">
                  <c:v>0.772222222222222</c:v>
                </c:pt>
                <c:pt idx="88">
                  <c:v>0.841666666666667</c:v>
                </c:pt>
                <c:pt idx="89">
                  <c:v>0.816666666666667</c:v>
                </c:pt>
                <c:pt idx="90">
                  <c:v>0.758333333333333</c:v>
                </c:pt>
                <c:pt idx="91">
                  <c:v>0.841666666666667</c:v>
                </c:pt>
                <c:pt idx="92">
                  <c:v>0.826388888888889</c:v>
                </c:pt>
                <c:pt idx="93">
                  <c:v>0.661111111111111</c:v>
                </c:pt>
                <c:pt idx="94">
                  <c:v>0.869444444444444</c:v>
                </c:pt>
                <c:pt idx="95">
                  <c:v>0.841666666666667</c:v>
                </c:pt>
                <c:pt idx="96">
                  <c:v>0.758333333333333</c:v>
                </c:pt>
                <c:pt idx="97">
                  <c:v>0.731944444444444</c:v>
                </c:pt>
                <c:pt idx="98">
                  <c:v>0.716666666666667</c:v>
                </c:pt>
                <c:pt idx="99">
                  <c:v>0.6625</c:v>
                </c:pt>
                <c:pt idx="100">
                  <c:v>0.869444444444444</c:v>
                </c:pt>
                <c:pt idx="101">
                  <c:v>0.730555555555556</c:v>
                </c:pt>
                <c:pt idx="102">
                  <c:v>0.633333333333333</c:v>
                </c:pt>
                <c:pt idx="103">
                  <c:v>0.718055555555556</c:v>
                </c:pt>
                <c:pt idx="104">
                  <c:v>0.608333333333333</c:v>
                </c:pt>
                <c:pt idx="105">
                  <c:v>0.866666666666667</c:v>
                </c:pt>
                <c:pt idx="106">
                  <c:v>0.869444444444444</c:v>
                </c:pt>
                <c:pt idx="107">
                  <c:v>0.869444444444444</c:v>
                </c:pt>
                <c:pt idx="108">
                  <c:v>0.733333333333333</c:v>
                </c:pt>
                <c:pt idx="109">
                  <c:v>0.758333333333333</c:v>
                </c:pt>
                <c:pt idx="110">
                  <c:v>0.841666666666667</c:v>
                </c:pt>
                <c:pt idx="111">
                  <c:v>0.881944444444444</c:v>
                </c:pt>
                <c:pt idx="112">
                  <c:v>0.730555555555556</c:v>
                </c:pt>
                <c:pt idx="113">
                  <c:v>0.566666666666667</c:v>
                </c:pt>
                <c:pt idx="114">
                  <c:v>0.841666666666667</c:v>
                </c:pt>
                <c:pt idx="115">
                  <c:v>0.761111111111111</c:v>
                </c:pt>
                <c:pt idx="116">
                  <c:v>0.801388888888889</c:v>
                </c:pt>
                <c:pt idx="117">
                  <c:v>0.826388888888889</c:v>
                </c:pt>
                <c:pt idx="118">
                  <c:v>0.788888888888889</c:v>
                </c:pt>
                <c:pt idx="119">
                  <c:v>0.884722222222222</c:v>
                </c:pt>
                <c:pt idx="120">
                  <c:v>0.788888888888889</c:v>
                </c:pt>
                <c:pt idx="121">
                  <c:v>0.816666666666667</c:v>
                </c:pt>
                <c:pt idx="122">
                  <c:v>0.772222222222222</c:v>
                </c:pt>
                <c:pt idx="123">
                  <c:v>0.663888888888889</c:v>
                </c:pt>
                <c:pt idx="124">
                  <c:v>0.661111111111111</c:v>
                </c:pt>
                <c:pt idx="125">
                  <c:v>0.786111111111111</c:v>
                </c:pt>
                <c:pt idx="126">
                  <c:v>0.816666666666667</c:v>
                </c:pt>
                <c:pt idx="127">
                  <c:v>0.909722222222222</c:v>
                </c:pt>
                <c:pt idx="128">
                  <c:v>0.894444444444444</c:v>
                </c:pt>
                <c:pt idx="129">
                  <c:v>0.813888888888889</c:v>
                </c:pt>
                <c:pt idx="130">
                  <c:v>0.801388888888889</c:v>
                </c:pt>
                <c:pt idx="131">
                  <c:v>0.894444444444444</c:v>
                </c:pt>
                <c:pt idx="132">
                  <c:v>0.691666666666667</c:v>
                </c:pt>
                <c:pt idx="133">
                  <c:v>0.433333333333333</c:v>
                </c:pt>
                <c:pt idx="134">
                  <c:v>0.772222222222222</c:v>
                </c:pt>
                <c:pt idx="135">
                  <c:v>0.718055555555556</c:v>
                </c:pt>
                <c:pt idx="136">
                  <c:v>0.733333333333333</c:v>
                </c:pt>
                <c:pt idx="137">
                  <c:v>0.844444444444444</c:v>
                </c:pt>
                <c:pt idx="138">
                  <c:v>0.758333333333333</c:v>
                </c:pt>
                <c:pt idx="139">
                  <c:v>0.744444444444444</c:v>
                </c:pt>
                <c:pt idx="140">
                  <c:v>0.758333333333333</c:v>
                </c:pt>
              </c:numCache>
            </c:numRef>
          </c:yVal>
          <c:smooth val="0"/>
        </c:ser>
        <c:dLbls>
          <c:showLegendKey val="0"/>
          <c:showVal val="0"/>
          <c:showCatName val="0"/>
          <c:showSerName val="0"/>
          <c:showPercent val="0"/>
          <c:showBubbleSize val="0"/>
        </c:dLbls>
        <c:axId val="162228096"/>
        <c:axId val="162230272"/>
      </c:scatterChart>
      <c:catAx>
        <c:axId val="162228096"/>
        <c:scaling>
          <c:orientation val="minMax"/>
        </c:scaling>
        <c:delete val="0"/>
        <c:axPos val="b"/>
        <c:numFmt formatCode="General" sourceLinked="0"/>
        <c:majorTickMark val="out"/>
        <c:minorTickMark val="none"/>
        <c:tickLblPos val="nextTo"/>
        <c:spPr>
          <a:noFill/>
          <a:ln w="19050" cap="flat" cmpd="sng" algn="ctr">
            <a:solidFill>
              <a:schemeClr val="tx1"/>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62230272"/>
        <c:crosses val="autoZero"/>
        <c:auto val="0"/>
        <c:lblAlgn val="ctr"/>
        <c:lblOffset val="100"/>
        <c:tickLblSkip val="20"/>
        <c:tickMarkSkip val="20"/>
        <c:noMultiLvlLbl val="0"/>
      </c:catAx>
      <c:valAx>
        <c:axId val="162230272"/>
        <c:scaling>
          <c:orientation val="minMax"/>
          <c:max val="1"/>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vert="eaVert"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zh-CN" altLang="en-US" sz="1100" b="1">
                    <a:latin typeface="仿宋" panose="02010609060101010101" pitchFamily="49" charset="-122"/>
                    <a:ea typeface="仿宋" panose="02010609060101010101" pitchFamily="49" charset="-122"/>
                  </a:rPr>
                  <a:t>达成度</a:t>
                </a:r>
                <a:endParaRPr lang="zh-CN" altLang="en-US" sz="1100" b="1">
                  <a:latin typeface="仿宋" panose="02010609060101010101" pitchFamily="49" charset="-122"/>
                  <a:ea typeface="仿宋" panose="02010609060101010101" pitchFamily="49" charset="-122"/>
                </a:endParaRPr>
              </a:p>
            </c:rich>
          </c:tx>
          <c:layout/>
          <c:overlay val="0"/>
          <c:spPr>
            <a:noFill/>
            <a:ln>
              <a:noFill/>
            </a:ln>
            <a:effectLst/>
          </c:spPr>
        </c:title>
        <c:numFmt formatCode="0.00_ " sourceLinked="1"/>
        <c:majorTickMark val="none"/>
        <c:minorTickMark val="none"/>
        <c:tickLblPos val="nextTo"/>
        <c:spPr>
          <a:noFill/>
          <a:ln w="19050" cap="flat" cmpd="sng" algn="ctr">
            <a:solidFill>
              <a:schemeClr val="tx1"/>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62228096"/>
        <c:crossesAt val="0"/>
        <c:crossBetween val="between"/>
        <c:majorUnit val="0.2"/>
        <c:minorUnit val="0.2"/>
      </c:valAx>
      <c:spPr>
        <a:noFill/>
        <a:ln>
          <a:noFill/>
        </a:ln>
        <a:effectLst/>
      </c:spPr>
    </c:plotArea>
    <c:legend>
      <c:legendPos val="t"/>
      <c:layout>
        <c:manualLayout>
          <c:xMode val="edge"/>
          <c:yMode val="edge"/>
          <c:x val="0.332748507107752"/>
          <c:y val="0.627569038428284"/>
          <c:w val="0.370469798657718"/>
          <c:h val="0.08427021959943"/>
        </c:manualLayout>
      </c:layout>
      <c:overlay val="1"/>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b00b869b-a172-4527-8ef1-7f7e4008ae9d}"/>
      </c:ext>
    </c:extLst>
  </c:chart>
  <c:spPr>
    <a:solidFill>
      <a:schemeClr val="bg1"/>
    </a:solidFill>
    <a:ln w="9525" cap="flat" cmpd="sng" algn="ctr">
      <a:solidFill>
        <a:schemeClr val="tx1">
          <a:lumMod val="15000"/>
          <a:lumOff val="85000"/>
        </a:schemeClr>
      </a:solidFill>
      <a:round/>
    </a:ln>
    <a:effectLst/>
  </c:spPr>
  <c:txPr>
    <a:bodyPr/>
    <a:lstStyle/>
    <a:p>
      <a:pPr>
        <a:defRPr lang="zh-CN"/>
      </a:pPr>
    </a:p>
  </c:txPr>
  <c:externalData r:id="rId1">
    <c:autoUpdate val="0"/>
  </c:externalData>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0" vertOverflow="ellipsis" vert="horz" wrap="square" anchor="b" anchorCtr="1"/>
          <a:lstStyle/>
          <a:p>
            <a:pPr defTabSz="914400">
              <a:defRPr lang="zh-CN" sz="1400" b="0" i="0" u="none" strike="noStrike" kern="1200" spc="0" baseline="0">
                <a:solidFill>
                  <a:schemeClr val="tx1">
                    <a:lumMod val="65000"/>
                    <a:lumOff val="35000"/>
                  </a:schemeClr>
                </a:solidFill>
                <a:latin typeface="+mn-lt"/>
                <a:ea typeface="+mn-ea"/>
                <a:cs typeface="+mn-cs"/>
              </a:defRPr>
            </a:pPr>
            <a:r>
              <a:rPr lang="zh-CN" altLang="en-US" sz="1200" b="1">
                <a:latin typeface="仿宋" panose="02010609060101010101" pitchFamily="49" charset="-122"/>
                <a:ea typeface="仿宋" panose="02010609060101010101" pitchFamily="49" charset="-122"/>
              </a:rPr>
              <a:t>目标</a:t>
            </a:r>
            <a:r>
              <a:rPr lang="en-US" altLang="zh-CN" sz="1200" b="1">
                <a:latin typeface="仿宋" panose="02010609060101010101" pitchFamily="49" charset="-122"/>
                <a:ea typeface="仿宋" panose="02010609060101010101" pitchFamily="49" charset="-122"/>
              </a:rPr>
              <a:t>2 </a:t>
            </a:r>
            <a:r>
              <a:rPr lang="zh-CN" altLang="en-US" sz="1200" b="1">
                <a:latin typeface="仿宋" panose="02010609060101010101" pitchFamily="49" charset="-122"/>
                <a:ea typeface="仿宋" panose="02010609060101010101" pitchFamily="49" charset="-122"/>
              </a:rPr>
              <a:t>学生达成度散点图</a:t>
            </a:r>
            <a:endParaRPr lang="zh-CN" altLang="en-US" sz="1200" b="1">
              <a:latin typeface="仿宋" panose="02010609060101010101" pitchFamily="49" charset="-122"/>
              <a:ea typeface="仿宋" panose="02010609060101010101" pitchFamily="49" charset="-122"/>
            </a:endParaRPr>
          </a:p>
        </c:rich>
      </c:tx>
      <c:layout>
        <c:manualLayout>
          <c:xMode val="edge"/>
          <c:yMode val="edge"/>
          <c:x val="0.364549844422904"/>
          <c:y val="0.857319335083115"/>
        </c:manualLayout>
      </c:layout>
      <c:overlay val="0"/>
      <c:spPr>
        <a:noFill/>
        <a:ln>
          <a:noFill/>
        </a:ln>
        <a:effectLst/>
      </c:spPr>
    </c:title>
    <c:autoTitleDeleted val="0"/>
    <c:plotArea>
      <c:layout>
        <c:manualLayout>
          <c:layoutTarget val="inner"/>
          <c:xMode val="edge"/>
          <c:yMode val="edge"/>
          <c:x val="0.108845505190012"/>
          <c:y val="0.0583869387979114"/>
          <c:w val="0.86648965390954"/>
          <c:h val="0.68137741046832"/>
        </c:manualLayout>
      </c:layout>
      <c:lineChart>
        <c:grouping val="stacked"/>
        <c:varyColors val="0"/>
        <c:ser>
          <c:idx val="0"/>
          <c:order val="1"/>
          <c:tx>
            <c:strRef>
              <c:f>"平均达成度"</c:f>
              <c:strCache>
                <c:ptCount val="1"/>
                <c:pt idx="0">
                  <c:v>平均达成度</c:v>
                </c:pt>
              </c:strCache>
            </c:strRef>
          </c:tx>
          <c:spPr>
            <a:ln w="25400" cap="rnd">
              <a:solidFill>
                <a:schemeClr val="accent4"/>
              </a:solidFill>
              <a:round/>
            </a:ln>
            <a:effectLst/>
          </c:spPr>
          <c:marker>
            <c:symbol val="none"/>
          </c:marker>
          <c:dLbls>
            <c:delete val="1"/>
          </c:dLbls>
          <c:cat>
            <c:numRef>
              <c:f>'5绘图数据'!$A$3:$A$143</c:f>
              <c:numCache>
                <c:formatCode>General</c:formatCode>
                <c:ptCount val="14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numCache>
            </c:numRef>
          </c:cat>
          <c:val>
            <c:numRef>
              <c:f>'5绘图数据'!$N$3:$N$143</c:f>
              <c:numCache>
                <c:formatCode>0.00_ </c:formatCode>
                <c:ptCount val="141"/>
                <c:pt idx="0">
                  <c:v>0.779905437352246</c:v>
                </c:pt>
                <c:pt idx="1">
                  <c:v>0.779905437352246</c:v>
                </c:pt>
                <c:pt idx="2">
                  <c:v>0.779905437352246</c:v>
                </c:pt>
                <c:pt idx="3">
                  <c:v>0.779905437352246</c:v>
                </c:pt>
                <c:pt idx="4">
                  <c:v>0.779905437352246</c:v>
                </c:pt>
                <c:pt idx="5">
                  <c:v>0.779905437352246</c:v>
                </c:pt>
                <c:pt idx="6">
                  <c:v>0.779905437352246</c:v>
                </c:pt>
                <c:pt idx="7">
                  <c:v>0.779905437352246</c:v>
                </c:pt>
                <c:pt idx="8">
                  <c:v>0.779905437352246</c:v>
                </c:pt>
                <c:pt idx="9">
                  <c:v>0.779905437352246</c:v>
                </c:pt>
                <c:pt idx="10">
                  <c:v>0.779905437352246</c:v>
                </c:pt>
                <c:pt idx="11">
                  <c:v>0.779905437352246</c:v>
                </c:pt>
                <c:pt idx="12">
                  <c:v>0.779905437352246</c:v>
                </c:pt>
                <c:pt idx="13">
                  <c:v>0.779905437352246</c:v>
                </c:pt>
                <c:pt idx="14">
                  <c:v>0.779905437352246</c:v>
                </c:pt>
                <c:pt idx="15">
                  <c:v>0.779905437352246</c:v>
                </c:pt>
                <c:pt idx="16">
                  <c:v>0.779905437352246</c:v>
                </c:pt>
                <c:pt idx="17">
                  <c:v>0.779905437352246</c:v>
                </c:pt>
                <c:pt idx="18">
                  <c:v>0.779905437352246</c:v>
                </c:pt>
                <c:pt idx="19">
                  <c:v>0.779905437352246</c:v>
                </c:pt>
                <c:pt idx="20">
                  <c:v>0.779905437352246</c:v>
                </c:pt>
                <c:pt idx="21">
                  <c:v>0.779905437352246</c:v>
                </c:pt>
                <c:pt idx="22">
                  <c:v>0.779905437352246</c:v>
                </c:pt>
                <c:pt idx="23">
                  <c:v>0.779905437352246</c:v>
                </c:pt>
                <c:pt idx="24">
                  <c:v>0.779905437352246</c:v>
                </c:pt>
                <c:pt idx="25">
                  <c:v>0.779905437352246</c:v>
                </c:pt>
                <c:pt idx="26">
                  <c:v>0.779905437352246</c:v>
                </c:pt>
                <c:pt idx="27">
                  <c:v>0.779905437352246</c:v>
                </c:pt>
                <c:pt idx="28">
                  <c:v>0.779905437352246</c:v>
                </c:pt>
                <c:pt idx="29">
                  <c:v>0.779905437352246</c:v>
                </c:pt>
                <c:pt idx="30">
                  <c:v>0.779905437352246</c:v>
                </c:pt>
                <c:pt idx="31">
                  <c:v>0.779905437352246</c:v>
                </c:pt>
                <c:pt idx="32">
                  <c:v>0.779905437352246</c:v>
                </c:pt>
                <c:pt idx="33">
                  <c:v>0.779905437352246</c:v>
                </c:pt>
                <c:pt idx="34">
                  <c:v>0.779905437352246</c:v>
                </c:pt>
                <c:pt idx="35">
                  <c:v>0.779905437352246</c:v>
                </c:pt>
                <c:pt idx="36">
                  <c:v>0.779905437352246</c:v>
                </c:pt>
                <c:pt idx="37">
                  <c:v>0.779905437352246</c:v>
                </c:pt>
                <c:pt idx="38">
                  <c:v>0.779905437352246</c:v>
                </c:pt>
                <c:pt idx="39">
                  <c:v>0.779905437352246</c:v>
                </c:pt>
                <c:pt idx="40">
                  <c:v>0.779905437352246</c:v>
                </c:pt>
                <c:pt idx="41">
                  <c:v>0.779905437352246</c:v>
                </c:pt>
                <c:pt idx="42">
                  <c:v>0.779905437352246</c:v>
                </c:pt>
                <c:pt idx="43">
                  <c:v>0.779905437352246</c:v>
                </c:pt>
                <c:pt idx="44">
                  <c:v>0.779905437352246</c:v>
                </c:pt>
                <c:pt idx="45">
                  <c:v>0.779905437352246</c:v>
                </c:pt>
                <c:pt idx="46">
                  <c:v>0.779905437352246</c:v>
                </c:pt>
                <c:pt idx="47">
                  <c:v>0.779905437352246</c:v>
                </c:pt>
                <c:pt idx="48">
                  <c:v>0.779905437352246</c:v>
                </c:pt>
                <c:pt idx="49">
                  <c:v>0.779905437352246</c:v>
                </c:pt>
                <c:pt idx="50">
                  <c:v>0.779905437352246</c:v>
                </c:pt>
                <c:pt idx="51">
                  <c:v>0.779905437352246</c:v>
                </c:pt>
                <c:pt idx="52">
                  <c:v>0.779905437352246</c:v>
                </c:pt>
                <c:pt idx="53">
                  <c:v>0.779905437352246</c:v>
                </c:pt>
                <c:pt idx="54">
                  <c:v>0.779905437352246</c:v>
                </c:pt>
                <c:pt idx="55">
                  <c:v>0.779905437352246</c:v>
                </c:pt>
                <c:pt idx="56">
                  <c:v>0.779905437352246</c:v>
                </c:pt>
                <c:pt idx="57">
                  <c:v>0.779905437352246</c:v>
                </c:pt>
                <c:pt idx="58">
                  <c:v>0.779905437352246</c:v>
                </c:pt>
                <c:pt idx="59">
                  <c:v>0.779905437352246</c:v>
                </c:pt>
                <c:pt idx="60">
                  <c:v>0.779905437352246</c:v>
                </c:pt>
                <c:pt idx="61">
                  <c:v>0.779905437352246</c:v>
                </c:pt>
                <c:pt idx="62">
                  <c:v>0.779905437352246</c:v>
                </c:pt>
                <c:pt idx="63">
                  <c:v>0.779905437352246</c:v>
                </c:pt>
                <c:pt idx="64">
                  <c:v>0.779905437352246</c:v>
                </c:pt>
                <c:pt idx="65">
                  <c:v>0.779905437352246</c:v>
                </c:pt>
                <c:pt idx="66">
                  <c:v>0.779905437352246</c:v>
                </c:pt>
                <c:pt idx="67">
                  <c:v>0.779905437352246</c:v>
                </c:pt>
                <c:pt idx="68">
                  <c:v>0.779905437352246</c:v>
                </c:pt>
                <c:pt idx="69">
                  <c:v>0.779905437352246</c:v>
                </c:pt>
                <c:pt idx="70">
                  <c:v>0.779905437352246</c:v>
                </c:pt>
                <c:pt idx="71">
                  <c:v>0.779905437352246</c:v>
                </c:pt>
                <c:pt idx="72">
                  <c:v>0.779905437352246</c:v>
                </c:pt>
                <c:pt idx="73">
                  <c:v>0.779905437352246</c:v>
                </c:pt>
                <c:pt idx="74">
                  <c:v>0.779905437352246</c:v>
                </c:pt>
                <c:pt idx="75">
                  <c:v>0.779905437352246</c:v>
                </c:pt>
                <c:pt idx="76">
                  <c:v>0.779905437352246</c:v>
                </c:pt>
                <c:pt idx="77">
                  <c:v>0.779905437352246</c:v>
                </c:pt>
                <c:pt idx="78">
                  <c:v>0.779905437352246</c:v>
                </c:pt>
                <c:pt idx="79">
                  <c:v>0.779905437352246</c:v>
                </c:pt>
                <c:pt idx="80">
                  <c:v>0.779905437352246</c:v>
                </c:pt>
                <c:pt idx="81">
                  <c:v>0.779905437352246</c:v>
                </c:pt>
                <c:pt idx="82">
                  <c:v>0.779905437352246</c:v>
                </c:pt>
                <c:pt idx="83">
                  <c:v>0.779905437352246</c:v>
                </c:pt>
                <c:pt idx="84">
                  <c:v>0.779905437352246</c:v>
                </c:pt>
                <c:pt idx="85">
                  <c:v>0.779905437352246</c:v>
                </c:pt>
                <c:pt idx="86">
                  <c:v>0.779905437352246</c:v>
                </c:pt>
                <c:pt idx="87">
                  <c:v>0.779905437352246</c:v>
                </c:pt>
                <c:pt idx="88">
                  <c:v>0.779905437352246</c:v>
                </c:pt>
                <c:pt idx="89">
                  <c:v>0.779905437352246</c:v>
                </c:pt>
                <c:pt idx="90">
                  <c:v>0.779905437352246</c:v>
                </c:pt>
                <c:pt idx="91">
                  <c:v>0.779905437352246</c:v>
                </c:pt>
                <c:pt idx="92">
                  <c:v>0.779905437352246</c:v>
                </c:pt>
                <c:pt idx="93">
                  <c:v>0.779905437352246</c:v>
                </c:pt>
                <c:pt idx="94">
                  <c:v>0.779905437352246</c:v>
                </c:pt>
                <c:pt idx="95">
                  <c:v>0.779905437352246</c:v>
                </c:pt>
                <c:pt idx="96">
                  <c:v>0.779905437352246</c:v>
                </c:pt>
                <c:pt idx="97">
                  <c:v>0.779905437352246</c:v>
                </c:pt>
                <c:pt idx="98">
                  <c:v>0.779905437352246</c:v>
                </c:pt>
                <c:pt idx="99">
                  <c:v>0.779905437352246</c:v>
                </c:pt>
                <c:pt idx="100">
                  <c:v>0.779905437352246</c:v>
                </c:pt>
                <c:pt idx="101">
                  <c:v>0.779905437352246</c:v>
                </c:pt>
                <c:pt idx="102">
                  <c:v>0.779905437352246</c:v>
                </c:pt>
                <c:pt idx="103">
                  <c:v>0.779905437352246</c:v>
                </c:pt>
                <c:pt idx="104">
                  <c:v>0.779905437352246</c:v>
                </c:pt>
                <c:pt idx="105">
                  <c:v>0.779905437352246</c:v>
                </c:pt>
                <c:pt idx="106">
                  <c:v>0.779905437352246</c:v>
                </c:pt>
                <c:pt idx="107">
                  <c:v>0.779905437352246</c:v>
                </c:pt>
                <c:pt idx="108">
                  <c:v>0.779905437352246</c:v>
                </c:pt>
                <c:pt idx="109">
                  <c:v>0.779905437352246</c:v>
                </c:pt>
                <c:pt idx="110">
                  <c:v>0.779905437352246</c:v>
                </c:pt>
                <c:pt idx="111">
                  <c:v>0.779905437352246</c:v>
                </c:pt>
                <c:pt idx="112">
                  <c:v>0.779905437352246</c:v>
                </c:pt>
                <c:pt idx="113">
                  <c:v>0.779905437352246</c:v>
                </c:pt>
                <c:pt idx="114">
                  <c:v>0.779905437352246</c:v>
                </c:pt>
                <c:pt idx="115">
                  <c:v>0.779905437352246</c:v>
                </c:pt>
                <c:pt idx="116">
                  <c:v>0.779905437352246</c:v>
                </c:pt>
                <c:pt idx="117">
                  <c:v>0.779905437352246</c:v>
                </c:pt>
                <c:pt idx="118">
                  <c:v>0.779905437352246</c:v>
                </c:pt>
                <c:pt idx="119">
                  <c:v>0.779905437352246</c:v>
                </c:pt>
                <c:pt idx="120">
                  <c:v>0.779905437352246</c:v>
                </c:pt>
                <c:pt idx="121">
                  <c:v>0.779905437352246</c:v>
                </c:pt>
                <c:pt idx="122">
                  <c:v>0.779905437352246</c:v>
                </c:pt>
                <c:pt idx="123">
                  <c:v>0.779905437352246</c:v>
                </c:pt>
                <c:pt idx="124">
                  <c:v>0.779905437352246</c:v>
                </c:pt>
                <c:pt idx="125">
                  <c:v>0.779905437352246</c:v>
                </c:pt>
                <c:pt idx="126">
                  <c:v>0.779905437352246</c:v>
                </c:pt>
                <c:pt idx="127">
                  <c:v>0.779905437352246</c:v>
                </c:pt>
                <c:pt idx="128">
                  <c:v>0.779905437352246</c:v>
                </c:pt>
                <c:pt idx="129">
                  <c:v>0.779905437352246</c:v>
                </c:pt>
                <c:pt idx="130">
                  <c:v>0.779905437352246</c:v>
                </c:pt>
                <c:pt idx="131">
                  <c:v>0.779905437352246</c:v>
                </c:pt>
                <c:pt idx="132">
                  <c:v>0.779905437352246</c:v>
                </c:pt>
                <c:pt idx="133">
                  <c:v>0.779905437352246</c:v>
                </c:pt>
                <c:pt idx="134">
                  <c:v>0.779905437352246</c:v>
                </c:pt>
                <c:pt idx="135">
                  <c:v>0.779905437352246</c:v>
                </c:pt>
                <c:pt idx="136">
                  <c:v>0.779905437352246</c:v>
                </c:pt>
                <c:pt idx="137">
                  <c:v>0.779905437352246</c:v>
                </c:pt>
                <c:pt idx="138">
                  <c:v>0.779905437352246</c:v>
                </c:pt>
                <c:pt idx="139">
                  <c:v>0.779905437352246</c:v>
                </c:pt>
                <c:pt idx="140">
                  <c:v>0.779905437352246</c:v>
                </c:pt>
              </c:numCache>
            </c:numRef>
          </c:val>
          <c:smooth val="0"/>
        </c:ser>
        <c:dLbls>
          <c:showLegendKey val="0"/>
          <c:showVal val="0"/>
          <c:showCatName val="0"/>
          <c:showSerName val="0"/>
          <c:showPercent val="0"/>
          <c:showBubbleSize val="0"/>
        </c:dLbls>
        <c:marker val="0"/>
        <c:smooth val="0"/>
        <c:axId val="167924864"/>
        <c:axId val="167926784"/>
      </c:lineChart>
      <c:scatterChart>
        <c:scatterStyle val="marker"/>
        <c:varyColors val="0"/>
        <c:ser>
          <c:idx val="3"/>
          <c:order val="0"/>
          <c:tx>
            <c:strRef>
              <c:f>"学生达成度"</c:f>
              <c:strCache>
                <c:ptCount val="1"/>
                <c:pt idx="0">
                  <c:v>学生达成度</c:v>
                </c:pt>
              </c:strCache>
            </c:strRef>
          </c:tx>
          <c:spPr>
            <a:ln w="19050" cap="rnd">
              <a:noFill/>
              <a:round/>
            </a:ln>
            <a:effectLst/>
          </c:spPr>
          <c:marker>
            <c:symbol val="circle"/>
            <c:size val="5"/>
            <c:spPr>
              <a:solidFill>
                <a:schemeClr val="accent5"/>
              </a:solidFill>
              <a:ln w="9525">
                <a:noFill/>
              </a:ln>
              <a:effectLst/>
            </c:spPr>
          </c:marker>
          <c:dLbls>
            <c:delete val="1"/>
          </c:dLbls>
          <c:xVal>
            <c:numRef>
              <c:f>'5绘图数据'!$A$3:$A$143</c:f>
              <c:numCache>
                <c:formatCode>General</c:formatCode>
                <c:ptCount val="14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numCache>
            </c:numRef>
          </c:xVal>
          <c:yVal>
            <c:numRef>
              <c:f>'5绘图数据'!$E$3:$E$143</c:f>
              <c:numCache>
                <c:formatCode>0.00_ </c:formatCode>
                <c:ptCount val="141"/>
                <c:pt idx="0">
                  <c:v>0.75</c:v>
                </c:pt>
                <c:pt idx="1">
                  <c:v>0.9</c:v>
                </c:pt>
                <c:pt idx="2">
                  <c:v>0.916666666666667</c:v>
                </c:pt>
                <c:pt idx="3">
                  <c:v>0.85</c:v>
                </c:pt>
                <c:pt idx="4">
                  <c:v>0.575</c:v>
                </c:pt>
                <c:pt idx="5">
                  <c:v>1</c:v>
                </c:pt>
                <c:pt idx="6">
                  <c:v>0.8</c:v>
                </c:pt>
                <c:pt idx="7">
                  <c:v>0.233333333333333</c:v>
                </c:pt>
                <c:pt idx="8">
                  <c:v>0.833333333333333</c:v>
                </c:pt>
                <c:pt idx="9">
                  <c:v>0.791666666666667</c:v>
                </c:pt>
                <c:pt idx="10">
                  <c:v>0.658333333333333</c:v>
                </c:pt>
                <c:pt idx="11">
                  <c:v>0.475</c:v>
                </c:pt>
                <c:pt idx="12">
                  <c:v>0.775</c:v>
                </c:pt>
                <c:pt idx="13">
                  <c:v>0.883333333333333</c:v>
                </c:pt>
                <c:pt idx="14">
                  <c:v>0.816666666666667</c:v>
                </c:pt>
                <c:pt idx="15">
                  <c:v>0.866666666666667</c:v>
                </c:pt>
                <c:pt idx="16">
                  <c:v>0.766666666666667</c:v>
                </c:pt>
                <c:pt idx="17">
                  <c:v>0.8</c:v>
                </c:pt>
                <c:pt idx="18">
                  <c:v>0.883333333333333</c:v>
                </c:pt>
                <c:pt idx="19">
                  <c:v>0.883333333333333</c:v>
                </c:pt>
                <c:pt idx="20">
                  <c:v>0.766666666666667</c:v>
                </c:pt>
                <c:pt idx="21">
                  <c:v>0.866666666666667</c:v>
                </c:pt>
                <c:pt idx="22">
                  <c:v>0.816666666666667</c:v>
                </c:pt>
                <c:pt idx="23">
                  <c:v>0.616666666666667</c:v>
                </c:pt>
                <c:pt idx="24">
                  <c:v>0.616666666666667</c:v>
                </c:pt>
                <c:pt idx="25">
                  <c:v>0.85</c:v>
                </c:pt>
                <c:pt idx="26">
                  <c:v>0.883333333333333</c:v>
                </c:pt>
                <c:pt idx="27">
                  <c:v>0.658333333333333</c:v>
                </c:pt>
                <c:pt idx="28">
                  <c:v>0.783333333333333</c:v>
                </c:pt>
                <c:pt idx="29">
                  <c:v>0.8</c:v>
                </c:pt>
                <c:pt idx="30">
                  <c:v>1</c:v>
                </c:pt>
                <c:pt idx="31">
                  <c:v>0.95</c:v>
                </c:pt>
                <c:pt idx="32">
                  <c:v>0.683333333333333</c:v>
                </c:pt>
                <c:pt idx="33">
                  <c:v>0.75</c:v>
                </c:pt>
                <c:pt idx="34">
                  <c:v>0.95</c:v>
                </c:pt>
                <c:pt idx="35">
                  <c:v>0.9</c:v>
                </c:pt>
                <c:pt idx="36">
                  <c:v>0.983333333333333</c:v>
                </c:pt>
                <c:pt idx="37">
                  <c:v>0.983333333333333</c:v>
                </c:pt>
                <c:pt idx="38">
                  <c:v>0.95</c:v>
                </c:pt>
                <c:pt idx="39">
                  <c:v>0.8</c:v>
                </c:pt>
                <c:pt idx="40">
                  <c:v>0.733333333333333</c:v>
                </c:pt>
                <c:pt idx="41">
                  <c:v>0.766666666666667</c:v>
                </c:pt>
                <c:pt idx="42">
                  <c:v>0.866666666666667</c:v>
                </c:pt>
                <c:pt idx="43">
                  <c:v>0.8</c:v>
                </c:pt>
                <c:pt idx="44">
                  <c:v>0.733333333333333</c:v>
                </c:pt>
                <c:pt idx="45">
                  <c:v>0.833333333333333</c:v>
                </c:pt>
                <c:pt idx="46">
                  <c:v>0.816666666666667</c:v>
                </c:pt>
                <c:pt idx="47">
                  <c:v>1</c:v>
                </c:pt>
                <c:pt idx="48">
                  <c:v>0.933333333333333</c:v>
                </c:pt>
                <c:pt idx="49">
                  <c:v>0.85</c:v>
                </c:pt>
                <c:pt idx="50">
                  <c:v>0.883333333333333</c:v>
                </c:pt>
                <c:pt idx="51">
                  <c:v>0.766666666666667</c:v>
                </c:pt>
                <c:pt idx="52">
                  <c:v>0.85</c:v>
                </c:pt>
                <c:pt idx="53">
                  <c:v>0.85</c:v>
                </c:pt>
                <c:pt idx="54">
                  <c:v>0.833333333333333</c:v>
                </c:pt>
                <c:pt idx="55">
                  <c:v>0.75</c:v>
                </c:pt>
                <c:pt idx="56">
                  <c:v>0.866666666666667</c:v>
                </c:pt>
                <c:pt idx="57">
                  <c:v>0.9</c:v>
                </c:pt>
                <c:pt idx="58">
                  <c:v>0.966666666666667</c:v>
                </c:pt>
                <c:pt idx="59">
                  <c:v>0.9</c:v>
                </c:pt>
                <c:pt idx="60">
                  <c:v>0.9</c:v>
                </c:pt>
                <c:pt idx="61">
                  <c:v>0.95</c:v>
                </c:pt>
                <c:pt idx="62">
                  <c:v>0.758333333333333</c:v>
                </c:pt>
                <c:pt idx="63">
                  <c:v>0.741666666666667</c:v>
                </c:pt>
                <c:pt idx="64">
                  <c:v>0.858333333333333</c:v>
                </c:pt>
                <c:pt idx="65">
                  <c:v>0.766666666666667</c:v>
                </c:pt>
                <c:pt idx="66">
                  <c:v>0.933333333333333</c:v>
                </c:pt>
                <c:pt idx="67">
                  <c:v>0.833333333333333</c:v>
                </c:pt>
                <c:pt idx="68">
                  <c:v>1</c:v>
                </c:pt>
                <c:pt idx="69">
                  <c:v>0.616666666666667</c:v>
                </c:pt>
                <c:pt idx="70">
                  <c:v>1</c:v>
                </c:pt>
                <c:pt idx="71">
                  <c:v>0.866666666666667</c:v>
                </c:pt>
                <c:pt idx="72">
                  <c:v>0.8</c:v>
                </c:pt>
                <c:pt idx="73">
                  <c:v>0.708333333333333</c:v>
                </c:pt>
                <c:pt idx="74">
                  <c:v>0.6</c:v>
                </c:pt>
                <c:pt idx="75">
                  <c:v>0.708333333333333</c:v>
                </c:pt>
                <c:pt idx="76">
                  <c:v>0.616666666666667</c:v>
                </c:pt>
                <c:pt idx="77">
                  <c:v>0.716666666666667</c:v>
                </c:pt>
                <c:pt idx="78">
                  <c:v>0.816666666666667</c:v>
                </c:pt>
                <c:pt idx="79">
                  <c:v>0.683333333333333</c:v>
                </c:pt>
                <c:pt idx="80">
                  <c:v>0.808333333333333</c:v>
                </c:pt>
                <c:pt idx="81">
                  <c:v>0.625</c:v>
                </c:pt>
                <c:pt idx="82">
                  <c:v>0.641666666666667</c:v>
                </c:pt>
                <c:pt idx="83">
                  <c:v>0.791666666666667</c:v>
                </c:pt>
                <c:pt idx="84">
                  <c:v>0.75</c:v>
                </c:pt>
                <c:pt idx="85">
                  <c:v>0.658333333333333</c:v>
                </c:pt>
                <c:pt idx="86">
                  <c:v>0.716666666666667</c:v>
                </c:pt>
                <c:pt idx="87">
                  <c:v>0.825</c:v>
                </c:pt>
                <c:pt idx="88">
                  <c:v>0.708333333333333</c:v>
                </c:pt>
                <c:pt idx="89">
                  <c:v>0.766666666666667</c:v>
                </c:pt>
                <c:pt idx="90">
                  <c:v>0.9</c:v>
                </c:pt>
                <c:pt idx="91">
                  <c:v>0.758333333333333</c:v>
                </c:pt>
                <c:pt idx="92">
                  <c:v>0.725</c:v>
                </c:pt>
                <c:pt idx="93">
                  <c:v>0.675</c:v>
                </c:pt>
                <c:pt idx="94">
                  <c:v>0.816666666666667</c:v>
                </c:pt>
                <c:pt idx="95">
                  <c:v>0.841666666666667</c:v>
                </c:pt>
                <c:pt idx="96">
                  <c:v>0.691666666666667</c:v>
                </c:pt>
                <c:pt idx="97">
                  <c:v>0.625</c:v>
                </c:pt>
                <c:pt idx="98">
                  <c:v>0.725</c:v>
                </c:pt>
                <c:pt idx="99">
                  <c:v>0.733333333333333</c:v>
                </c:pt>
                <c:pt idx="100">
                  <c:v>0.691666666666667</c:v>
                </c:pt>
                <c:pt idx="101">
                  <c:v>0.758333333333333</c:v>
                </c:pt>
                <c:pt idx="102">
                  <c:v>0.641666666666667</c:v>
                </c:pt>
                <c:pt idx="103">
                  <c:v>0.591666666666667</c:v>
                </c:pt>
                <c:pt idx="104">
                  <c:v>0.55</c:v>
                </c:pt>
                <c:pt idx="105">
                  <c:v>0.916666666666667</c:v>
                </c:pt>
                <c:pt idx="106">
                  <c:v>0.9</c:v>
                </c:pt>
                <c:pt idx="107">
                  <c:v>0.825</c:v>
                </c:pt>
                <c:pt idx="108">
                  <c:v>0.716666666666667</c:v>
                </c:pt>
                <c:pt idx="109">
                  <c:v>0.725</c:v>
                </c:pt>
                <c:pt idx="110">
                  <c:v>0.741666666666667</c:v>
                </c:pt>
                <c:pt idx="111">
                  <c:v>0.875</c:v>
                </c:pt>
                <c:pt idx="112">
                  <c:v>0.741666666666667</c:v>
                </c:pt>
                <c:pt idx="113">
                  <c:v>0.75</c:v>
                </c:pt>
                <c:pt idx="114">
                  <c:v>0.858333333333333</c:v>
                </c:pt>
                <c:pt idx="115">
                  <c:v>0.666666666666667</c:v>
                </c:pt>
                <c:pt idx="116">
                  <c:v>0.641666666666667</c:v>
                </c:pt>
                <c:pt idx="117">
                  <c:v>0.858333333333333</c:v>
                </c:pt>
                <c:pt idx="118">
                  <c:v>0.783333333333333</c:v>
                </c:pt>
                <c:pt idx="119">
                  <c:v>0.766666666666667</c:v>
                </c:pt>
                <c:pt idx="120">
                  <c:v>0.85</c:v>
                </c:pt>
                <c:pt idx="121">
                  <c:v>0.716666666666667</c:v>
                </c:pt>
                <c:pt idx="122">
                  <c:v>0.658333333333333</c:v>
                </c:pt>
                <c:pt idx="123">
                  <c:v>0.6</c:v>
                </c:pt>
                <c:pt idx="124">
                  <c:v>0.608333333333333</c:v>
                </c:pt>
                <c:pt idx="125">
                  <c:v>0.741666666666667</c:v>
                </c:pt>
                <c:pt idx="126">
                  <c:v>0.65</c:v>
                </c:pt>
                <c:pt idx="127">
                  <c:v>0.858333333333333</c:v>
                </c:pt>
                <c:pt idx="128">
                  <c:v>0.9</c:v>
                </c:pt>
                <c:pt idx="129">
                  <c:v>0.791666666666667</c:v>
                </c:pt>
                <c:pt idx="130">
                  <c:v>0.841666666666667</c:v>
                </c:pt>
                <c:pt idx="131">
                  <c:v>0.9</c:v>
                </c:pt>
                <c:pt idx="132">
                  <c:v>0.65</c:v>
                </c:pt>
                <c:pt idx="133">
                  <c:v>0.466666666666667</c:v>
                </c:pt>
                <c:pt idx="134">
                  <c:v>0.825</c:v>
                </c:pt>
                <c:pt idx="135">
                  <c:v>0.758333333333333</c:v>
                </c:pt>
                <c:pt idx="136">
                  <c:v>0.616666666666667</c:v>
                </c:pt>
                <c:pt idx="137">
                  <c:v>0.716666666666667</c:v>
                </c:pt>
                <c:pt idx="138">
                  <c:v>0.691666666666667</c:v>
                </c:pt>
                <c:pt idx="139">
                  <c:v>0.708333333333333</c:v>
                </c:pt>
                <c:pt idx="140">
                  <c:v>0.791666666666667</c:v>
                </c:pt>
              </c:numCache>
            </c:numRef>
          </c:yVal>
          <c:smooth val="0"/>
        </c:ser>
        <c:dLbls>
          <c:showLegendKey val="0"/>
          <c:showVal val="0"/>
          <c:showCatName val="0"/>
          <c:showSerName val="0"/>
          <c:showPercent val="0"/>
          <c:showBubbleSize val="0"/>
        </c:dLbls>
        <c:axId val="167924864"/>
        <c:axId val="167926784"/>
      </c:scatterChart>
      <c:catAx>
        <c:axId val="167924864"/>
        <c:scaling>
          <c:orientation val="minMax"/>
        </c:scaling>
        <c:delete val="0"/>
        <c:axPos val="b"/>
        <c:numFmt formatCode="General" sourceLinked="1"/>
        <c:majorTickMark val="out"/>
        <c:minorTickMark val="none"/>
        <c:tickLblPos val="nextTo"/>
        <c:spPr>
          <a:noFill/>
          <a:ln w="19050" cap="flat" cmpd="sng" algn="ctr">
            <a:solidFill>
              <a:schemeClr val="tx1"/>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67926784"/>
        <c:crosses val="autoZero"/>
        <c:auto val="1"/>
        <c:lblAlgn val="ctr"/>
        <c:lblOffset val="100"/>
        <c:tickLblSkip val="20"/>
        <c:tickMarkSkip val="20"/>
        <c:noMultiLvlLbl val="0"/>
      </c:catAx>
      <c:valAx>
        <c:axId val="167926784"/>
        <c:scaling>
          <c:orientation val="minMax"/>
          <c:max val="1"/>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vert="eaVert"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zh-CN" altLang="en-US" sz="1100" b="1">
                    <a:latin typeface="仿宋" panose="02010609060101010101" pitchFamily="49" charset="-122"/>
                    <a:ea typeface="仿宋" panose="02010609060101010101" pitchFamily="49" charset="-122"/>
                  </a:rPr>
                  <a:t>达成度</a:t>
                </a:r>
                <a:endParaRPr lang="zh-CN" altLang="en-US" sz="1100" b="1">
                  <a:latin typeface="仿宋" panose="02010609060101010101" pitchFamily="49" charset="-122"/>
                  <a:ea typeface="仿宋" panose="02010609060101010101" pitchFamily="49" charset="-122"/>
                </a:endParaRPr>
              </a:p>
            </c:rich>
          </c:tx>
          <c:layout/>
          <c:overlay val="0"/>
          <c:spPr>
            <a:noFill/>
            <a:ln>
              <a:noFill/>
            </a:ln>
            <a:effectLst/>
          </c:spPr>
        </c:title>
        <c:numFmt formatCode="0.00_ " sourceLinked="1"/>
        <c:majorTickMark val="none"/>
        <c:minorTickMark val="none"/>
        <c:tickLblPos val="nextTo"/>
        <c:spPr>
          <a:noFill/>
          <a:ln w="19050" cap="flat" cmpd="sng" algn="ctr">
            <a:solidFill>
              <a:schemeClr val="tx1"/>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67924864"/>
        <c:crossesAt val="0"/>
        <c:crossBetween val="between"/>
        <c:majorUnit val="0.2"/>
      </c:valAx>
      <c:spPr>
        <a:noFill/>
        <a:ln>
          <a:noFill/>
        </a:ln>
        <a:effectLst/>
      </c:spPr>
    </c:plotArea>
    <c:legend>
      <c:legendPos val="b"/>
      <c:layout>
        <c:manualLayout>
          <c:xMode val="edge"/>
          <c:yMode val="edge"/>
          <c:x val="0.332550092283996"/>
          <c:y val="0.615287255759697"/>
          <c:w val="0.372344013490725"/>
          <c:h val="0.0833339165937591"/>
        </c:manualLayout>
      </c:layout>
      <c:overlay val="1"/>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f8f27d8e-a850-41af-a50d-6833006e17ed}"/>
      </c:ext>
    </c:extLst>
  </c:chart>
  <c:spPr>
    <a:solidFill>
      <a:schemeClr val="bg1"/>
    </a:solidFill>
    <a:ln w="9525" cap="flat" cmpd="sng" algn="ctr">
      <a:solidFill>
        <a:schemeClr val="tx1">
          <a:lumMod val="15000"/>
          <a:lumOff val="85000"/>
        </a:schemeClr>
      </a:solidFill>
      <a:round/>
    </a:ln>
    <a:effectLst/>
  </c:spPr>
  <c:txPr>
    <a:bodyPr/>
    <a:lstStyle/>
    <a:p>
      <a:pPr>
        <a:defRPr lang="zh-CN"/>
      </a:pPr>
    </a:p>
  </c:txPr>
  <c:externalData r:id="rId1">
    <c:autoUpdate val="0"/>
  </c:externalData>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0" vertOverflow="ellipsis" vert="horz" wrap="square" anchor="ctr" anchorCtr="1"/>
          <a:lstStyle/>
          <a:p>
            <a:pPr defTabSz="914400">
              <a:defRPr lang="zh-CN" sz="1800" b="1" i="0" u="none" strike="noStrike" kern="1200" baseline="0">
                <a:solidFill>
                  <a:schemeClr val="tx1"/>
                </a:solidFill>
                <a:latin typeface="+mn-lt"/>
                <a:ea typeface="+mn-ea"/>
                <a:cs typeface="+mn-cs"/>
              </a:defRPr>
            </a:pPr>
            <a:r>
              <a:rPr lang="zh-CN" altLang="en-US" sz="1200" b="1">
                <a:latin typeface="仿宋" panose="02010609060101010101" pitchFamily="49" charset="-122"/>
                <a:ea typeface="仿宋" panose="02010609060101010101" pitchFamily="49" charset="-122"/>
              </a:rPr>
              <a:t>目标</a:t>
            </a:r>
            <a:r>
              <a:rPr lang="en-US" altLang="zh-CN" sz="1200" b="1">
                <a:latin typeface="仿宋" panose="02010609060101010101" pitchFamily="49" charset="-122"/>
                <a:ea typeface="仿宋" panose="02010609060101010101" pitchFamily="49" charset="-122"/>
              </a:rPr>
              <a:t>4 </a:t>
            </a:r>
            <a:r>
              <a:rPr lang="zh-CN" altLang="en-US" sz="1200" b="1">
                <a:latin typeface="仿宋" panose="02010609060101010101" pitchFamily="49" charset="-122"/>
                <a:ea typeface="仿宋" panose="02010609060101010101" pitchFamily="49" charset="-122"/>
              </a:rPr>
              <a:t>学生达成度散点图</a:t>
            </a:r>
            <a:endParaRPr lang="zh-CN" altLang="en-US" sz="1200" b="1">
              <a:latin typeface="仿宋" panose="02010609060101010101" pitchFamily="49" charset="-122"/>
              <a:ea typeface="仿宋" panose="02010609060101010101" pitchFamily="49" charset="-122"/>
            </a:endParaRPr>
          </a:p>
        </c:rich>
      </c:tx>
      <c:layout>
        <c:manualLayout>
          <c:xMode val="edge"/>
          <c:yMode val="edge"/>
          <c:x val="0.367815880077455"/>
          <c:y val="0.854009494300577"/>
        </c:manualLayout>
      </c:layout>
      <c:overlay val="0"/>
    </c:title>
    <c:autoTitleDeleted val="0"/>
    <c:plotArea>
      <c:layout>
        <c:manualLayout>
          <c:layoutTarget val="inner"/>
          <c:xMode val="edge"/>
          <c:yMode val="edge"/>
          <c:x val="0.103213325121079"/>
          <c:y val="0.0702331883604802"/>
          <c:w val="0.86648965390954"/>
          <c:h val="0.68137741046832"/>
        </c:manualLayout>
      </c:layout>
      <c:lineChart>
        <c:grouping val="stacked"/>
        <c:varyColors val="0"/>
        <c:ser>
          <c:idx val="0"/>
          <c:order val="1"/>
          <c:tx>
            <c:strRef>
              <c:f>"平均达成度"</c:f>
              <c:strCache>
                <c:ptCount val="1"/>
                <c:pt idx="0">
                  <c:v>平均达成度</c:v>
                </c:pt>
              </c:strCache>
            </c:strRef>
          </c:tx>
          <c:spPr>
            <a:ln w="25400" cap="rnd" cmpd="sng" algn="ctr">
              <a:solidFill>
                <a:schemeClr val="accent4"/>
              </a:solidFill>
              <a:prstDash val="solid"/>
              <a:round/>
            </a:ln>
          </c:spPr>
          <c:marker>
            <c:symbol val="none"/>
          </c:marker>
          <c:dLbls>
            <c:delete val="1"/>
          </c:dLbls>
          <c:cat>
            <c:numRef>
              <c:f>'5绘图数据'!$A$3:$A$143</c:f>
              <c:numCache>
                <c:formatCode>General</c:formatCode>
                <c:ptCount val="14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numCache>
            </c:numRef>
          </c:cat>
          <c:val>
            <c:numRef>
              <c:f>'5绘图数据'!$P$3:$P$143</c:f>
              <c:numCache>
                <c:formatCode>0.00_ </c:formatCode>
                <c:ptCount val="141"/>
                <c:pt idx="0">
                  <c:v>0.788014184397162</c:v>
                </c:pt>
                <c:pt idx="1">
                  <c:v>0.788014184397162</c:v>
                </c:pt>
                <c:pt idx="2">
                  <c:v>0.788014184397162</c:v>
                </c:pt>
                <c:pt idx="3">
                  <c:v>0.788014184397162</c:v>
                </c:pt>
                <c:pt idx="4">
                  <c:v>0.788014184397162</c:v>
                </c:pt>
                <c:pt idx="5">
                  <c:v>0.788014184397162</c:v>
                </c:pt>
                <c:pt idx="6">
                  <c:v>0.788014184397162</c:v>
                </c:pt>
                <c:pt idx="7">
                  <c:v>0.788014184397162</c:v>
                </c:pt>
                <c:pt idx="8">
                  <c:v>0.788014184397162</c:v>
                </c:pt>
                <c:pt idx="9">
                  <c:v>0.788014184397162</c:v>
                </c:pt>
                <c:pt idx="10">
                  <c:v>0.788014184397162</c:v>
                </c:pt>
                <c:pt idx="11">
                  <c:v>0.788014184397162</c:v>
                </c:pt>
                <c:pt idx="12">
                  <c:v>0.788014184397162</c:v>
                </c:pt>
                <c:pt idx="13">
                  <c:v>0.788014184397162</c:v>
                </c:pt>
                <c:pt idx="14">
                  <c:v>0.788014184397162</c:v>
                </c:pt>
                <c:pt idx="15">
                  <c:v>0.788014184397162</c:v>
                </c:pt>
                <c:pt idx="16">
                  <c:v>0.788014184397162</c:v>
                </c:pt>
                <c:pt idx="17">
                  <c:v>0.788014184397162</c:v>
                </c:pt>
                <c:pt idx="18">
                  <c:v>0.788014184397162</c:v>
                </c:pt>
                <c:pt idx="19">
                  <c:v>0.788014184397162</c:v>
                </c:pt>
                <c:pt idx="20">
                  <c:v>0.788014184397162</c:v>
                </c:pt>
                <c:pt idx="21">
                  <c:v>0.788014184397162</c:v>
                </c:pt>
                <c:pt idx="22">
                  <c:v>0.788014184397162</c:v>
                </c:pt>
                <c:pt idx="23">
                  <c:v>0.788014184397162</c:v>
                </c:pt>
                <c:pt idx="24">
                  <c:v>0.788014184397162</c:v>
                </c:pt>
                <c:pt idx="25">
                  <c:v>0.788014184397162</c:v>
                </c:pt>
                <c:pt idx="26">
                  <c:v>0.788014184397162</c:v>
                </c:pt>
                <c:pt idx="27">
                  <c:v>0.788014184397162</c:v>
                </c:pt>
                <c:pt idx="28">
                  <c:v>0.788014184397162</c:v>
                </c:pt>
                <c:pt idx="29">
                  <c:v>0.788014184397162</c:v>
                </c:pt>
                <c:pt idx="30">
                  <c:v>0.788014184397162</c:v>
                </c:pt>
                <c:pt idx="31">
                  <c:v>0.788014184397162</c:v>
                </c:pt>
                <c:pt idx="32">
                  <c:v>0.788014184397162</c:v>
                </c:pt>
                <c:pt idx="33">
                  <c:v>0.788014184397162</c:v>
                </c:pt>
                <c:pt idx="34">
                  <c:v>0.788014184397162</c:v>
                </c:pt>
                <c:pt idx="35">
                  <c:v>0.788014184397162</c:v>
                </c:pt>
                <c:pt idx="36">
                  <c:v>0.788014184397162</c:v>
                </c:pt>
                <c:pt idx="37">
                  <c:v>0.788014184397162</c:v>
                </c:pt>
                <c:pt idx="38">
                  <c:v>0.788014184397162</c:v>
                </c:pt>
                <c:pt idx="39">
                  <c:v>0.788014184397162</c:v>
                </c:pt>
                <c:pt idx="40">
                  <c:v>0.788014184397162</c:v>
                </c:pt>
                <c:pt idx="41">
                  <c:v>0.788014184397162</c:v>
                </c:pt>
                <c:pt idx="42">
                  <c:v>0.788014184397162</c:v>
                </c:pt>
                <c:pt idx="43">
                  <c:v>0.788014184397162</c:v>
                </c:pt>
                <c:pt idx="44">
                  <c:v>0.788014184397162</c:v>
                </c:pt>
                <c:pt idx="45">
                  <c:v>0.788014184397162</c:v>
                </c:pt>
                <c:pt idx="46">
                  <c:v>0.788014184397162</c:v>
                </c:pt>
                <c:pt idx="47">
                  <c:v>0.788014184397162</c:v>
                </c:pt>
                <c:pt idx="48">
                  <c:v>0.788014184397162</c:v>
                </c:pt>
                <c:pt idx="49">
                  <c:v>0.788014184397162</c:v>
                </c:pt>
                <c:pt idx="50">
                  <c:v>0.788014184397162</c:v>
                </c:pt>
                <c:pt idx="51">
                  <c:v>0.788014184397162</c:v>
                </c:pt>
                <c:pt idx="52">
                  <c:v>0.788014184397162</c:v>
                </c:pt>
                <c:pt idx="53">
                  <c:v>0.788014184397162</c:v>
                </c:pt>
                <c:pt idx="54">
                  <c:v>0.788014184397162</c:v>
                </c:pt>
                <c:pt idx="55">
                  <c:v>0.788014184397162</c:v>
                </c:pt>
                <c:pt idx="56">
                  <c:v>0.788014184397162</c:v>
                </c:pt>
                <c:pt idx="57">
                  <c:v>0.788014184397162</c:v>
                </c:pt>
                <c:pt idx="58">
                  <c:v>0.788014184397162</c:v>
                </c:pt>
                <c:pt idx="59">
                  <c:v>0.788014184397162</c:v>
                </c:pt>
                <c:pt idx="60">
                  <c:v>0.788014184397162</c:v>
                </c:pt>
                <c:pt idx="61">
                  <c:v>0.788014184397162</c:v>
                </c:pt>
                <c:pt idx="62">
                  <c:v>0.788014184397162</c:v>
                </c:pt>
                <c:pt idx="63">
                  <c:v>0.788014184397162</c:v>
                </c:pt>
                <c:pt idx="64">
                  <c:v>0.788014184397162</c:v>
                </c:pt>
                <c:pt idx="65">
                  <c:v>0.788014184397162</c:v>
                </c:pt>
                <c:pt idx="66">
                  <c:v>0.788014184397162</c:v>
                </c:pt>
                <c:pt idx="67">
                  <c:v>0.788014184397162</c:v>
                </c:pt>
                <c:pt idx="68">
                  <c:v>0.788014184397162</c:v>
                </c:pt>
                <c:pt idx="69">
                  <c:v>0.788014184397162</c:v>
                </c:pt>
                <c:pt idx="70">
                  <c:v>0.788014184397162</c:v>
                </c:pt>
                <c:pt idx="71">
                  <c:v>0.788014184397162</c:v>
                </c:pt>
                <c:pt idx="72">
                  <c:v>0.788014184397162</c:v>
                </c:pt>
                <c:pt idx="73">
                  <c:v>0.788014184397162</c:v>
                </c:pt>
                <c:pt idx="74">
                  <c:v>0.788014184397162</c:v>
                </c:pt>
                <c:pt idx="75">
                  <c:v>0.788014184397162</c:v>
                </c:pt>
                <c:pt idx="76">
                  <c:v>0.788014184397162</c:v>
                </c:pt>
                <c:pt idx="77">
                  <c:v>0.788014184397162</c:v>
                </c:pt>
                <c:pt idx="78">
                  <c:v>0.788014184397162</c:v>
                </c:pt>
                <c:pt idx="79">
                  <c:v>0.788014184397162</c:v>
                </c:pt>
                <c:pt idx="80">
                  <c:v>0.788014184397162</c:v>
                </c:pt>
                <c:pt idx="81">
                  <c:v>0.788014184397162</c:v>
                </c:pt>
                <c:pt idx="82">
                  <c:v>0.788014184397162</c:v>
                </c:pt>
                <c:pt idx="83">
                  <c:v>0.788014184397162</c:v>
                </c:pt>
                <c:pt idx="84">
                  <c:v>0.788014184397162</c:v>
                </c:pt>
                <c:pt idx="85">
                  <c:v>0.788014184397162</c:v>
                </c:pt>
                <c:pt idx="86">
                  <c:v>0.788014184397162</c:v>
                </c:pt>
                <c:pt idx="87">
                  <c:v>0.788014184397162</c:v>
                </c:pt>
                <c:pt idx="88">
                  <c:v>0.788014184397162</c:v>
                </c:pt>
                <c:pt idx="89">
                  <c:v>0.788014184397162</c:v>
                </c:pt>
                <c:pt idx="90">
                  <c:v>0.788014184397162</c:v>
                </c:pt>
                <c:pt idx="91">
                  <c:v>0.788014184397162</c:v>
                </c:pt>
                <c:pt idx="92">
                  <c:v>0.788014184397162</c:v>
                </c:pt>
                <c:pt idx="93">
                  <c:v>0.788014184397162</c:v>
                </c:pt>
                <c:pt idx="94">
                  <c:v>0.788014184397162</c:v>
                </c:pt>
                <c:pt idx="95">
                  <c:v>0.788014184397162</c:v>
                </c:pt>
                <c:pt idx="96">
                  <c:v>0.788014184397162</c:v>
                </c:pt>
                <c:pt idx="97">
                  <c:v>0.788014184397162</c:v>
                </c:pt>
                <c:pt idx="98">
                  <c:v>0.788014184397162</c:v>
                </c:pt>
                <c:pt idx="99">
                  <c:v>0.788014184397162</c:v>
                </c:pt>
                <c:pt idx="100">
                  <c:v>0.788014184397162</c:v>
                </c:pt>
                <c:pt idx="101">
                  <c:v>0.788014184397162</c:v>
                </c:pt>
                <c:pt idx="102">
                  <c:v>0.788014184397162</c:v>
                </c:pt>
                <c:pt idx="103">
                  <c:v>0.788014184397162</c:v>
                </c:pt>
                <c:pt idx="104">
                  <c:v>0.788014184397162</c:v>
                </c:pt>
                <c:pt idx="105">
                  <c:v>0.788014184397162</c:v>
                </c:pt>
                <c:pt idx="106">
                  <c:v>0.788014184397162</c:v>
                </c:pt>
                <c:pt idx="107">
                  <c:v>0.788014184397162</c:v>
                </c:pt>
                <c:pt idx="108">
                  <c:v>0.788014184397162</c:v>
                </c:pt>
                <c:pt idx="109">
                  <c:v>0.788014184397162</c:v>
                </c:pt>
                <c:pt idx="110">
                  <c:v>0.788014184397162</c:v>
                </c:pt>
                <c:pt idx="111">
                  <c:v>0.788014184397162</c:v>
                </c:pt>
                <c:pt idx="112">
                  <c:v>0.788014184397162</c:v>
                </c:pt>
                <c:pt idx="113">
                  <c:v>0.788014184397162</c:v>
                </c:pt>
                <c:pt idx="114">
                  <c:v>0.788014184397162</c:v>
                </c:pt>
                <c:pt idx="115">
                  <c:v>0.788014184397162</c:v>
                </c:pt>
                <c:pt idx="116">
                  <c:v>0.788014184397162</c:v>
                </c:pt>
                <c:pt idx="117">
                  <c:v>0.788014184397162</c:v>
                </c:pt>
                <c:pt idx="118">
                  <c:v>0.788014184397162</c:v>
                </c:pt>
                <c:pt idx="119">
                  <c:v>0.788014184397162</c:v>
                </c:pt>
                <c:pt idx="120">
                  <c:v>0.788014184397162</c:v>
                </c:pt>
                <c:pt idx="121">
                  <c:v>0.788014184397162</c:v>
                </c:pt>
                <c:pt idx="122">
                  <c:v>0.788014184397162</c:v>
                </c:pt>
                <c:pt idx="123">
                  <c:v>0.788014184397162</c:v>
                </c:pt>
                <c:pt idx="124">
                  <c:v>0.788014184397162</c:v>
                </c:pt>
                <c:pt idx="125">
                  <c:v>0.788014184397162</c:v>
                </c:pt>
                <c:pt idx="126">
                  <c:v>0.788014184397162</c:v>
                </c:pt>
                <c:pt idx="127">
                  <c:v>0.788014184397162</c:v>
                </c:pt>
                <c:pt idx="128">
                  <c:v>0.788014184397162</c:v>
                </c:pt>
                <c:pt idx="129">
                  <c:v>0.788014184397162</c:v>
                </c:pt>
                <c:pt idx="130">
                  <c:v>0.788014184397162</c:v>
                </c:pt>
                <c:pt idx="131">
                  <c:v>0.788014184397162</c:v>
                </c:pt>
                <c:pt idx="132">
                  <c:v>0.788014184397162</c:v>
                </c:pt>
                <c:pt idx="133">
                  <c:v>0.788014184397162</c:v>
                </c:pt>
                <c:pt idx="134">
                  <c:v>0.788014184397162</c:v>
                </c:pt>
                <c:pt idx="135">
                  <c:v>0.788014184397162</c:v>
                </c:pt>
                <c:pt idx="136">
                  <c:v>0.788014184397162</c:v>
                </c:pt>
                <c:pt idx="137">
                  <c:v>0.788014184397162</c:v>
                </c:pt>
                <c:pt idx="138">
                  <c:v>0.788014184397162</c:v>
                </c:pt>
                <c:pt idx="139">
                  <c:v>0.788014184397162</c:v>
                </c:pt>
                <c:pt idx="140">
                  <c:v>0.788014184397162</c:v>
                </c:pt>
              </c:numCache>
            </c:numRef>
          </c:val>
          <c:smooth val="0"/>
        </c:ser>
        <c:dLbls>
          <c:showLegendKey val="0"/>
          <c:showVal val="0"/>
          <c:showCatName val="0"/>
          <c:showSerName val="0"/>
          <c:showPercent val="0"/>
          <c:showBubbleSize val="0"/>
        </c:dLbls>
        <c:marker val="0"/>
        <c:smooth val="0"/>
        <c:axId val="167966592"/>
        <c:axId val="167776256"/>
      </c:lineChart>
      <c:scatterChart>
        <c:scatterStyle val="marker"/>
        <c:varyColors val="0"/>
        <c:ser>
          <c:idx val="3"/>
          <c:order val="0"/>
          <c:tx>
            <c:strRef>
              <c:f>"学生达成度"</c:f>
              <c:strCache>
                <c:ptCount val="1"/>
                <c:pt idx="0">
                  <c:v>学生达成度</c:v>
                </c:pt>
              </c:strCache>
            </c:strRef>
          </c:tx>
          <c:spPr>
            <a:ln w="19050" cap="rnd" cmpd="sng" algn="ctr">
              <a:noFill/>
              <a:prstDash val="solid"/>
              <a:round/>
            </a:ln>
          </c:spPr>
          <c:marker>
            <c:symbol val="circle"/>
            <c:size val="5"/>
            <c:spPr>
              <a:solidFill>
                <a:schemeClr val="accent5"/>
              </a:solidFill>
              <a:ln w="6350" cap="flat" cmpd="sng" algn="ctr">
                <a:noFill/>
                <a:prstDash val="solid"/>
                <a:round/>
              </a:ln>
            </c:spPr>
          </c:marker>
          <c:dLbls>
            <c:delete val="1"/>
          </c:dLbls>
          <c:xVal>
            <c:numRef>
              <c:f>'5绘图数据'!$A$3:$A$143</c:f>
              <c:numCache>
                <c:formatCode>General</c:formatCode>
                <c:ptCount val="14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numCache>
            </c:numRef>
          </c:xVal>
          <c:yVal>
            <c:numRef>
              <c:f>'5绘图数据'!$G$3:$G$143</c:f>
              <c:numCache>
                <c:formatCode>0.00_ </c:formatCode>
                <c:ptCount val="141"/>
                <c:pt idx="0">
                  <c:v>0.73</c:v>
                </c:pt>
                <c:pt idx="1">
                  <c:v>0.83</c:v>
                </c:pt>
                <c:pt idx="2">
                  <c:v>0.6</c:v>
                </c:pt>
                <c:pt idx="3">
                  <c:v>0.75</c:v>
                </c:pt>
                <c:pt idx="4">
                  <c:v>0.77</c:v>
                </c:pt>
                <c:pt idx="5">
                  <c:v>0.87</c:v>
                </c:pt>
                <c:pt idx="6">
                  <c:v>0.85</c:v>
                </c:pt>
                <c:pt idx="7">
                  <c:v>0</c:v>
                </c:pt>
                <c:pt idx="8">
                  <c:v>0.85</c:v>
                </c:pt>
                <c:pt idx="9">
                  <c:v>0.83</c:v>
                </c:pt>
                <c:pt idx="10">
                  <c:v>0.75</c:v>
                </c:pt>
                <c:pt idx="11">
                  <c:v>0.7</c:v>
                </c:pt>
                <c:pt idx="12">
                  <c:v>0.67</c:v>
                </c:pt>
                <c:pt idx="13">
                  <c:v>0.7</c:v>
                </c:pt>
                <c:pt idx="14">
                  <c:v>0.87</c:v>
                </c:pt>
                <c:pt idx="15">
                  <c:v>0.82</c:v>
                </c:pt>
                <c:pt idx="16">
                  <c:v>0.63</c:v>
                </c:pt>
                <c:pt idx="17">
                  <c:v>0.83</c:v>
                </c:pt>
                <c:pt idx="18">
                  <c:v>0.82</c:v>
                </c:pt>
                <c:pt idx="19">
                  <c:v>0.77</c:v>
                </c:pt>
                <c:pt idx="20">
                  <c:v>0.83</c:v>
                </c:pt>
                <c:pt idx="21">
                  <c:v>0.72</c:v>
                </c:pt>
                <c:pt idx="22">
                  <c:v>0.83</c:v>
                </c:pt>
                <c:pt idx="23">
                  <c:v>0.73</c:v>
                </c:pt>
                <c:pt idx="24">
                  <c:v>0.88</c:v>
                </c:pt>
                <c:pt idx="25">
                  <c:v>0.78</c:v>
                </c:pt>
                <c:pt idx="26">
                  <c:v>0.77</c:v>
                </c:pt>
                <c:pt idx="27">
                  <c:v>0.7</c:v>
                </c:pt>
                <c:pt idx="28">
                  <c:v>0</c:v>
                </c:pt>
                <c:pt idx="29">
                  <c:v>0.83</c:v>
                </c:pt>
                <c:pt idx="30">
                  <c:v>0.73</c:v>
                </c:pt>
                <c:pt idx="31">
                  <c:v>0.83</c:v>
                </c:pt>
                <c:pt idx="32">
                  <c:v>0.5</c:v>
                </c:pt>
                <c:pt idx="33">
                  <c:v>0.88</c:v>
                </c:pt>
                <c:pt idx="34">
                  <c:v>0.7</c:v>
                </c:pt>
                <c:pt idx="35">
                  <c:v>0.77</c:v>
                </c:pt>
                <c:pt idx="36">
                  <c:v>0.77</c:v>
                </c:pt>
                <c:pt idx="37">
                  <c:v>0.87</c:v>
                </c:pt>
                <c:pt idx="38">
                  <c:v>0.9</c:v>
                </c:pt>
                <c:pt idx="39">
                  <c:v>0.83</c:v>
                </c:pt>
                <c:pt idx="40">
                  <c:v>0.77</c:v>
                </c:pt>
                <c:pt idx="41">
                  <c:v>0.88</c:v>
                </c:pt>
                <c:pt idx="42">
                  <c:v>0.67</c:v>
                </c:pt>
                <c:pt idx="43">
                  <c:v>0.85</c:v>
                </c:pt>
                <c:pt idx="44">
                  <c:v>0.85</c:v>
                </c:pt>
                <c:pt idx="45">
                  <c:v>0.82</c:v>
                </c:pt>
                <c:pt idx="46">
                  <c:v>0.8</c:v>
                </c:pt>
                <c:pt idx="47">
                  <c:v>0.88</c:v>
                </c:pt>
                <c:pt idx="48">
                  <c:v>0.87</c:v>
                </c:pt>
                <c:pt idx="49">
                  <c:v>0.73</c:v>
                </c:pt>
                <c:pt idx="50">
                  <c:v>0.8</c:v>
                </c:pt>
                <c:pt idx="51">
                  <c:v>0.83</c:v>
                </c:pt>
                <c:pt idx="52">
                  <c:v>0.85</c:v>
                </c:pt>
                <c:pt idx="53">
                  <c:v>0.8</c:v>
                </c:pt>
                <c:pt idx="54">
                  <c:v>0.82</c:v>
                </c:pt>
                <c:pt idx="55">
                  <c:v>0.88</c:v>
                </c:pt>
                <c:pt idx="56">
                  <c:v>0.87</c:v>
                </c:pt>
                <c:pt idx="57">
                  <c:v>0.8</c:v>
                </c:pt>
                <c:pt idx="58">
                  <c:v>0.87</c:v>
                </c:pt>
                <c:pt idx="59">
                  <c:v>0.87</c:v>
                </c:pt>
                <c:pt idx="60">
                  <c:v>0.78</c:v>
                </c:pt>
                <c:pt idx="61">
                  <c:v>0.83</c:v>
                </c:pt>
                <c:pt idx="62">
                  <c:v>0.83</c:v>
                </c:pt>
                <c:pt idx="63">
                  <c:v>0.75</c:v>
                </c:pt>
                <c:pt idx="64">
                  <c:v>0.63</c:v>
                </c:pt>
                <c:pt idx="65">
                  <c:v>0.8</c:v>
                </c:pt>
                <c:pt idx="66">
                  <c:v>0.78</c:v>
                </c:pt>
                <c:pt idx="67">
                  <c:v>0.8</c:v>
                </c:pt>
                <c:pt idx="68">
                  <c:v>0.93</c:v>
                </c:pt>
                <c:pt idx="69">
                  <c:v>0.67</c:v>
                </c:pt>
                <c:pt idx="70">
                  <c:v>0.87</c:v>
                </c:pt>
                <c:pt idx="71">
                  <c:v>0.82</c:v>
                </c:pt>
                <c:pt idx="72">
                  <c:v>0.87</c:v>
                </c:pt>
                <c:pt idx="73">
                  <c:v>0.79</c:v>
                </c:pt>
                <c:pt idx="74">
                  <c:v>0.82</c:v>
                </c:pt>
                <c:pt idx="75">
                  <c:v>0.74</c:v>
                </c:pt>
                <c:pt idx="76">
                  <c:v>0.72</c:v>
                </c:pt>
                <c:pt idx="77">
                  <c:v>0.79</c:v>
                </c:pt>
                <c:pt idx="78">
                  <c:v>0.82</c:v>
                </c:pt>
                <c:pt idx="79">
                  <c:v>0.73</c:v>
                </c:pt>
                <c:pt idx="80">
                  <c:v>0.85</c:v>
                </c:pt>
                <c:pt idx="81">
                  <c:v>0.75</c:v>
                </c:pt>
                <c:pt idx="82">
                  <c:v>0.89</c:v>
                </c:pt>
                <c:pt idx="83">
                  <c:v>0.84</c:v>
                </c:pt>
                <c:pt idx="84">
                  <c:v>0.82</c:v>
                </c:pt>
                <c:pt idx="85">
                  <c:v>0.74</c:v>
                </c:pt>
                <c:pt idx="86">
                  <c:v>0.83</c:v>
                </c:pt>
                <c:pt idx="87">
                  <c:v>0.82</c:v>
                </c:pt>
                <c:pt idx="88">
                  <c:v>0.82</c:v>
                </c:pt>
                <c:pt idx="89">
                  <c:v>0.82</c:v>
                </c:pt>
                <c:pt idx="90">
                  <c:v>0.91</c:v>
                </c:pt>
                <c:pt idx="91">
                  <c:v>0.76</c:v>
                </c:pt>
                <c:pt idx="92">
                  <c:v>0.78</c:v>
                </c:pt>
                <c:pt idx="93">
                  <c:v>0.79</c:v>
                </c:pt>
                <c:pt idx="94">
                  <c:v>0.83</c:v>
                </c:pt>
                <c:pt idx="95">
                  <c:v>0.87</c:v>
                </c:pt>
                <c:pt idx="96">
                  <c:v>0.8</c:v>
                </c:pt>
                <c:pt idx="97">
                  <c:v>0.79</c:v>
                </c:pt>
                <c:pt idx="98">
                  <c:v>0.84</c:v>
                </c:pt>
                <c:pt idx="99">
                  <c:v>0.83</c:v>
                </c:pt>
                <c:pt idx="100">
                  <c:v>0.85</c:v>
                </c:pt>
                <c:pt idx="101">
                  <c:v>0.77</c:v>
                </c:pt>
                <c:pt idx="102">
                  <c:v>0.82</c:v>
                </c:pt>
                <c:pt idx="103">
                  <c:v>0.88</c:v>
                </c:pt>
                <c:pt idx="104">
                  <c:v>0.7</c:v>
                </c:pt>
                <c:pt idx="105">
                  <c:v>0.83</c:v>
                </c:pt>
                <c:pt idx="106">
                  <c:v>0.8</c:v>
                </c:pt>
                <c:pt idx="107">
                  <c:v>0.81</c:v>
                </c:pt>
                <c:pt idx="108">
                  <c:v>0.78</c:v>
                </c:pt>
                <c:pt idx="109">
                  <c:v>0.8</c:v>
                </c:pt>
                <c:pt idx="110">
                  <c:v>0.82</c:v>
                </c:pt>
                <c:pt idx="111">
                  <c:v>0.88</c:v>
                </c:pt>
                <c:pt idx="112">
                  <c:v>0.77</c:v>
                </c:pt>
                <c:pt idx="113">
                  <c:v>0.77</c:v>
                </c:pt>
                <c:pt idx="114">
                  <c:v>0.83</c:v>
                </c:pt>
                <c:pt idx="115">
                  <c:v>0.78</c:v>
                </c:pt>
                <c:pt idx="116">
                  <c:v>0.7</c:v>
                </c:pt>
                <c:pt idx="117">
                  <c:v>0.85</c:v>
                </c:pt>
                <c:pt idx="118">
                  <c:v>0.78</c:v>
                </c:pt>
                <c:pt idx="119">
                  <c:v>0.83</c:v>
                </c:pt>
                <c:pt idx="120">
                  <c:v>0.84</c:v>
                </c:pt>
                <c:pt idx="121">
                  <c:v>0.89</c:v>
                </c:pt>
                <c:pt idx="122">
                  <c:v>0.77</c:v>
                </c:pt>
                <c:pt idx="123">
                  <c:v>0.75</c:v>
                </c:pt>
                <c:pt idx="124">
                  <c:v>0.77</c:v>
                </c:pt>
                <c:pt idx="125">
                  <c:v>0.76</c:v>
                </c:pt>
                <c:pt idx="126">
                  <c:v>0.75</c:v>
                </c:pt>
                <c:pt idx="127">
                  <c:v>0.85</c:v>
                </c:pt>
                <c:pt idx="128">
                  <c:v>0.9</c:v>
                </c:pt>
                <c:pt idx="129">
                  <c:v>0.83</c:v>
                </c:pt>
                <c:pt idx="130">
                  <c:v>0.77</c:v>
                </c:pt>
                <c:pt idx="131">
                  <c:v>0.85</c:v>
                </c:pt>
                <c:pt idx="132">
                  <c:v>0.82</c:v>
                </c:pt>
                <c:pt idx="133">
                  <c:v>0.75</c:v>
                </c:pt>
                <c:pt idx="134">
                  <c:v>0.79</c:v>
                </c:pt>
                <c:pt idx="135">
                  <c:v>0.77</c:v>
                </c:pt>
                <c:pt idx="136">
                  <c:v>0.75</c:v>
                </c:pt>
                <c:pt idx="137">
                  <c:v>0.83</c:v>
                </c:pt>
                <c:pt idx="138">
                  <c:v>0.83</c:v>
                </c:pt>
                <c:pt idx="139">
                  <c:v>0.82</c:v>
                </c:pt>
                <c:pt idx="140">
                  <c:v>0.82</c:v>
                </c:pt>
              </c:numCache>
            </c:numRef>
          </c:yVal>
          <c:smooth val="0"/>
        </c:ser>
        <c:dLbls>
          <c:showLegendKey val="0"/>
          <c:showVal val="0"/>
          <c:showCatName val="0"/>
          <c:showSerName val="0"/>
          <c:showPercent val="0"/>
          <c:showBubbleSize val="0"/>
        </c:dLbls>
        <c:axId val="167966592"/>
        <c:axId val="167776256"/>
      </c:scatterChart>
      <c:catAx>
        <c:axId val="167966592"/>
        <c:scaling>
          <c:orientation val="minMax"/>
        </c:scaling>
        <c:delete val="0"/>
        <c:axPos val="b"/>
        <c:numFmt formatCode="General" sourceLinked="0"/>
        <c:majorTickMark val="out"/>
        <c:minorTickMark val="none"/>
        <c:tickLblPos val="nextTo"/>
        <c:spPr>
          <a:ln w="19050" cap="flat" cmpd="sng" algn="ctr">
            <a:solidFill>
              <a:schemeClr val="tx1"/>
            </a:solidFill>
            <a:prstDash val="solid"/>
            <a:round/>
          </a:ln>
        </c:spPr>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167776256"/>
        <c:crosses val="autoZero"/>
        <c:auto val="1"/>
        <c:lblAlgn val="ctr"/>
        <c:lblOffset val="100"/>
        <c:tickLblSkip val="20"/>
        <c:tickMarkSkip val="20"/>
        <c:noMultiLvlLbl val="0"/>
      </c:catAx>
      <c:valAx>
        <c:axId val="167776256"/>
        <c:scaling>
          <c:orientation val="minMax"/>
          <c:max val="1"/>
        </c:scaling>
        <c:delete val="0"/>
        <c:axPos val="l"/>
        <c:majorGridlines/>
        <c:title>
          <c:tx>
            <c:rich>
              <a:bodyPr rot="0" spcFirstLastPara="0" vertOverflow="ellipsis" vert="eaVert" wrap="square" anchor="ctr" anchorCtr="1"/>
              <a:lstStyle/>
              <a:p>
                <a:pPr>
                  <a:defRPr lang="zh-CN" sz="1000" b="1" i="0" u="none" strike="noStrike" kern="1200" baseline="0">
                    <a:solidFill>
                      <a:schemeClr val="tx1"/>
                    </a:solidFill>
                    <a:latin typeface="+mn-lt"/>
                    <a:ea typeface="+mn-ea"/>
                    <a:cs typeface="+mn-cs"/>
                  </a:defRPr>
                </a:pPr>
                <a:r>
                  <a:rPr lang="zh-CN" altLang="en-US" sz="1100">
                    <a:latin typeface="仿宋" panose="02010609060101010101" pitchFamily="49" charset="-122"/>
                    <a:ea typeface="仿宋" panose="02010609060101010101" pitchFamily="49" charset="-122"/>
                  </a:rPr>
                  <a:t>达成度</a:t>
                </a:r>
                <a:endParaRPr lang="zh-CN" altLang="en-US" sz="1100">
                  <a:latin typeface="仿宋" panose="02010609060101010101" pitchFamily="49" charset="-122"/>
                  <a:ea typeface="仿宋" panose="02010609060101010101" pitchFamily="49" charset="-122"/>
                </a:endParaRPr>
              </a:p>
            </c:rich>
          </c:tx>
          <c:layout/>
          <c:overlay val="0"/>
        </c:title>
        <c:numFmt formatCode="0.00_ " sourceLinked="1"/>
        <c:majorTickMark val="none"/>
        <c:minorTickMark val="none"/>
        <c:tickLblPos val="nextTo"/>
        <c:spPr>
          <a:ln w="19050" cap="flat" cmpd="sng" algn="ctr">
            <a:solidFill>
              <a:schemeClr val="tx1"/>
            </a:solidFill>
            <a:prstDash val="solid"/>
            <a:round/>
          </a:ln>
        </c:spPr>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167966592"/>
        <c:crossesAt val="0"/>
        <c:crossBetween val="between"/>
        <c:majorUnit val="0.2"/>
        <c:minorUnit val="0.2"/>
      </c:valAx>
    </c:plotArea>
    <c:legend>
      <c:legendPos val="t"/>
      <c:layout>
        <c:manualLayout>
          <c:xMode val="edge"/>
          <c:yMode val="edge"/>
          <c:x val="0.337845878437958"/>
          <c:y val="0.651117238504032"/>
          <c:w val="0.399774901519415"/>
          <c:h val="0.08704170101481"/>
        </c:manualLayout>
      </c:layout>
      <c:overlay val="1"/>
      <c:txPr>
        <a:bodyPr rot="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cdb1f2c8-444e-4cdf-b9f5-850e1d4842fa}"/>
      </c:ext>
    </c:extLst>
  </c:chart>
  <c:txPr>
    <a:bodyPr/>
    <a:lstStyle/>
    <a:p>
      <a:pPr>
        <a:defRPr lang="zh-CN"/>
      </a:pPr>
    </a:p>
  </c:txPr>
  <c:externalData r:id="rId1">
    <c:autoUpdate val="0"/>
  </c:externalData>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0" vertOverflow="ellipsis" vert="horz" wrap="square" anchor="ctr" anchorCtr="1"/>
          <a:lstStyle/>
          <a:p>
            <a:pPr defTabSz="914400">
              <a:defRPr lang="zh-CN" sz="1800" b="1" i="0" u="none" strike="noStrike" kern="1200" baseline="0">
                <a:solidFill>
                  <a:schemeClr val="tx1"/>
                </a:solidFill>
                <a:latin typeface="+mn-lt"/>
                <a:ea typeface="+mn-ea"/>
                <a:cs typeface="+mn-cs"/>
              </a:defRPr>
            </a:pPr>
            <a:r>
              <a:rPr lang="zh-CN" altLang="en-US" sz="1200" b="1">
                <a:latin typeface="仿宋" panose="02010609060101010101" pitchFamily="49" charset="-122"/>
                <a:ea typeface="仿宋" panose="02010609060101010101" pitchFamily="49" charset="-122"/>
              </a:rPr>
              <a:t>目标</a:t>
            </a:r>
            <a:r>
              <a:rPr lang="en-US" altLang="zh-CN" sz="1200" b="1">
                <a:latin typeface="仿宋" panose="02010609060101010101" pitchFamily="49" charset="-122"/>
                <a:ea typeface="仿宋" panose="02010609060101010101" pitchFamily="49" charset="-122"/>
              </a:rPr>
              <a:t>5 </a:t>
            </a:r>
            <a:r>
              <a:rPr lang="zh-CN" altLang="en-US" sz="1200" b="1">
                <a:latin typeface="仿宋" panose="02010609060101010101" pitchFamily="49" charset="-122"/>
                <a:ea typeface="仿宋" panose="02010609060101010101" pitchFamily="49" charset="-122"/>
              </a:rPr>
              <a:t>学生达成度散点图</a:t>
            </a:r>
            <a:endParaRPr lang="zh-CN" altLang="en-US" sz="1200" b="1">
              <a:latin typeface="仿宋" panose="02010609060101010101" pitchFamily="49" charset="-122"/>
              <a:ea typeface="仿宋" panose="02010609060101010101" pitchFamily="49" charset="-122"/>
            </a:endParaRPr>
          </a:p>
        </c:rich>
      </c:tx>
      <c:layout>
        <c:manualLayout>
          <c:xMode val="edge"/>
          <c:yMode val="edge"/>
          <c:x val="0.367815880077455"/>
          <c:y val="0.854009494300577"/>
        </c:manualLayout>
      </c:layout>
      <c:overlay val="0"/>
    </c:title>
    <c:autoTitleDeleted val="0"/>
    <c:plotArea>
      <c:layout>
        <c:manualLayout>
          <c:layoutTarget val="inner"/>
          <c:xMode val="edge"/>
          <c:yMode val="edge"/>
          <c:x val="0.103213325121079"/>
          <c:y val="0.0702331883604802"/>
          <c:w val="0.86648965390954"/>
          <c:h val="0.68137741046832"/>
        </c:manualLayout>
      </c:layout>
      <c:lineChart>
        <c:grouping val="stacked"/>
        <c:varyColors val="0"/>
        <c:ser>
          <c:idx val="0"/>
          <c:order val="1"/>
          <c:tx>
            <c:strRef>
              <c:f>"平均达成度"</c:f>
              <c:strCache>
                <c:ptCount val="1"/>
                <c:pt idx="0">
                  <c:v>平均达成度</c:v>
                </c:pt>
              </c:strCache>
            </c:strRef>
          </c:tx>
          <c:spPr>
            <a:ln w="25400" cap="rnd" cmpd="sng" algn="ctr">
              <a:solidFill>
                <a:schemeClr val="accent4"/>
              </a:solidFill>
              <a:prstDash val="solid"/>
              <a:round/>
            </a:ln>
          </c:spPr>
          <c:marker>
            <c:symbol val="none"/>
          </c:marker>
          <c:dLbls>
            <c:delete val="1"/>
          </c:dLbls>
          <c:cat>
            <c:numRef>
              <c:f>'5绘图数据'!$A$3:$A$12</c:f>
              <c:numCache>
                <c:formatCode>General</c:formatCode>
                <c:ptCount val="10"/>
                <c:pt idx="0">
                  <c:v>0</c:v>
                </c:pt>
                <c:pt idx="1">
                  <c:v>1</c:v>
                </c:pt>
                <c:pt idx="2">
                  <c:v>2</c:v>
                </c:pt>
                <c:pt idx="3">
                  <c:v>3</c:v>
                </c:pt>
                <c:pt idx="4">
                  <c:v>4</c:v>
                </c:pt>
                <c:pt idx="5">
                  <c:v>5</c:v>
                </c:pt>
                <c:pt idx="6">
                  <c:v>6</c:v>
                </c:pt>
                <c:pt idx="7">
                  <c:v>7</c:v>
                </c:pt>
                <c:pt idx="8">
                  <c:v>8</c:v>
                </c:pt>
                <c:pt idx="9">
                  <c:v>9</c:v>
                </c:pt>
              </c:numCache>
            </c:numRef>
          </c:cat>
          <c:val>
            <c:numRef>
              <c:f>'5绘图数据'!$Q$3:$Q$12</c:f>
              <c:numCache>
                <c:formatCode>0.00_ </c:formatCode>
                <c:ptCount val="10"/>
                <c:pt idx="0">
                  <c:v>0</c:v>
                </c:pt>
                <c:pt idx="1">
                  <c:v>0</c:v>
                </c:pt>
                <c:pt idx="2">
                  <c:v>0</c:v>
                </c:pt>
                <c:pt idx="3">
                  <c:v>0</c:v>
                </c:pt>
                <c:pt idx="4">
                  <c:v>0</c:v>
                </c:pt>
                <c:pt idx="5">
                  <c:v>0</c:v>
                </c:pt>
                <c:pt idx="6">
                  <c:v>0</c:v>
                </c:pt>
                <c:pt idx="7">
                  <c:v>0</c:v>
                </c:pt>
                <c:pt idx="8">
                  <c:v>0</c:v>
                </c:pt>
                <c:pt idx="9">
                  <c:v>0</c:v>
                </c:pt>
              </c:numCache>
            </c:numRef>
          </c:val>
          <c:smooth val="0"/>
        </c:ser>
        <c:dLbls>
          <c:showLegendKey val="0"/>
          <c:showVal val="0"/>
          <c:showCatName val="0"/>
          <c:showSerName val="0"/>
          <c:showPercent val="0"/>
          <c:showBubbleSize val="0"/>
        </c:dLbls>
        <c:marker val="0"/>
        <c:smooth val="0"/>
        <c:axId val="167966592"/>
        <c:axId val="167776256"/>
      </c:lineChart>
      <c:scatterChart>
        <c:scatterStyle val="marker"/>
        <c:varyColors val="0"/>
        <c:ser>
          <c:idx val="3"/>
          <c:order val="0"/>
          <c:tx>
            <c:strRef>
              <c:f>"学生达成度"</c:f>
              <c:strCache>
                <c:ptCount val="1"/>
                <c:pt idx="0">
                  <c:v>学生达成度</c:v>
                </c:pt>
              </c:strCache>
            </c:strRef>
          </c:tx>
          <c:spPr>
            <a:ln w="19050" cap="rnd" cmpd="sng" algn="ctr">
              <a:noFill/>
              <a:prstDash val="solid"/>
              <a:round/>
            </a:ln>
          </c:spPr>
          <c:marker>
            <c:symbol val="circle"/>
            <c:size val="5"/>
            <c:spPr>
              <a:solidFill>
                <a:schemeClr val="accent5"/>
              </a:solidFill>
              <a:ln w="6350" cap="flat" cmpd="sng" algn="ctr">
                <a:noFill/>
                <a:prstDash val="solid"/>
                <a:round/>
              </a:ln>
            </c:spPr>
          </c:marker>
          <c:dLbls>
            <c:delete val="1"/>
          </c:dLbls>
          <c:xVal>
            <c:numRef>
              <c:f>'5绘图数据'!$A$3:$A$12</c:f>
              <c:numCache>
                <c:formatCode>General</c:formatCode>
                <c:ptCount val="10"/>
                <c:pt idx="0">
                  <c:v>0</c:v>
                </c:pt>
                <c:pt idx="1">
                  <c:v>1</c:v>
                </c:pt>
                <c:pt idx="2">
                  <c:v>2</c:v>
                </c:pt>
                <c:pt idx="3">
                  <c:v>3</c:v>
                </c:pt>
                <c:pt idx="4">
                  <c:v>4</c:v>
                </c:pt>
                <c:pt idx="5">
                  <c:v>5</c:v>
                </c:pt>
                <c:pt idx="6">
                  <c:v>6</c:v>
                </c:pt>
                <c:pt idx="7">
                  <c:v>7</c:v>
                </c:pt>
                <c:pt idx="8">
                  <c:v>8</c:v>
                </c:pt>
                <c:pt idx="9">
                  <c:v>9</c:v>
                </c:pt>
              </c:numCache>
            </c:numRef>
          </c:xVal>
          <c:yVal>
            <c:numRef>
              <c:f>'5绘图数据'!$H$3:$H$12</c:f>
              <c:numCache>
                <c:formatCode>0.00_ </c:formatCode>
                <c:ptCount val="10"/>
                <c:pt idx="0">
                  <c:v>0</c:v>
                </c:pt>
                <c:pt idx="1">
                  <c:v>0</c:v>
                </c:pt>
                <c:pt idx="2">
                  <c:v>0</c:v>
                </c:pt>
                <c:pt idx="3">
                  <c:v>0</c:v>
                </c:pt>
                <c:pt idx="4">
                  <c:v>0</c:v>
                </c:pt>
                <c:pt idx="5">
                  <c:v>0</c:v>
                </c:pt>
                <c:pt idx="6">
                  <c:v>0</c:v>
                </c:pt>
                <c:pt idx="7">
                  <c:v>0</c:v>
                </c:pt>
                <c:pt idx="8">
                  <c:v>0</c:v>
                </c:pt>
                <c:pt idx="9">
                  <c:v>0</c:v>
                </c:pt>
              </c:numCache>
            </c:numRef>
          </c:yVal>
          <c:smooth val="0"/>
        </c:ser>
        <c:dLbls>
          <c:showLegendKey val="0"/>
          <c:showVal val="0"/>
          <c:showCatName val="0"/>
          <c:showSerName val="0"/>
          <c:showPercent val="0"/>
          <c:showBubbleSize val="0"/>
        </c:dLbls>
        <c:axId val="167966592"/>
        <c:axId val="167776256"/>
      </c:scatterChart>
      <c:catAx>
        <c:axId val="167966592"/>
        <c:scaling>
          <c:orientation val="minMax"/>
        </c:scaling>
        <c:delete val="0"/>
        <c:axPos val="b"/>
        <c:numFmt formatCode="General" sourceLinked="0"/>
        <c:majorTickMark val="out"/>
        <c:minorTickMark val="none"/>
        <c:tickLblPos val="nextTo"/>
        <c:spPr>
          <a:ln w="19050" cap="flat" cmpd="sng" algn="ctr">
            <a:solidFill>
              <a:schemeClr val="tx1"/>
            </a:solidFill>
            <a:prstDash val="solid"/>
            <a:round/>
          </a:ln>
        </c:spPr>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167776256"/>
        <c:crosses val="autoZero"/>
        <c:auto val="1"/>
        <c:lblAlgn val="ctr"/>
        <c:lblOffset val="100"/>
        <c:tickLblSkip val="20"/>
        <c:tickMarkSkip val="20"/>
        <c:noMultiLvlLbl val="0"/>
      </c:catAx>
      <c:valAx>
        <c:axId val="167776256"/>
        <c:scaling>
          <c:orientation val="minMax"/>
          <c:max val="1"/>
        </c:scaling>
        <c:delete val="0"/>
        <c:axPos val="l"/>
        <c:majorGridlines/>
        <c:title>
          <c:tx>
            <c:rich>
              <a:bodyPr rot="0" spcFirstLastPara="0" vertOverflow="ellipsis" vert="eaVert" wrap="square" anchor="ctr" anchorCtr="1"/>
              <a:lstStyle/>
              <a:p>
                <a:pPr>
                  <a:defRPr lang="zh-CN" sz="1000" b="1" i="0" u="none" strike="noStrike" kern="1200" baseline="0">
                    <a:solidFill>
                      <a:schemeClr val="tx1"/>
                    </a:solidFill>
                    <a:latin typeface="+mn-lt"/>
                    <a:ea typeface="+mn-ea"/>
                    <a:cs typeface="+mn-cs"/>
                  </a:defRPr>
                </a:pPr>
                <a:r>
                  <a:rPr lang="zh-CN" altLang="en-US" sz="1100">
                    <a:latin typeface="仿宋" panose="02010609060101010101" pitchFamily="49" charset="-122"/>
                    <a:ea typeface="仿宋" panose="02010609060101010101" pitchFamily="49" charset="-122"/>
                  </a:rPr>
                  <a:t>达成度</a:t>
                </a:r>
                <a:endParaRPr lang="zh-CN" altLang="en-US" sz="1100">
                  <a:latin typeface="仿宋" panose="02010609060101010101" pitchFamily="49" charset="-122"/>
                  <a:ea typeface="仿宋" panose="02010609060101010101" pitchFamily="49" charset="-122"/>
                </a:endParaRPr>
              </a:p>
            </c:rich>
          </c:tx>
          <c:layout/>
          <c:overlay val="0"/>
        </c:title>
        <c:numFmt formatCode="0.00_ " sourceLinked="1"/>
        <c:majorTickMark val="none"/>
        <c:minorTickMark val="none"/>
        <c:tickLblPos val="nextTo"/>
        <c:spPr>
          <a:ln w="19050" cap="flat" cmpd="sng" algn="ctr">
            <a:solidFill>
              <a:schemeClr val="tx1"/>
            </a:solidFill>
            <a:prstDash val="solid"/>
            <a:round/>
          </a:ln>
        </c:spPr>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167966592"/>
        <c:crossesAt val="0"/>
        <c:crossBetween val="between"/>
        <c:majorUnit val="0.2"/>
        <c:minorUnit val="0.2"/>
      </c:valAx>
    </c:plotArea>
    <c:legend>
      <c:legendPos val="t"/>
      <c:layout>
        <c:manualLayout>
          <c:xMode val="edge"/>
          <c:yMode val="edge"/>
          <c:x val="0.337845878437958"/>
          <c:y val="0.651117238504032"/>
          <c:w val="0.399774901519415"/>
          <c:h val="0.08704170101481"/>
        </c:manualLayout>
      </c:layout>
      <c:overlay val="1"/>
      <c:txPr>
        <a:bodyPr rot="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e1dd12f7-dbcd-4663-9e37-89085b8a66e8}"/>
      </c:ext>
    </c:extLst>
  </c:chart>
  <c:txPr>
    <a:bodyPr/>
    <a:lstStyle/>
    <a:p>
      <a:pPr>
        <a:defRPr lang="zh-CN"/>
      </a:pPr>
    </a:p>
  </c:txPr>
  <c:externalData r:id="rId1">
    <c:autoUpdate val="0"/>
  </c:externalData>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0" vertOverflow="ellipsis" vert="horz" wrap="square" anchor="ctr" anchorCtr="1"/>
          <a:lstStyle/>
          <a:p>
            <a:pPr defTabSz="914400">
              <a:defRPr lang="zh-CN" sz="1800" b="1" i="0" u="none" strike="noStrike" kern="1200" baseline="0">
                <a:solidFill>
                  <a:schemeClr val="tx1"/>
                </a:solidFill>
                <a:latin typeface="+mn-lt"/>
                <a:ea typeface="+mn-ea"/>
                <a:cs typeface="+mn-cs"/>
              </a:defRPr>
            </a:pPr>
            <a:r>
              <a:rPr lang="zh-CN" altLang="en-US" sz="1200" b="1">
                <a:latin typeface="仿宋" panose="02010609060101010101" pitchFamily="49" charset="-122"/>
                <a:ea typeface="仿宋" panose="02010609060101010101" pitchFamily="49" charset="-122"/>
              </a:rPr>
              <a:t>目标</a:t>
            </a:r>
            <a:r>
              <a:rPr lang="en-US" altLang="zh-CN" sz="1200" b="1">
                <a:latin typeface="仿宋" panose="02010609060101010101" pitchFamily="49" charset="-122"/>
                <a:ea typeface="仿宋" panose="02010609060101010101" pitchFamily="49" charset="-122"/>
              </a:rPr>
              <a:t>6 </a:t>
            </a:r>
            <a:r>
              <a:rPr lang="zh-CN" altLang="en-US" sz="1200" b="1">
                <a:latin typeface="仿宋" panose="02010609060101010101" pitchFamily="49" charset="-122"/>
                <a:ea typeface="仿宋" panose="02010609060101010101" pitchFamily="49" charset="-122"/>
              </a:rPr>
              <a:t>学生达成度散点图</a:t>
            </a:r>
            <a:endParaRPr lang="zh-CN" altLang="en-US" sz="1200" b="1">
              <a:latin typeface="仿宋" panose="02010609060101010101" pitchFamily="49" charset="-122"/>
              <a:ea typeface="仿宋" panose="02010609060101010101" pitchFamily="49" charset="-122"/>
            </a:endParaRPr>
          </a:p>
        </c:rich>
      </c:tx>
      <c:layout>
        <c:manualLayout>
          <c:xMode val="edge"/>
          <c:yMode val="edge"/>
          <c:x val="0.367815880077455"/>
          <c:y val="0.854009494300577"/>
        </c:manualLayout>
      </c:layout>
      <c:overlay val="0"/>
    </c:title>
    <c:autoTitleDeleted val="0"/>
    <c:plotArea>
      <c:layout>
        <c:manualLayout>
          <c:layoutTarget val="inner"/>
          <c:xMode val="edge"/>
          <c:yMode val="edge"/>
          <c:x val="0.103213325121079"/>
          <c:y val="0.0702331883604802"/>
          <c:w val="0.86648965390954"/>
          <c:h val="0.68137741046832"/>
        </c:manualLayout>
      </c:layout>
      <c:lineChart>
        <c:grouping val="stacked"/>
        <c:varyColors val="0"/>
        <c:ser>
          <c:idx val="0"/>
          <c:order val="1"/>
          <c:tx>
            <c:strRef>
              <c:f>"平均达成度"</c:f>
              <c:strCache>
                <c:ptCount val="1"/>
                <c:pt idx="0">
                  <c:v>平均达成度</c:v>
                </c:pt>
              </c:strCache>
            </c:strRef>
          </c:tx>
          <c:spPr>
            <a:ln w="25400" cap="rnd" cmpd="sng" algn="ctr">
              <a:solidFill>
                <a:schemeClr val="accent4"/>
              </a:solidFill>
              <a:prstDash val="solid"/>
              <a:round/>
            </a:ln>
          </c:spPr>
          <c:marker>
            <c:symbol val="none"/>
          </c:marker>
          <c:dLbls>
            <c:delete val="1"/>
          </c:dLbls>
          <c:cat>
            <c:numRef>
              <c:f>'5绘图数据'!$A$3:$A$12</c:f>
              <c:numCache>
                <c:formatCode>General</c:formatCode>
                <c:ptCount val="10"/>
                <c:pt idx="0">
                  <c:v>0</c:v>
                </c:pt>
                <c:pt idx="1">
                  <c:v>1</c:v>
                </c:pt>
                <c:pt idx="2">
                  <c:v>2</c:v>
                </c:pt>
                <c:pt idx="3">
                  <c:v>3</c:v>
                </c:pt>
                <c:pt idx="4">
                  <c:v>4</c:v>
                </c:pt>
                <c:pt idx="5">
                  <c:v>5</c:v>
                </c:pt>
                <c:pt idx="6">
                  <c:v>6</c:v>
                </c:pt>
                <c:pt idx="7">
                  <c:v>7</c:v>
                </c:pt>
                <c:pt idx="8">
                  <c:v>8</c:v>
                </c:pt>
                <c:pt idx="9">
                  <c:v>9</c:v>
                </c:pt>
              </c:numCache>
            </c:numRef>
          </c:cat>
          <c:val>
            <c:numRef>
              <c:f>'5绘图数据'!$R$3:$R$12</c:f>
              <c:numCache>
                <c:formatCode>0.00_ </c:formatCode>
                <c:ptCount val="10"/>
                <c:pt idx="0">
                  <c:v>0</c:v>
                </c:pt>
                <c:pt idx="1">
                  <c:v>0</c:v>
                </c:pt>
                <c:pt idx="2">
                  <c:v>0</c:v>
                </c:pt>
                <c:pt idx="3">
                  <c:v>0</c:v>
                </c:pt>
                <c:pt idx="4">
                  <c:v>0</c:v>
                </c:pt>
                <c:pt idx="5">
                  <c:v>0</c:v>
                </c:pt>
                <c:pt idx="6">
                  <c:v>0</c:v>
                </c:pt>
                <c:pt idx="7">
                  <c:v>0</c:v>
                </c:pt>
                <c:pt idx="8">
                  <c:v>0</c:v>
                </c:pt>
                <c:pt idx="9">
                  <c:v>0</c:v>
                </c:pt>
              </c:numCache>
            </c:numRef>
          </c:val>
          <c:smooth val="0"/>
        </c:ser>
        <c:dLbls>
          <c:showLegendKey val="0"/>
          <c:showVal val="0"/>
          <c:showCatName val="0"/>
          <c:showSerName val="0"/>
          <c:showPercent val="0"/>
          <c:showBubbleSize val="0"/>
        </c:dLbls>
        <c:marker val="0"/>
        <c:smooth val="0"/>
        <c:axId val="167966592"/>
        <c:axId val="167776256"/>
      </c:lineChart>
      <c:scatterChart>
        <c:scatterStyle val="marker"/>
        <c:varyColors val="0"/>
        <c:ser>
          <c:idx val="3"/>
          <c:order val="0"/>
          <c:tx>
            <c:strRef>
              <c:f>"学生达成度"</c:f>
              <c:strCache>
                <c:ptCount val="1"/>
                <c:pt idx="0">
                  <c:v>学生达成度</c:v>
                </c:pt>
              </c:strCache>
            </c:strRef>
          </c:tx>
          <c:spPr>
            <a:ln w="19050" cap="rnd" cmpd="sng" algn="ctr">
              <a:noFill/>
              <a:prstDash val="solid"/>
              <a:round/>
            </a:ln>
          </c:spPr>
          <c:marker>
            <c:symbol val="circle"/>
            <c:size val="5"/>
            <c:spPr>
              <a:solidFill>
                <a:schemeClr val="accent5"/>
              </a:solidFill>
              <a:ln w="6350" cap="flat" cmpd="sng" algn="ctr">
                <a:noFill/>
                <a:prstDash val="solid"/>
                <a:round/>
              </a:ln>
            </c:spPr>
          </c:marker>
          <c:dLbls>
            <c:delete val="1"/>
          </c:dLbls>
          <c:xVal>
            <c:numRef>
              <c:f>'5绘图数据'!$A$3:$A$12</c:f>
              <c:numCache>
                <c:formatCode>General</c:formatCode>
                <c:ptCount val="10"/>
                <c:pt idx="0">
                  <c:v>0</c:v>
                </c:pt>
                <c:pt idx="1">
                  <c:v>1</c:v>
                </c:pt>
                <c:pt idx="2">
                  <c:v>2</c:v>
                </c:pt>
                <c:pt idx="3">
                  <c:v>3</c:v>
                </c:pt>
                <c:pt idx="4">
                  <c:v>4</c:v>
                </c:pt>
                <c:pt idx="5">
                  <c:v>5</c:v>
                </c:pt>
                <c:pt idx="6">
                  <c:v>6</c:v>
                </c:pt>
                <c:pt idx="7">
                  <c:v>7</c:v>
                </c:pt>
                <c:pt idx="8">
                  <c:v>8</c:v>
                </c:pt>
                <c:pt idx="9">
                  <c:v>9</c:v>
                </c:pt>
              </c:numCache>
            </c:numRef>
          </c:xVal>
          <c:yVal>
            <c:numRef>
              <c:f>'5绘图数据'!$I$3:$I$12</c:f>
              <c:numCache>
                <c:formatCode>0.00_ </c:formatCode>
                <c:ptCount val="10"/>
                <c:pt idx="0">
                  <c:v>0</c:v>
                </c:pt>
                <c:pt idx="1">
                  <c:v>0</c:v>
                </c:pt>
                <c:pt idx="2">
                  <c:v>0</c:v>
                </c:pt>
                <c:pt idx="3">
                  <c:v>0</c:v>
                </c:pt>
                <c:pt idx="4">
                  <c:v>0</c:v>
                </c:pt>
                <c:pt idx="5">
                  <c:v>0</c:v>
                </c:pt>
                <c:pt idx="6">
                  <c:v>0</c:v>
                </c:pt>
                <c:pt idx="7">
                  <c:v>0</c:v>
                </c:pt>
                <c:pt idx="8">
                  <c:v>0</c:v>
                </c:pt>
                <c:pt idx="9">
                  <c:v>0</c:v>
                </c:pt>
              </c:numCache>
            </c:numRef>
          </c:yVal>
          <c:smooth val="0"/>
        </c:ser>
        <c:dLbls>
          <c:showLegendKey val="0"/>
          <c:showVal val="0"/>
          <c:showCatName val="0"/>
          <c:showSerName val="0"/>
          <c:showPercent val="0"/>
          <c:showBubbleSize val="0"/>
        </c:dLbls>
        <c:axId val="167966592"/>
        <c:axId val="167776256"/>
      </c:scatterChart>
      <c:catAx>
        <c:axId val="167966592"/>
        <c:scaling>
          <c:orientation val="minMax"/>
        </c:scaling>
        <c:delete val="0"/>
        <c:axPos val="b"/>
        <c:numFmt formatCode="General" sourceLinked="0"/>
        <c:majorTickMark val="out"/>
        <c:minorTickMark val="none"/>
        <c:tickLblPos val="nextTo"/>
        <c:spPr>
          <a:ln w="19050" cap="flat" cmpd="sng" algn="ctr">
            <a:solidFill>
              <a:schemeClr val="tx1"/>
            </a:solidFill>
            <a:prstDash val="solid"/>
            <a:round/>
          </a:ln>
        </c:spPr>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167776256"/>
        <c:crosses val="autoZero"/>
        <c:auto val="1"/>
        <c:lblAlgn val="ctr"/>
        <c:lblOffset val="100"/>
        <c:tickLblSkip val="20"/>
        <c:tickMarkSkip val="20"/>
        <c:noMultiLvlLbl val="0"/>
      </c:catAx>
      <c:valAx>
        <c:axId val="167776256"/>
        <c:scaling>
          <c:orientation val="minMax"/>
          <c:max val="1"/>
        </c:scaling>
        <c:delete val="0"/>
        <c:axPos val="l"/>
        <c:majorGridlines/>
        <c:title>
          <c:tx>
            <c:rich>
              <a:bodyPr rot="0" spcFirstLastPara="0" vertOverflow="ellipsis" vert="eaVert" wrap="square" anchor="ctr" anchorCtr="1"/>
              <a:lstStyle/>
              <a:p>
                <a:pPr>
                  <a:defRPr lang="zh-CN" sz="1000" b="1" i="0" u="none" strike="noStrike" kern="1200" baseline="0">
                    <a:solidFill>
                      <a:schemeClr val="tx1"/>
                    </a:solidFill>
                    <a:latin typeface="+mn-lt"/>
                    <a:ea typeface="+mn-ea"/>
                    <a:cs typeface="+mn-cs"/>
                  </a:defRPr>
                </a:pPr>
                <a:r>
                  <a:rPr lang="zh-CN" altLang="en-US" sz="1100">
                    <a:latin typeface="仿宋" panose="02010609060101010101" pitchFamily="49" charset="-122"/>
                    <a:ea typeface="仿宋" panose="02010609060101010101" pitchFamily="49" charset="-122"/>
                  </a:rPr>
                  <a:t>达成度</a:t>
                </a:r>
                <a:endParaRPr lang="zh-CN" altLang="en-US" sz="1100">
                  <a:latin typeface="仿宋" panose="02010609060101010101" pitchFamily="49" charset="-122"/>
                  <a:ea typeface="仿宋" panose="02010609060101010101" pitchFamily="49" charset="-122"/>
                </a:endParaRPr>
              </a:p>
            </c:rich>
          </c:tx>
          <c:layout/>
          <c:overlay val="0"/>
        </c:title>
        <c:numFmt formatCode="0.00_ " sourceLinked="1"/>
        <c:majorTickMark val="none"/>
        <c:minorTickMark val="none"/>
        <c:tickLblPos val="nextTo"/>
        <c:spPr>
          <a:ln w="19050" cap="flat" cmpd="sng" algn="ctr">
            <a:solidFill>
              <a:schemeClr val="tx1"/>
            </a:solidFill>
            <a:prstDash val="solid"/>
            <a:round/>
          </a:ln>
        </c:spPr>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167966592"/>
        <c:crossesAt val="0"/>
        <c:crossBetween val="between"/>
        <c:majorUnit val="0.2"/>
        <c:minorUnit val="0.2"/>
      </c:valAx>
    </c:plotArea>
    <c:legend>
      <c:legendPos val="t"/>
      <c:layout>
        <c:manualLayout>
          <c:xMode val="edge"/>
          <c:yMode val="edge"/>
          <c:x val="0.337845878437958"/>
          <c:y val="0.651117238504032"/>
          <c:w val="0.399774901519415"/>
          <c:h val="0.08704170101481"/>
        </c:manualLayout>
      </c:layout>
      <c:overlay val="1"/>
      <c:txPr>
        <a:bodyPr rot="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73bba8e4-f4ad-4ddb-ae3a-2f0117bcdd2c}"/>
      </c:ext>
    </c:extLst>
  </c:chart>
  <c:txPr>
    <a:bodyPr/>
    <a:lstStyle/>
    <a:p>
      <a:pPr>
        <a:defRPr lang="zh-CN"/>
      </a:pPr>
    </a:p>
  </c:txPr>
  <c:externalData r:id="rId1">
    <c:autoUpdate val="0"/>
  </c:externalData>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0" vertOverflow="ellipsis" vert="horz" wrap="square" anchor="ctr" anchorCtr="1"/>
          <a:lstStyle/>
          <a:p>
            <a:pPr defTabSz="914400">
              <a:defRPr lang="zh-CN" sz="1800" b="1" i="0" u="none" strike="noStrike" kern="1200" baseline="0">
                <a:solidFill>
                  <a:schemeClr val="tx1"/>
                </a:solidFill>
                <a:latin typeface="+mn-lt"/>
                <a:ea typeface="+mn-ea"/>
                <a:cs typeface="+mn-cs"/>
              </a:defRPr>
            </a:pPr>
            <a:r>
              <a:rPr lang="zh-CN" altLang="en-US" sz="1200" b="1">
                <a:latin typeface="仿宋" panose="02010609060101010101" pitchFamily="49" charset="-122"/>
                <a:ea typeface="仿宋" panose="02010609060101010101" pitchFamily="49" charset="-122"/>
              </a:rPr>
              <a:t>目标</a:t>
            </a:r>
            <a:r>
              <a:rPr lang="en-US" altLang="zh-CN" sz="1200" b="1">
                <a:latin typeface="仿宋" panose="02010609060101010101" pitchFamily="49" charset="-122"/>
                <a:ea typeface="仿宋" panose="02010609060101010101" pitchFamily="49" charset="-122"/>
              </a:rPr>
              <a:t>7 </a:t>
            </a:r>
            <a:r>
              <a:rPr lang="zh-CN" altLang="en-US" sz="1200" b="1">
                <a:latin typeface="仿宋" panose="02010609060101010101" pitchFamily="49" charset="-122"/>
                <a:ea typeface="仿宋" panose="02010609060101010101" pitchFamily="49" charset="-122"/>
              </a:rPr>
              <a:t>学生达成度散点图</a:t>
            </a:r>
            <a:endParaRPr lang="zh-CN" altLang="en-US" sz="1200" b="1">
              <a:latin typeface="仿宋" panose="02010609060101010101" pitchFamily="49" charset="-122"/>
              <a:ea typeface="仿宋" panose="02010609060101010101" pitchFamily="49" charset="-122"/>
            </a:endParaRPr>
          </a:p>
        </c:rich>
      </c:tx>
      <c:layout>
        <c:manualLayout>
          <c:xMode val="edge"/>
          <c:yMode val="edge"/>
          <c:x val="0.367815880077455"/>
          <c:y val="0.854009494300577"/>
        </c:manualLayout>
      </c:layout>
      <c:overlay val="0"/>
    </c:title>
    <c:autoTitleDeleted val="0"/>
    <c:plotArea>
      <c:layout>
        <c:manualLayout>
          <c:layoutTarget val="inner"/>
          <c:xMode val="edge"/>
          <c:yMode val="edge"/>
          <c:x val="0.103213325121079"/>
          <c:y val="0.0702331883604802"/>
          <c:w val="0.86648965390954"/>
          <c:h val="0.68137741046832"/>
        </c:manualLayout>
      </c:layout>
      <c:lineChart>
        <c:grouping val="stacked"/>
        <c:varyColors val="0"/>
        <c:ser>
          <c:idx val="0"/>
          <c:order val="1"/>
          <c:tx>
            <c:strRef>
              <c:f>"平均达成度"</c:f>
              <c:strCache>
                <c:ptCount val="1"/>
                <c:pt idx="0">
                  <c:v>平均达成度</c:v>
                </c:pt>
              </c:strCache>
            </c:strRef>
          </c:tx>
          <c:spPr>
            <a:ln w="25400" cap="rnd" cmpd="sng" algn="ctr">
              <a:solidFill>
                <a:schemeClr val="accent4"/>
              </a:solidFill>
              <a:prstDash val="solid"/>
              <a:round/>
            </a:ln>
          </c:spPr>
          <c:marker>
            <c:symbol val="none"/>
          </c:marker>
          <c:dLbls>
            <c:delete val="1"/>
          </c:dLbls>
          <c:cat>
            <c:numRef>
              <c:f>'5绘图数据'!$A$3:$A$12</c:f>
              <c:numCache>
                <c:formatCode>General</c:formatCode>
                <c:ptCount val="10"/>
                <c:pt idx="0">
                  <c:v>0</c:v>
                </c:pt>
                <c:pt idx="1">
                  <c:v>1</c:v>
                </c:pt>
                <c:pt idx="2">
                  <c:v>2</c:v>
                </c:pt>
                <c:pt idx="3">
                  <c:v>3</c:v>
                </c:pt>
                <c:pt idx="4">
                  <c:v>4</c:v>
                </c:pt>
                <c:pt idx="5">
                  <c:v>5</c:v>
                </c:pt>
                <c:pt idx="6">
                  <c:v>6</c:v>
                </c:pt>
                <c:pt idx="7">
                  <c:v>7</c:v>
                </c:pt>
                <c:pt idx="8">
                  <c:v>8</c:v>
                </c:pt>
                <c:pt idx="9">
                  <c:v>9</c:v>
                </c:pt>
              </c:numCache>
            </c:numRef>
          </c:cat>
          <c:val>
            <c:numRef>
              <c:f>'5绘图数据'!$S$3:$S$12</c:f>
              <c:numCache>
                <c:formatCode>0.00_ </c:formatCode>
                <c:ptCount val="10"/>
                <c:pt idx="0">
                  <c:v>0</c:v>
                </c:pt>
                <c:pt idx="1">
                  <c:v>0</c:v>
                </c:pt>
                <c:pt idx="2">
                  <c:v>0</c:v>
                </c:pt>
                <c:pt idx="3">
                  <c:v>0</c:v>
                </c:pt>
                <c:pt idx="4">
                  <c:v>0</c:v>
                </c:pt>
                <c:pt idx="5">
                  <c:v>0</c:v>
                </c:pt>
                <c:pt idx="6">
                  <c:v>0</c:v>
                </c:pt>
                <c:pt idx="7">
                  <c:v>0</c:v>
                </c:pt>
                <c:pt idx="8">
                  <c:v>0</c:v>
                </c:pt>
                <c:pt idx="9">
                  <c:v>0</c:v>
                </c:pt>
              </c:numCache>
            </c:numRef>
          </c:val>
          <c:smooth val="0"/>
        </c:ser>
        <c:dLbls>
          <c:showLegendKey val="0"/>
          <c:showVal val="0"/>
          <c:showCatName val="0"/>
          <c:showSerName val="0"/>
          <c:showPercent val="0"/>
          <c:showBubbleSize val="0"/>
        </c:dLbls>
        <c:marker val="0"/>
        <c:smooth val="0"/>
        <c:axId val="167966592"/>
        <c:axId val="167776256"/>
      </c:lineChart>
      <c:scatterChart>
        <c:scatterStyle val="marker"/>
        <c:varyColors val="0"/>
        <c:ser>
          <c:idx val="3"/>
          <c:order val="0"/>
          <c:tx>
            <c:strRef>
              <c:f>"学生达成度"</c:f>
              <c:strCache>
                <c:ptCount val="1"/>
                <c:pt idx="0">
                  <c:v>学生达成度</c:v>
                </c:pt>
              </c:strCache>
            </c:strRef>
          </c:tx>
          <c:spPr>
            <a:ln w="19050" cap="rnd" cmpd="sng" algn="ctr">
              <a:noFill/>
              <a:prstDash val="solid"/>
              <a:round/>
            </a:ln>
          </c:spPr>
          <c:marker>
            <c:symbol val="circle"/>
            <c:size val="5"/>
            <c:spPr>
              <a:solidFill>
                <a:schemeClr val="accent5"/>
              </a:solidFill>
              <a:ln w="6350" cap="flat" cmpd="sng" algn="ctr">
                <a:noFill/>
                <a:prstDash val="solid"/>
                <a:round/>
              </a:ln>
            </c:spPr>
          </c:marker>
          <c:dLbls>
            <c:delete val="1"/>
          </c:dLbls>
          <c:xVal>
            <c:numRef>
              <c:f>'5绘图数据'!$A$3:$A$12</c:f>
              <c:numCache>
                <c:formatCode>General</c:formatCode>
                <c:ptCount val="10"/>
                <c:pt idx="0">
                  <c:v>0</c:v>
                </c:pt>
                <c:pt idx="1">
                  <c:v>1</c:v>
                </c:pt>
                <c:pt idx="2">
                  <c:v>2</c:v>
                </c:pt>
                <c:pt idx="3">
                  <c:v>3</c:v>
                </c:pt>
                <c:pt idx="4">
                  <c:v>4</c:v>
                </c:pt>
                <c:pt idx="5">
                  <c:v>5</c:v>
                </c:pt>
                <c:pt idx="6">
                  <c:v>6</c:v>
                </c:pt>
                <c:pt idx="7">
                  <c:v>7</c:v>
                </c:pt>
                <c:pt idx="8">
                  <c:v>8</c:v>
                </c:pt>
                <c:pt idx="9">
                  <c:v>9</c:v>
                </c:pt>
              </c:numCache>
            </c:numRef>
          </c:xVal>
          <c:yVal>
            <c:numRef>
              <c:f>'5绘图数据'!$J$3:$J$12</c:f>
              <c:numCache>
                <c:formatCode>0.00_ </c:formatCode>
                <c:ptCount val="10"/>
                <c:pt idx="0">
                  <c:v>0</c:v>
                </c:pt>
                <c:pt idx="1">
                  <c:v>0</c:v>
                </c:pt>
                <c:pt idx="2">
                  <c:v>0</c:v>
                </c:pt>
                <c:pt idx="3">
                  <c:v>0</c:v>
                </c:pt>
                <c:pt idx="4">
                  <c:v>0</c:v>
                </c:pt>
                <c:pt idx="5">
                  <c:v>0</c:v>
                </c:pt>
                <c:pt idx="6">
                  <c:v>0</c:v>
                </c:pt>
                <c:pt idx="7">
                  <c:v>0</c:v>
                </c:pt>
                <c:pt idx="8">
                  <c:v>0</c:v>
                </c:pt>
                <c:pt idx="9">
                  <c:v>0</c:v>
                </c:pt>
              </c:numCache>
            </c:numRef>
          </c:yVal>
          <c:smooth val="0"/>
        </c:ser>
        <c:dLbls>
          <c:showLegendKey val="0"/>
          <c:showVal val="0"/>
          <c:showCatName val="0"/>
          <c:showSerName val="0"/>
          <c:showPercent val="0"/>
          <c:showBubbleSize val="0"/>
        </c:dLbls>
        <c:axId val="167966592"/>
        <c:axId val="167776256"/>
      </c:scatterChart>
      <c:catAx>
        <c:axId val="167966592"/>
        <c:scaling>
          <c:orientation val="minMax"/>
        </c:scaling>
        <c:delete val="0"/>
        <c:axPos val="b"/>
        <c:numFmt formatCode="General" sourceLinked="0"/>
        <c:majorTickMark val="out"/>
        <c:minorTickMark val="none"/>
        <c:tickLblPos val="nextTo"/>
        <c:spPr>
          <a:ln w="19050" cap="flat" cmpd="sng" algn="ctr">
            <a:solidFill>
              <a:schemeClr val="tx1"/>
            </a:solidFill>
            <a:prstDash val="solid"/>
            <a:round/>
          </a:ln>
        </c:spPr>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167776256"/>
        <c:crosses val="autoZero"/>
        <c:auto val="1"/>
        <c:lblAlgn val="ctr"/>
        <c:lblOffset val="100"/>
        <c:tickLblSkip val="20"/>
        <c:tickMarkSkip val="20"/>
        <c:noMultiLvlLbl val="0"/>
      </c:catAx>
      <c:valAx>
        <c:axId val="167776256"/>
        <c:scaling>
          <c:orientation val="minMax"/>
          <c:max val="1"/>
        </c:scaling>
        <c:delete val="0"/>
        <c:axPos val="l"/>
        <c:majorGridlines/>
        <c:title>
          <c:tx>
            <c:rich>
              <a:bodyPr rot="0" spcFirstLastPara="0" vertOverflow="ellipsis" vert="eaVert" wrap="square" anchor="ctr" anchorCtr="1"/>
              <a:lstStyle/>
              <a:p>
                <a:pPr>
                  <a:defRPr lang="zh-CN" sz="1000" b="1" i="0" u="none" strike="noStrike" kern="1200" baseline="0">
                    <a:solidFill>
                      <a:schemeClr val="tx1"/>
                    </a:solidFill>
                    <a:latin typeface="+mn-lt"/>
                    <a:ea typeface="+mn-ea"/>
                    <a:cs typeface="+mn-cs"/>
                  </a:defRPr>
                </a:pPr>
                <a:r>
                  <a:rPr lang="zh-CN" altLang="en-US" sz="1100">
                    <a:latin typeface="仿宋" panose="02010609060101010101" pitchFamily="49" charset="-122"/>
                    <a:ea typeface="仿宋" panose="02010609060101010101" pitchFamily="49" charset="-122"/>
                  </a:rPr>
                  <a:t>达成度</a:t>
                </a:r>
                <a:endParaRPr lang="zh-CN" altLang="en-US" sz="1100">
                  <a:latin typeface="仿宋" panose="02010609060101010101" pitchFamily="49" charset="-122"/>
                  <a:ea typeface="仿宋" panose="02010609060101010101" pitchFamily="49" charset="-122"/>
                </a:endParaRPr>
              </a:p>
            </c:rich>
          </c:tx>
          <c:layout/>
          <c:overlay val="0"/>
        </c:title>
        <c:numFmt formatCode="0.00_ " sourceLinked="1"/>
        <c:majorTickMark val="none"/>
        <c:minorTickMark val="none"/>
        <c:tickLblPos val="nextTo"/>
        <c:spPr>
          <a:ln w="19050" cap="flat" cmpd="sng" algn="ctr">
            <a:solidFill>
              <a:schemeClr val="tx1"/>
            </a:solidFill>
            <a:prstDash val="solid"/>
            <a:round/>
          </a:ln>
        </c:spPr>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167966592"/>
        <c:crossesAt val="0"/>
        <c:crossBetween val="between"/>
        <c:majorUnit val="0.2"/>
        <c:minorUnit val="0.2"/>
      </c:valAx>
    </c:plotArea>
    <c:legend>
      <c:legendPos val="t"/>
      <c:layout>
        <c:manualLayout>
          <c:xMode val="edge"/>
          <c:yMode val="edge"/>
          <c:x val="0.337845878437958"/>
          <c:y val="0.651117238504032"/>
          <c:w val="0.399774901519415"/>
          <c:h val="0.08704170101481"/>
        </c:manualLayout>
      </c:layout>
      <c:overlay val="1"/>
      <c:txPr>
        <a:bodyPr rot="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e68f7210-5a5e-4b1f-a401-4b8f82e06358}"/>
      </c:ext>
    </c:extLst>
  </c:chart>
  <c:txPr>
    <a:bodyPr/>
    <a:lstStyle/>
    <a:p>
      <a:pPr>
        <a:defRPr lang="zh-CN"/>
      </a:pPr>
    </a:p>
  </c:txPr>
  <c:externalData r:id="rId1">
    <c:autoUpdate val="0"/>
  </c:externalData>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0" vertOverflow="ellipsis" vert="horz" wrap="square" anchor="b" anchorCtr="1"/>
          <a:lstStyle/>
          <a:p>
            <a:pPr defTabSz="914400">
              <a:defRPr lang="zh-CN" sz="1400" b="0" i="0" u="none" strike="noStrike" kern="1200" spc="0" baseline="0">
                <a:solidFill>
                  <a:schemeClr val="tx1">
                    <a:lumMod val="65000"/>
                    <a:lumOff val="35000"/>
                  </a:schemeClr>
                </a:solidFill>
                <a:latin typeface="+mn-lt"/>
                <a:ea typeface="+mn-ea"/>
                <a:cs typeface="+mn-cs"/>
              </a:defRPr>
            </a:pPr>
            <a:r>
              <a:rPr lang="zh-CN" altLang="en-US" sz="1200" b="1">
                <a:latin typeface="仿宋" panose="02010609060101010101" pitchFamily="49" charset="-122"/>
                <a:ea typeface="仿宋" panose="02010609060101010101" pitchFamily="49" charset="-122"/>
              </a:rPr>
              <a:t>目标</a:t>
            </a:r>
            <a:r>
              <a:rPr lang="en-US" altLang="zh-CN" sz="1200" b="1">
                <a:latin typeface="仿宋" panose="02010609060101010101" pitchFamily="49" charset="-122"/>
                <a:ea typeface="仿宋" panose="02010609060101010101" pitchFamily="49" charset="-122"/>
              </a:rPr>
              <a:t>3 </a:t>
            </a:r>
            <a:r>
              <a:rPr lang="zh-CN" altLang="en-US" sz="1200" b="1">
                <a:latin typeface="仿宋" panose="02010609060101010101" pitchFamily="49" charset="-122"/>
                <a:ea typeface="仿宋" panose="02010609060101010101" pitchFamily="49" charset="-122"/>
              </a:rPr>
              <a:t>学生达成度散点图</a:t>
            </a:r>
            <a:endParaRPr lang="zh-CN" altLang="en-US" sz="1200" b="1">
              <a:latin typeface="仿宋" panose="02010609060101010101" pitchFamily="49" charset="-122"/>
              <a:ea typeface="仿宋" panose="02010609060101010101" pitchFamily="49" charset="-122"/>
            </a:endParaRPr>
          </a:p>
        </c:rich>
      </c:tx>
      <c:layout>
        <c:manualLayout>
          <c:xMode val="edge"/>
          <c:yMode val="edge"/>
          <c:x val="0.364549844422904"/>
          <c:y val="0.857319335083115"/>
        </c:manualLayout>
      </c:layout>
      <c:overlay val="0"/>
      <c:spPr>
        <a:noFill/>
        <a:ln>
          <a:noFill/>
        </a:ln>
        <a:effectLst/>
      </c:spPr>
    </c:title>
    <c:autoTitleDeleted val="0"/>
    <c:plotArea>
      <c:layout>
        <c:manualLayout>
          <c:layoutTarget val="inner"/>
          <c:xMode val="edge"/>
          <c:yMode val="edge"/>
          <c:x val="0.107692634542099"/>
          <c:y val="0.0606062020025275"/>
          <c:w val="0.86648965390954"/>
          <c:h val="0.68137741046832"/>
        </c:manualLayout>
      </c:layout>
      <c:lineChart>
        <c:grouping val="stacked"/>
        <c:varyColors val="0"/>
        <c:ser>
          <c:idx val="0"/>
          <c:order val="1"/>
          <c:tx>
            <c:strRef>
              <c:f>"平均达成度"</c:f>
              <c:strCache>
                <c:ptCount val="1"/>
                <c:pt idx="0">
                  <c:v>平均达成度</c:v>
                </c:pt>
              </c:strCache>
            </c:strRef>
          </c:tx>
          <c:spPr>
            <a:ln w="25400" cap="rnd">
              <a:solidFill>
                <a:schemeClr val="accent4"/>
              </a:solidFill>
              <a:round/>
            </a:ln>
            <a:effectLst/>
          </c:spPr>
          <c:marker>
            <c:symbol val="none"/>
          </c:marker>
          <c:dLbls>
            <c:delete val="1"/>
          </c:dLbls>
          <c:cat>
            <c:numRef>
              <c:f>'5绘图数据'!$A$3:$A$143</c:f>
              <c:numCache>
                <c:formatCode>General</c:formatCode>
                <c:ptCount val="14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numCache>
            </c:numRef>
          </c:cat>
          <c:val>
            <c:numRef>
              <c:f>'5绘图数据'!$O$3:$O$143</c:f>
              <c:numCache>
                <c:formatCode>0.00_ </c:formatCode>
                <c:ptCount val="141"/>
                <c:pt idx="0">
                  <c:v>0.559866499791406</c:v>
                </c:pt>
                <c:pt idx="1">
                  <c:v>0.559866499791406</c:v>
                </c:pt>
                <c:pt idx="2">
                  <c:v>0.559866499791406</c:v>
                </c:pt>
                <c:pt idx="3">
                  <c:v>0.559866499791406</c:v>
                </c:pt>
                <c:pt idx="4">
                  <c:v>0.559866499791406</c:v>
                </c:pt>
                <c:pt idx="5">
                  <c:v>0.559866499791406</c:v>
                </c:pt>
                <c:pt idx="6">
                  <c:v>0.559866499791406</c:v>
                </c:pt>
                <c:pt idx="7">
                  <c:v>0.559866499791406</c:v>
                </c:pt>
                <c:pt idx="8">
                  <c:v>0.559866499791406</c:v>
                </c:pt>
                <c:pt idx="9">
                  <c:v>0.559866499791406</c:v>
                </c:pt>
                <c:pt idx="10">
                  <c:v>0.559866499791406</c:v>
                </c:pt>
                <c:pt idx="11">
                  <c:v>0.559866499791406</c:v>
                </c:pt>
                <c:pt idx="12">
                  <c:v>0.559866499791406</c:v>
                </c:pt>
                <c:pt idx="13">
                  <c:v>0.559866499791406</c:v>
                </c:pt>
                <c:pt idx="14">
                  <c:v>0.559866499791406</c:v>
                </c:pt>
                <c:pt idx="15">
                  <c:v>0.559866499791406</c:v>
                </c:pt>
                <c:pt idx="16">
                  <c:v>0.559866499791406</c:v>
                </c:pt>
                <c:pt idx="17">
                  <c:v>0.559866499791406</c:v>
                </c:pt>
                <c:pt idx="18">
                  <c:v>0.559866499791406</c:v>
                </c:pt>
                <c:pt idx="19">
                  <c:v>0.559866499791406</c:v>
                </c:pt>
                <c:pt idx="20">
                  <c:v>0.559866499791406</c:v>
                </c:pt>
                <c:pt idx="21">
                  <c:v>0.559866499791406</c:v>
                </c:pt>
                <c:pt idx="22">
                  <c:v>0.559866499791406</c:v>
                </c:pt>
                <c:pt idx="23">
                  <c:v>0.559866499791406</c:v>
                </c:pt>
                <c:pt idx="24">
                  <c:v>0.559866499791406</c:v>
                </c:pt>
                <c:pt idx="25">
                  <c:v>0.559866499791406</c:v>
                </c:pt>
                <c:pt idx="26">
                  <c:v>0.559866499791406</c:v>
                </c:pt>
                <c:pt idx="27">
                  <c:v>0.559866499791406</c:v>
                </c:pt>
                <c:pt idx="28">
                  <c:v>0.559866499791406</c:v>
                </c:pt>
                <c:pt idx="29">
                  <c:v>0.559866499791406</c:v>
                </c:pt>
                <c:pt idx="30">
                  <c:v>0.559866499791406</c:v>
                </c:pt>
                <c:pt idx="31">
                  <c:v>0.559866499791406</c:v>
                </c:pt>
                <c:pt idx="32">
                  <c:v>0.559866499791406</c:v>
                </c:pt>
                <c:pt idx="33">
                  <c:v>0.559866499791406</c:v>
                </c:pt>
                <c:pt idx="34">
                  <c:v>0.559866499791406</c:v>
                </c:pt>
                <c:pt idx="35">
                  <c:v>0.559866499791406</c:v>
                </c:pt>
                <c:pt idx="36">
                  <c:v>0.559866499791406</c:v>
                </c:pt>
                <c:pt idx="37">
                  <c:v>0.559866499791406</c:v>
                </c:pt>
                <c:pt idx="38">
                  <c:v>0.559866499791406</c:v>
                </c:pt>
                <c:pt idx="39">
                  <c:v>0.559866499791406</c:v>
                </c:pt>
                <c:pt idx="40">
                  <c:v>0.559866499791406</c:v>
                </c:pt>
                <c:pt idx="41">
                  <c:v>0.559866499791406</c:v>
                </c:pt>
                <c:pt idx="42">
                  <c:v>0.559866499791406</c:v>
                </c:pt>
                <c:pt idx="43">
                  <c:v>0.559866499791406</c:v>
                </c:pt>
                <c:pt idx="44">
                  <c:v>0.559866499791406</c:v>
                </c:pt>
                <c:pt idx="45">
                  <c:v>0.559866499791406</c:v>
                </c:pt>
                <c:pt idx="46">
                  <c:v>0.559866499791406</c:v>
                </c:pt>
                <c:pt idx="47">
                  <c:v>0.559866499791406</c:v>
                </c:pt>
                <c:pt idx="48">
                  <c:v>0.559866499791406</c:v>
                </c:pt>
                <c:pt idx="49">
                  <c:v>0.559866499791406</c:v>
                </c:pt>
                <c:pt idx="50">
                  <c:v>0.559866499791406</c:v>
                </c:pt>
                <c:pt idx="51">
                  <c:v>0.559866499791406</c:v>
                </c:pt>
                <c:pt idx="52">
                  <c:v>0.559866499791406</c:v>
                </c:pt>
                <c:pt idx="53">
                  <c:v>0.559866499791406</c:v>
                </c:pt>
                <c:pt idx="54">
                  <c:v>0.559866499791406</c:v>
                </c:pt>
                <c:pt idx="55">
                  <c:v>0.559866499791406</c:v>
                </c:pt>
                <c:pt idx="56">
                  <c:v>0.559866499791406</c:v>
                </c:pt>
                <c:pt idx="57">
                  <c:v>0.559866499791406</c:v>
                </c:pt>
                <c:pt idx="58">
                  <c:v>0.559866499791406</c:v>
                </c:pt>
                <c:pt idx="59">
                  <c:v>0.559866499791406</c:v>
                </c:pt>
                <c:pt idx="60">
                  <c:v>0.559866499791406</c:v>
                </c:pt>
                <c:pt idx="61">
                  <c:v>0.559866499791406</c:v>
                </c:pt>
                <c:pt idx="62">
                  <c:v>0.559866499791406</c:v>
                </c:pt>
                <c:pt idx="63">
                  <c:v>0.559866499791406</c:v>
                </c:pt>
                <c:pt idx="64">
                  <c:v>0.559866499791406</c:v>
                </c:pt>
                <c:pt idx="65">
                  <c:v>0.559866499791406</c:v>
                </c:pt>
                <c:pt idx="66">
                  <c:v>0.559866499791406</c:v>
                </c:pt>
                <c:pt idx="67">
                  <c:v>0.559866499791406</c:v>
                </c:pt>
                <c:pt idx="68">
                  <c:v>0.559866499791406</c:v>
                </c:pt>
                <c:pt idx="69">
                  <c:v>0.559866499791406</c:v>
                </c:pt>
                <c:pt idx="70">
                  <c:v>0.559866499791406</c:v>
                </c:pt>
                <c:pt idx="71">
                  <c:v>0.559866499791406</c:v>
                </c:pt>
                <c:pt idx="72">
                  <c:v>0.559866499791406</c:v>
                </c:pt>
                <c:pt idx="73">
                  <c:v>0.559866499791406</c:v>
                </c:pt>
                <c:pt idx="74">
                  <c:v>0.559866499791406</c:v>
                </c:pt>
                <c:pt idx="75">
                  <c:v>0.559866499791406</c:v>
                </c:pt>
                <c:pt idx="76">
                  <c:v>0.559866499791406</c:v>
                </c:pt>
                <c:pt idx="77">
                  <c:v>0.559866499791406</c:v>
                </c:pt>
                <c:pt idx="78">
                  <c:v>0.559866499791406</c:v>
                </c:pt>
                <c:pt idx="79">
                  <c:v>0.559866499791406</c:v>
                </c:pt>
                <c:pt idx="80">
                  <c:v>0.559866499791406</c:v>
                </c:pt>
                <c:pt idx="81">
                  <c:v>0.559866499791406</c:v>
                </c:pt>
                <c:pt idx="82">
                  <c:v>0.559866499791406</c:v>
                </c:pt>
                <c:pt idx="83">
                  <c:v>0.559866499791406</c:v>
                </c:pt>
                <c:pt idx="84">
                  <c:v>0.559866499791406</c:v>
                </c:pt>
                <c:pt idx="85">
                  <c:v>0.559866499791406</c:v>
                </c:pt>
                <c:pt idx="86">
                  <c:v>0.559866499791406</c:v>
                </c:pt>
                <c:pt idx="87">
                  <c:v>0.559866499791406</c:v>
                </c:pt>
                <c:pt idx="88">
                  <c:v>0.559866499791406</c:v>
                </c:pt>
                <c:pt idx="89">
                  <c:v>0.559866499791406</c:v>
                </c:pt>
                <c:pt idx="90">
                  <c:v>0.559866499791406</c:v>
                </c:pt>
                <c:pt idx="91">
                  <c:v>0.559866499791406</c:v>
                </c:pt>
                <c:pt idx="92">
                  <c:v>0.559866499791406</c:v>
                </c:pt>
                <c:pt idx="93">
                  <c:v>0.559866499791406</c:v>
                </c:pt>
                <c:pt idx="94">
                  <c:v>0.559866499791406</c:v>
                </c:pt>
                <c:pt idx="95">
                  <c:v>0.559866499791406</c:v>
                </c:pt>
                <c:pt idx="96">
                  <c:v>0.559866499791406</c:v>
                </c:pt>
                <c:pt idx="97">
                  <c:v>0.559866499791406</c:v>
                </c:pt>
                <c:pt idx="98">
                  <c:v>0.559866499791406</c:v>
                </c:pt>
                <c:pt idx="99">
                  <c:v>0.559866499791406</c:v>
                </c:pt>
                <c:pt idx="100">
                  <c:v>0.559866499791406</c:v>
                </c:pt>
                <c:pt idx="101">
                  <c:v>0.559866499791406</c:v>
                </c:pt>
                <c:pt idx="102">
                  <c:v>0.559866499791406</c:v>
                </c:pt>
                <c:pt idx="103">
                  <c:v>0.559866499791406</c:v>
                </c:pt>
                <c:pt idx="104">
                  <c:v>0.559866499791406</c:v>
                </c:pt>
                <c:pt idx="105">
                  <c:v>0.559866499791406</c:v>
                </c:pt>
                <c:pt idx="106">
                  <c:v>0.559866499791406</c:v>
                </c:pt>
                <c:pt idx="107">
                  <c:v>0.559866499791406</c:v>
                </c:pt>
                <c:pt idx="108">
                  <c:v>0.559866499791406</c:v>
                </c:pt>
                <c:pt idx="109">
                  <c:v>0.559866499791406</c:v>
                </c:pt>
                <c:pt idx="110">
                  <c:v>0.559866499791406</c:v>
                </c:pt>
                <c:pt idx="111">
                  <c:v>0.559866499791406</c:v>
                </c:pt>
                <c:pt idx="112">
                  <c:v>0.559866499791406</c:v>
                </c:pt>
                <c:pt idx="113">
                  <c:v>0.559866499791406</c:v>
                </c:pt>
                <c:pt idx="114">
                  <c:v>0.559866499791406</c:v>
                </c:pt>
                <c:pt idx="115">
                  <c:v>0.559866499791406</c:v>
                </c:pt>
                <c:pt idx="116">
                  <c:v>0.559866499791406</c:v>
                </c:pt>
                <c:pt idx="117">
                  <c:v>0.559866499791406</c:v>
                </c:pt>
                <c:pt idx="118">
                  <c:v>0.559866499791406</c:v>
                </c:pt>
                <c:pt idx="119">
                  <c:v>0.559866499791406</c:v>
                </c:pt>
                <c:pt idx="120">
                  <c:v>0.559866499791406</c:v>
                </c:pt>
                <c:pt idx="121">
                  <c:v>0.559866499791406</c:v>
                </c:pt>
                <c:pt idx="122">
                  <c:v>0.559866499791406</c:v>
                </c:pt>
                <c:pt idx="123">
                  <c:v>0.559866499791406</c:v>
                </c:pt>
                <c:pt idx="124">
                  <c:v>0.559866499791406</c:v>
                </c:pt>
                <c:pt idx="125">
                  <c:v>0.559866499791406</c:v>
                </c:pt>
                <c:pt idx="126">
                  <c:v>0.559866499791406</c:v>
                </c:pt>
                <c:pt idx="127">
                  <c:v>0.559866499791406</c:v>
                </c:pt>
                <c:pt idx="128">
                  <c:v>0.559866499791406</c:v>
                </c:pt>
                <c:pt idx="129">
                  <c:v>0.559866499791406</c:v>
                </c:pt>
                <c:pt idx="130">
                  <c:v>0.559866499791406</c:v>
                </c:pt>
                <c:pt idx="131">
                  <c:v>0.559866499791406</c:v>
                </c:pt>
                <c:pt idx="132">
                  <c:v>0.559866499791406</c:v>
                </c:pt>
                <c:pt idx="133">
                  <c:v>0.559866499791406</c:v>
                </c:pt>
                <c:pt idx="134">
                  <c:v>0.559866499791406</c:v>
                </c:pt>
                <c:pt idx="135">
                  <c:v>0.559866499791406</c:v>
                </c:pt>
                <c:pt idx="136">
                  <c:v>0.559866499791406</c:v>
                </c:pt>
                <c:pt idx="137">
                  <c:v>0.559866499791406</c:v>
                </c:pt>
                <c:pt idx="138">
                  <c:v>0.559866499791406</c:v>
                </c:pt>
                <c:pt idx="139">
                  <c:v>0.559866499791406</c:v>
                </c:pt>
                <c:pt idx="140">
                  <c:v>0.559866499791406</c:v>
                </c:pt>
              </c:numCache>
            </c:numRef>
          </c:val>
          <c:smooth val="0"/>
        </c:ser>
        <c:dLbls>
          <c:showLegendKey val="0"/>
          <c:showVal val="0"/>
          <c:showCatName val="0"/>
          <c:showSerName val="0"/>
          <c:showPercent val="0"/>
          <c:showBubbleSize val="0"/>
        </c:dLbls>
        <c:marker val="0"/>
        <c:smooth val="0"/>
        <c:axId val="167924864"/>
        <c:axId val="167926784"/>
      </c:lineChart>
      <c:scatterChart>
        <c:scatterStyle val="marker"/>
        <c:varyColors val="0"/>
        <c:ser>
          <c:idx val="3"/>
          <c:order val="0"/>
          <c:tx>
            <c:strRef>
              <c:f>"学生达成度"</c:f>
              <c:strCache>
                <c:ptCount val="1"/>
                <c:pt idx="0">
                  <c:v>学生达成度</c:v>
                </c:pt>
              </c:strCache>
            </c:strRef>
          </c:tx>
          <c:spPr>
            <a:ln w="19050" cap="rnd">
              <a:noFill/>
              <a:round/>
            </a:ln>
            <a:effectLst/>
          </c:spPr>
          <c:marker>
            <c:symbol val="circle"/>
            <c:size val="5"/>
            <c:spPr>
              <a:solidFill>
                <a:schemeClr val="accent5"/>
              </a:solidFill>
              <a:ln w="9525">
                <a:noFill/>
              </a:ln>
              <a:effectLst/>
            </c:spPr>
          </c:marker>
          <c:dLbls>
            <c:delete val="1"/>
          </c:dLbls>
          <c:xVal>
            <c:numRef>
              <c:f>'5绘图数据'!$A$3:$A$143</c:f>
              <c:numCache>
                <c:formatCode>General</c:formatCode>
                <c:ptCount val="14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numCache>
            </c:numRef>
          </c:xVal>
          <c:yVal>
            <c:numRef>
              <c:f>'5绘图数据'!$F$3:$F$143</c:f>
              <c:numCache>
                <c:formatCode>0.00_ </c:formatCode>
                <c:ptCount val="141"/>
                <c:pt idx="0">
                  <c:v>0.411764705882353</c:v>
                </c:pt>
                <c:pt idx="1">
                  <c:v>0.558823529411765</c:v>
                </c:pt>
                <c:pt idx="2">
                  <c:v>0.558823529411765</c:v>
                </c:pt>
                <c:pt idx="3">
                  <c:v>0.588235294117647</c:v>
                </c:pt>
                <c:pt idx="4">
                  <c:v>0.5</c:v>
                </c:pt>
                <c:pt idx="5">
                  <c:v>0.735294117647059</c:v>
                </c:pt>
                <c:pt idx="6">
                  <c:v>0.588235294117647</c:v>
                </c:pt>
                <c:pt idx="7">
                  <c:v>0.235294117647059</c:v>
                </c:pt>
                <c:pt idx="8">
                  <c:v>0.558823529411765</c:v>
                </c:pt>
                <c:pt idx="9">
                  <c:v>0.558823529411765</c:v>
                </c:pt>
                <c:pt idx="10">
                  <c:v>0.294117647058824</c:v>
                </c:pt>
                <c:pt idx="11">
                  <c:v>0.294117647058824</c:v>
                </c:pt>
                <c:pt idx="12">
                  <c:v>0.441176470588235</c:v>
                </c:pt>
                <c:pt idx="13">
                  <c:v>0.647058823529412</c:v>
                </c:pt>
                <c:pt idx="14">
                  <c:v>0.705882352941177</c:v>
                </c:pt>
                <c:pt idx="15">
                  <c:v>0.588235294117647</c:v>
                </c:pt>
                <c:pt idx="16">
                  <c:v>0.529411764705882</c:v>
                </c:pt>
                <c:pt idx="17">
                  <c:v>0.558823529411765</c:v>
                </c:pt>
                <c:pt idx="18">
                  <c:v>0.5</c:v>
                </c:pt>
                <c:pt idx="19">
                  <c:v>0.794117647058823</c:v>
                </c:pt>
                <c:pt idx="20">
                  <c:v>0.617647058823529</c:v>
                </c:pt>
                <c:pt idx="21">
                  <c:v>0.558823529411765</c:v>
                </c:pt>
                <c:pt idx="22">
                  <c:v>0.470588235294118</c:v>
                </c:pt>
                <c:pt idx="23">
                  <c:v>0.441176470588235</c:v>
                </c:pt>
                <c:pt idx="24">
                  <c:v>0.470588235294118</c:v>
                </c:pt>
                <c:pt idx="25">
                  <c:v>0.617647058823529</c:v>
                </c:pt>
                <c:pt idx="26">
                  <c:v>0.647058823529412</c:v>
                </c:pt>
                <c:pt idx="27">
                  <c:v>0.617647058823529</c:v>
                </c:pt>
                <c:pt idx="28">
                  <c:v>0.5</c:v>
                </c:pt>
                <c:pt idx="29">
                  <c:v>0.647058823529412</c:v>
                </c:pt>
                <c:pt idx="30">
                  <c:v>0.794117647058823</c:v>
                </c:pt>
                <c:pt idx="31">
                  <c:v>0.529411764705882</c:v>
                </c:pt>
                <c:pt idx="32">
                  <c:v>0.264705882352941</c:v>
                </c:pt>
                <c:pt idx="33">
                  <c:v>0.5</c:v>
                </c:pt>
                <c:pt idx="34">
                  <c:v>0.764705882352941</c:v>
                </c:pt>
                <c:pt idx="35">
                  <c:v>0.764705882352941</c:v>
                </c:pt>
                <c:pt idx="36">
                  <c:v>0.705882352941177</c:v>
                </c:pt>
                <c:pt idx="37">
                  <c:v>0.823529411764706</c:v>
                </c:pt>
                <c:pt idx="38">
                  <c:v>0.705882352941177</c:v>
                </c:pt>
                <c:pt idx="39">
                  <c:v>0.558823529411765</c:v>
                </c:pt>
                <c:pt idx="40">
                  <c:v>0.352941176470588</c:v>
                </c:pt>
                <c:pt idx="41">
                  <c:v>0.617647058823529</c:v>
                </c:pt>
                <c:pt idx="42">
                  <c:v>0.470588235294118</c:v>
                </c:pt>
                <c:pt idx="43">
                  <c:v>0.441176470588235</c:v>
                </c:pt>
                <c:pt idx="44">
                  <c:v>0.470588235294118</c:v>
                </c:pt>
                <c:pt idx="45">
                  <c:v>0.588235294117647</c:v>
                </c:pt>
                <c:pt idx="46">
                  <c:v>0.588235294117647</c:v>
                </c:pt>
                <c:pt idx="47">
                  <c:v>0.764705882352941</c:v>
                </c:pt>
                <c:pt idx="48">
                  <c:v>0.647058823529412</c:v>
                </c:pt>
                <c:pt idx="49">
                  <c:v>0.5</c:v>
                </c:pt>
                <c:pt idx="50">
                  <c:v>0.617647058823529</c:v>
                </c:pt>
                <c:pt idx="51">
                  <c:v>0.441176470588235</c:v>
                </c:pt>
                <c:pt idx="52">
                  <c:v>0.5</c:v>
                </c:pt>
                <c:pt idx="53">
                  <c:v>0.470588235294118</c:v>
                </c:pt>
                <c:pt idx="54">
                  <c:v>0.529411764705882</c:v>
                </c:pt>
                <c:pt idx="55">
                  <c:v>0.5</c:v>
                </c:pt>
                <c:pt idx="56">
                  <c:v>0.764705882352941</c:v>
                </c:pt>
                <c:pt idx="57">
                  <c:v>0.705882352941177</c:v>
                </c:pt>
                <c:pt idx="58">
                  <c:v>0.764705882352941</c:v>
                </c:pt>
                <c:pt idx="59">
                  <c:v>0.529411764705882</c:v>
                </c:pt>
                <c:pt idx="60">
                  <c:v>0.529411764705882</c:v>
                </c:pt>
                <c:pt idx="61">
                  <c:v>0.941176470588235</c:v>
                </c:pt>
                <c:pt idx="62">
                  <c:v>0.588235294117647</c:v>
                </c:pt>
                <c:pt idx="63">
                  <c:v>0.617647058823529</c:v>
                </c:pt>
                <c:pt idx="64">
                  <c:v>0.588235294117647</c:v>
                </c:pt>
                <c:pt idx="65">
                  <c:v>0.705882352941177</c:v>
                </c:pt>
                <c:pt idx="66">
                  <c:v>0.764705882352941</c:v>
                </c:pt>
                <c:pt idx="67">
                  <c:v>0.5</c:v>
                </c:pt>
                <c:pt idx="68">
                  <c:v>0.823529411764706</c:v>
                </c:pt>
                <c:pt idx="69">
                  <c:v>0.235294117647059</c:v>
                </c:pt>
                <c:pt idx="70">
                  <c:v>0.705882352941177</c:v>
                </c:pt>
                <c:pt idx="71">
                  <c:v>0.529411764705882</c:v>
                </c:pt>
                <c:pt idx="72">
                  <c:v>0.411764705882353</c:v>
                </c:pt>
                <c:pt idx="73">
                  <c:v>0.588235294117647</c:v>
                </c:pt>
                <c:pt idx="74">
                  <c:v>0.441176470588235</c:v>
                </c:pt>
                <c:pt idx="75">
                  <c:v>0.588235294117647</c:v>
                </c:pt>
                <c:pt idx="76">
                  <c:v>0.323529411764706</c:v>
                </c:pt>
                <c:pt idx="77">
                  <c:v>0.411764705882353</c:v>
                </c:pt>
                <c:pt idx="78">
                  <c:v>0.676470588235294</c:v>
                </c:pt>
                <c:pt idx="79">
                  <c:v>0.588235294117647</c:v>
                </c:pt>
                <c:pt idx="80">
                  <c:v>0.735294117647059</c:v>
                </c:pt>
                <c:pt idx="81">
                  <c:v>0.352941176470588</c:v>
                </c:pt>
                <c:pt idx="82">
                  <c:v>0.647058823529412</c:v>
                </c:pt>
                <c:pt idx="83">
                  <c:v>0.647058823529412</c:v>
                </c:pt>
                <c:pt idx="84">
                  <c:v>0.411764705882353</c:v>
                </c:pt>
                <c:pt idx="85">
                  <c:v>0.441176470588235</c:v>
                </c:pt>
                <c:pt idx="86">
                  <c:v>0.411764705882353</c:v>
                </c:pt>
                <c:pt idx="87">
                  <c:v>0.676470588235294</c:v>
                </c:pt>
                <c:pt idx="88">
                  <c:v>0.441176470588235</c:v>
                </c:pt>
                <c:pt idx="89">
                  <c:v>0.529411764705882</c:v>
                </c:pt>
                <c:pt idx="90">
                  <c:v>0.852941176470588</c:v>
                </c:pt>
                <c:pt idx="91">
                  <c:v>0.617647058823529</c:v>
                </c:pt>
                <c:pt idx="92">
                  <c:v>0.558823529411765</c:v>
                </c:pt>
                <c:pt idx="93">
                  <c:v>0.382352941176471</c:v>
                </c:pt>
                <c:pt idx="94">
                  <c:v>0.705882352941177</c:v>
                </c:pt>
                <c:pt idx="95">
                  <c:v>0.676470588235294</c:v>
                </c:pt>
                <c:pt idx="96">
                  <c:v>0.441176470588235</c:v>
                </c:pt>
                <c:pt idx="97">
                  <c:v>0.382352941176471</c:v>
                </c:pt>
                <c:pt idx="98">
                  <c:v>0.529411764705882</c:v>
                </c:pt>
                <c:pt idx="99">
                  <c:v>0.470588235294118</c:v>
                </c:pt>
                <c:pt idx="100">
                  <c:v>0.5</c:v>
                </c:pt>
                <c:pt idx="101">
                  <c:v>0.441176470588235</c:v>
                </c:pt>
                <c:pt idx="102">
                  <c:v>0.382352941176471</c:v>
                </c:pt>
                <c:pt idx="103">
                  <c:v>0.441176470588235</c:v>
                </c:pt>
                <c:pt idx="104">
                  <c:v>0.411764705882353</c:v>
                </c:pt>
                <c:pt idx="105">
                  <c:v>0.764705882352941</c:v>
                </c:pt>
                <c:pt idx="106">
                  <c:v>0.617647058823529</c:v>
                </c:pt>
                <c:pt idx="107">
                  <c:v>0.676470588235294</c:v>
                </c:pt>
                <c:pt idx="108">
                  <c:v>0.558823529411765</c:v>
                </c:pt>
                <c:pt idx="109">
                  <c:v>0.470588235294118</c:v>
                </c:pt>
                <c:pt idx="110">
                  <c:v>0.441176470588235</c:v>
                </c:pt>
                <c:pt idx="111">
                  <c:v>0.647058823529412</c:v>
                </c:pt>
                <c:pt idx="112">
                  <c:v>0.558823529411765</c:v>
                </c:pt>
                <c:pt idx="113">
                  <c:v>0.470588235294118</c:v>
                </c:pt>
                <c:pt idx="114">
                  <c:v>0.617647058823529</c:v>
                </c:pt>
                <c:pt idx="115">
                  <c:v>0.411764705882353</c:v>
                </c:pt>
                <c:pt idx="116">
                  <c:v>0.529411764705882</c:v>
                </c:pt>
                <c:pt idx="117">
                  <c:v>0.735294117647059</c:v>
                </c:pt>
                <c:pt idx="118">
                  <c:v>0.529411764705882</c:v>
                </c:pt>
                <c:pt idx="119">
                  <c:v>0.735294117647059</c:v>
                </c:pt>
                <c:pt idx="120">
                  <c:v>0.647058823529412</c:v>
                </c:pt>
                <c:pt idx="121">
                  <c:v>0.617647058823529</c:v>
                </c:pt>
                <c:pt idx="122">
                  <c:v>0.294117647058824</c:v>
                </c:pt>
                <c:pt idx="123">
                  <c:v>0.382352941176471</c:v>
                </c:pt>
                <c:pt idx="124">
                  <c:v>0.352941176470588</c:v>
                </c:pt>
                <c:pt idx="125">
                  <c:v>0.647058823529412</c:v>
                </c:pt>
                <c:pt idx="126">
                  <c:v>0.470588235294118</c:v>
                </c:pt>
                <c:pt idx="127">
                  <c:v>0.705882352941177</c:v>
                </c:pt>
                <c:pt idx="128">
                  <c:v>0.911764705882353</c:v>
                </c:pt>
                <c:pt idx="129">
                  <c:v>0.735294117647059</c:v>
                </c:pt>
                <c:pt idx="130">
                  <c:v>0.558823529411765</c:v>
                </c:pt>
                <c:pt idx="131">
                  <c:v>0.823529411764706</c:v>
                </c:pt>
                <c:pt idx="132">
                  <c:v>0.558823529411765</c:v>
                </c:pt>
                <c:pt idx="133">
                  <c:v>0.235294117647059</c:v>
                </c:pt>
                <c:pt idx="134">
                  <c:v>0.676470588235294</c:v>
                </c:pt>
                <c:pt idx="135">
                  <c:v>0.441176470588235</c:v>
                </c:pt>
                <c:pt idx="136">
                  <c:v>0.588235294117647</c:v>
                </c:pt>
                <c:pt idx="137">
                  <c:v>0.558823529411765</c:v>
                </c:pt>
                <c:pt idx="138">
                  <c:v>0.411764705882353</c:v>
                </c:pt>
                <c:pt idx="139">
                  <c:v>0.382352941176471</c:v>
                </c:pt>
                <c:pt idx="140">
                  <c:v>0.617647058823529</c:v>
                </c:pt>
              </c:numCache>
            </c:numRef>
          </c:yVal>
          <c:smooth val="0"/>
        </c:ser>
        <c:dLbls>
          <c:showLegendKey val="0"/>
          <c:showVal val="0"/>
          <c:showCatName val="0"/>
          <c:showSerName val="0"/>
          <c:showPercent val="0"/>
          <c:showBubbleSize val="0"/>
        </c:dLbls>
        <c:axId val="167924864"/>
        <c:axId val="167926784"/>
      </c:scatterChart>
      <c:catAx>
        <c:axId val="167924864"/>
        <c:scaling>
          <c:orientation val="minMax"/>
        </c:scaling>
        <c:delete val="0"/>
        <c:axPos val="b"/>
        <c:numFmt formatCode="General" sourceLinked="1"/>
        <c:majorTickMark val="out"/>
        <c:minorTickMark val="none"/>
        <c:tickLblPos val="nextTo"/>
        <c:spPr>
          <a:noFill/>
          <a:ln w="19050" cap="flat" cmpd="sng" algn="ctr">
            <a:solidFill>
              <a:schemeClr val="tx1"/>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67926784"/>
        <c:crosses val="autoZero"/>
        <c:auto val="1"/>
        <c:lblAlgn val="ctr"/>
        <c:lblOffset val="100"/>
        <c:tickLblSkip val="20"/>
        <c:tickMarkSkip val="20"/>
        <c:noMultiLvlLbl val="0"/>
      </c:catAx>
      <c:valAx>
        <c:axId val="167926784"/>
        <c:scaling>
          <c:orientation val="minMax"/>
          <c:max val="1"/>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vert="eaVert"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zh-CN" altLang="en-US" sz="1100" b="1">
                    <a:latin typeface="仿宋" panose="02010609060101010101" pitchFamily="49" charset="-122"/>
                    <a:ea typeface="仿宋" panose="02010609060101010101" pitchFamily="49" charset="-122"/>
                  </a:rPr>
                  <a:t>达成度</a:t>
                </a:r>
                <a:endParaRPr lang="zh-CN" altLang="en-US" sz="1100" b="1">
                  <a:latin typeface="仿宋" panose="02010609060101010101" pitchFamily="49" charset="-122"/>
                  <a:ea typeface="仿宋" panose="02010609060101010101" pitchFamily="49" charset="-122"/>
                </a:endParaRPr>
              </a:p>
            </c:rich>
          </c:tx>
          <c:layout/>
          <c:overlay val="0"/>
          <c:spPr>
            <a:noFill/>
            <a:ln>
              <a:noFill/>
            </a:ln>
            <a:effectLst/>
          </c:spPr>
        </c:title>
        <c:numFmt formatCode="0.00_ " sourceLinked="1"/>
        <c:majorTickMark val="none"/>
        <c:minorTickMark val="none"/>
        <c:tickLblPos val="nextTo"/>
        <c:spPr>
          <a:noFill/>
          <a:ln w="19050" cap="flat" cmpd="sng" algn="ctr">
            <a:solidFill>
              <a:schemeClr val="tx1"/>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67924864"/>
        <c:crossesAt val="0"/>
        <c:crossBetween val="between"/>
        <c:majorUnit val="0.2"/>
      </c:valAx>
      <c:spPr>
        <a:noFill/>
        <a:ln>
          <a:noFill/>
        </a:ln>
        <a:effectLst/>
      </c:spPr>
    </c:plotArea>
    <c:legend>
      <c:legendPos val="b"/>
      <c:layout>
        <c:manualLayout>
          <c:xMode val="edge"/>
          <c:yMode val="edge"/>
          <c:x val="0.332550092283996"/>
          <c:y val="0.615287255759697"/>
          <c:w val="0.372344013490725"/>
          <c:h val="0.0833339165937591"/>
        </c:manualLayout>
      </c:layout>
      <c:overlay val="1"/>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4aabe666-2567-4075-8222-4fbcded3cf3e}"/>
      </c:ext>
    </c:extLst>
  </c:chart>
  <c:spPr>
    <a:solidFill>
      <a:schemeClr val="bg1"/>
    </a:solidFill>
    <a:ln w="9525" cap="flat" cmpd="sng" algn="ctr">
      <a:solidFill>
        <a:schemeClr val="tx1">
          <a:lumMod val="15000"/>
          <a:lumOff val="85000"/>
        </a:schemeClr>
      </a:solidFill>
      <a:round/>
    </a:ln>
    <a:effectLst/>
  </c:spPr>
  <c:txPr>
    <a:bodyPr/>
    <a:lstStyle/>
    <a:p>
      <a:pPr>
        <a:defRPr lang="zh-CN"/>
      </a:pPr>
    </a:p>
  </c:txPr>
  <c:externalData r:id="rId1">
    <c:autoUpdate val="0"/>
  </c:externalData>
</c:chartSpace>
</file>

<file path=xl/charts/chart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zh-CN" sz="1400" b="0" i="0" u="none" strike="noStrike" kern="1200" spc="0" baseline="0">
                <a:solidFill>
                  <a:schemeClr val="tx1">
                    <a:lumMod val="65000"/>
                    <a:lumOff val="35000"/>
                  </a:schemeClr>
                </a:solidFill>
                <a:latin typeface="+mn-lt"/>
                <a:ea typeface="+mn-ea"/>
                <a:cs typeface="+mn-cs"/>
              </a:defRPr>
            </a:pPr>
            <a:r>
              <a:rPr lang="zh-CN" altLang="en-US" sz="1200" b="1">
                <a:solidFill>
                  <a:schemeClr val="tx1"/>
                </a:solidFill>
                <a:latin typeface="仿宋" panose="02010609060101010101" pitchFamily="49" charset="-122"/>
                <a:ea typeface="仿宋" panose="02010609060101010101" pitchFamily="49" charset="-122"/>
              </a:rPr>
              <a:t>课程各目标综合评价达成度</a:t>
            </a:r>
            <a:endParaRPr lang="zh-CN" altLang="en-US" sz="1200" b="1">
              <a:solidFill>
                <a:schemeClr val="tx1"/>
              </a:solidFill>
              <a:latin typeface="仿宋" panose="02010609060101010101" pitchFamily="49" charset="-122"/>
              <a:ea typeface="仿宋" panose="02010609060101010101" pitchFamily="49" charset="-122"/>
            </a:endParaRPr>
          </a:p>
        </c:rich>
      </c:tx>
      <c:layout>
        <c:manualLayout>
          <c:xMode val="edge"/>
          <c:yMode val="edge"/>
          <c:x val="0.347717263750135"/>
          <c:y val="0.878428374573887"/>
        </c:manualLayout>
      </c:layout>
      <c:overlay val="0"/>
      <c:spPr>
        <a:effectLst/>
      </c:spPr>
    </c:title>
    <c:autoTitleDeleted val="0"/>
    <c:plotArea>
      <c:layout>
        <c:manualLayout>
          <c:layoutTarget val="inner"/>
          <c:xMode val="edge"/>
          <c:yMode val="edge"/>
          <c:x val="0.0836288140179961"/>
          <c:y val="0.0701062962962963"/>
          <c:w val="0.911797409146689"/>
          <c:h val="0.693343725764223"/>
        </c:manualLayout>
      </c:layout>
      <c:barChart>
        <c:barDir val="col"/>
        <c:grouping val="clustered"/>
        <c:varyColors val="0"/>
        <c:ser>
          <c:idx val="0"/>
          <c:order val="0"/>
          <c:tx>
            <c:strRef>
              <c:f>"课程目标达成度"</c:f>
              <c:strCache>
                <c:ptCount val="1"/>
                <c:pt idx="0">
                  <c:v>课程目标达成度</c:v>
                </c:pt>
              </c:strCache>
            </c:strRef>
          </c:tx>
          <c:spPr>
            <a:solidFill>
              <a:schemeClr val="accent1"/>
            </a:solidFill>
            <a:ln>
              <a:solidFill>
                <a:schemeClr val="accent1"/>
              </a:solidFill>
            </a:ln>
            <a:effectLst/>
          </c:spPr>
          <c:invertIfNegative val="0"/>
          <c:dLbls>
            <c:delete val="1"/>
          </c:dLbls>
          <c:cat>
            <c:strRef>
              <c:f>'5绘图数据'!$X$3:$X$12</c:f>
              <c:strCache>
                <c:ptCount val="10"/>
                <c:pt idx="1">
                  <c:v>课程目标1</c:v>
                </c:pt>
                <c:pt idx="2">
                  <c:v>课程目标2</c:v>
                </c:pt>
                <c:pt idx="3">
                  <c:v>课程目标3</c:v>
                </c:pt>
                <c:pt idx="4">
                  <c:v>课程目标4</c:v>
                </c:pt>
                <c:pt idx="5">
                  <c:v>课程目标5</c:v>
                </c:pt>
                <c:pt idx="6">
                  <c:v>课程目标6</c:v>
                </c:pt>
                <c:pt idx="7">
                  <c:v>课程目标7</c:v>
                </c:pt>
                <c:pt idx="8">
                  <c:v>课程总目标</c:v>
                </c:pt>
              </c:strCache>
            </c:strRef>
          </c:cat>
          <c:val>
            <c:numRef>
              <c:f>'5绘图数据'!$Y$3:$Y$11</c:f>
              <c:numCache>
                <c:formatCode>General</c:formatCode>
                <c:ptCount val="9"/>
                <c:pt idx="1">
                  <c:v>0.84645390070922</c:v>
                </c:pt>
                <c:pt idx="2">
                  <c:v>0.817115839243499</c:v>
                </c:pt>
                <c:pt idx="3">
                  <c:v>0.63909887359199</c:v>
                </c:pt>
                <c:pt idx="4">
                  <c:v>0.823035460992908</c:v>
                </c:pt>
                <c:pt idx="5">
                  <c:v>0</c:v>
                </c:pt>
                <c:pt idx="6">
                  <c:v>0</c:v>
                </c:pt>
                <c:pt idx="7">
                  <c:v>0</c:v>
                </c:pt>
                <c:pt idx="8">
                  <c:v>0.778788193575303</c:v>
                </c:pt>
              </c:numCache>
            </c:numRef>
          </c:val>
        </c:ser>
        <c:ser>
          <c:idx val="1"/>
          <c:order val="1"/>
          <c:tx>
            <c:strRef>
              <c:f>"期望值"</c:f>
              <c:strCache>
                <c:ptCount val="1"/>
                <c:pt idx="0">
                  <c:v>期望值</c:v>
                </c:pt>
              </c:strCache>
            </c:strRef>
          </c:tx>
          <c:spPr>
            <a:noFill/>
            <a:ln>
              <a:noFill/>
            </a:ln>
            <a:effectLst/>
          </c:spPr>
          <c:invertIfNegative val="0"/>
          <c:dLbls>
            <c:delete val="1"/>
          </c:dLbls>
          <c:trendline>
            <c:spPr>
              <a:ln w="19050" cap="rnd" cmpd="sng" algn="ctr">
                <a:solidFill>
                  <a:schemeClr val="accent2"/>
                </a:solidFill>
                <a:prstDash val="sysDot"/>
                <a:round/>
              </a:ln>
              <a:effectLst/>
            </c:spPr>
            <c:trendlineType val="linear"/>
            <c:dispRSqr val="0"/>
            <c:dispEq val="0"/>
          </c:trendline>
          <c:trendline>
            <c:spPr>
              <a:ln w="28575" cap="rnd" cmpd="sng" algn="ctr">
                <a:solidFill>
                  <a:schemeClr val="accent2"/>
                </a:solidFill>
                <a:prstDash val="solid"/>
                <a:round/>
              </a:ln>
              <a:effectLst/>
            </c:spPr>
            <c:trendlineType val="linear"/>
            <c:dispRSqr val="0"/>
            <c:dispEq val="0"/>
          </c:trendline>
          <c:cat>
            <c:strRef>
              <c:f>'5绘图数据'!$X$3:$X$12</c:f>
              <c:strCache>
                <c:ptCount val="10"/>
                <c:pt idx="1">
                  <c:v>课程目标1</c:v>
                </c:pt>
                <c:pt idx="2">
                  <c:v>课程目标2</c:v>
                </c:pt>
                <c:pt idx="3">
                  <c:v>课程目标3</c:v>
                </c:pt>
                <c:pt idx="4">
                  <c:v>课程目标4</c:v>
                </c:pt>
                <c:pt idx="5">
                  <c:v>课程目标5</c:v>
                </c:pt>
                <c:pt idx="6">
                  <c:v>课程目标6</c:v>
                </c:pt>
                <c:pt idx="7">
                  <c:v>课程目标7</c:v>
                </c:pt>
                <c:pt idx="8">
                  <c:v>课程总目标</c:v>
                </c:pt>
              </c:strCache>
            </c:strRef>
          </c:cat>
          <c:val>
            <c:numRef>
              <c:f>'5绘图数据'!$Z$3:$Z$12</c:f>
              <c:numCache>
                <c:formatCode>General</c:formatCode>
                <c:ptCount val="10"/>
                <c:pt idx="1">
                  <c:v>0.65</c:v>
                </c:pt>
                <c:pt idx="2">
                  <c:v>0.65</c:v>
                </c:pt>
                <c:pt idx="3">
                  <c:v>0.65</c:v>
                </c:pt>
                <c:pt idx="4">
                  <c:v>0.65</c:v>
                </c:pt>
                <c:pt idx="5">
                  <c:v>0.65</c:v>
                </c:pt>
                <c:pt idx="6">
                  <c:v>0.65</c:v>
                </c:pt>
                <c:pt idx="7">
                  <c:v>0.65</c:v>
                </c:pt>
                <c:pt idx="8">
                  <c:v>0.65</c:v>
                </c:pt>
                <c:pt idx="9">
                  <c:v>0.65</c:v>
                </c:pt>
              </c:numCache>
            </c:numRef>
          </c:val>
        </c:ser>
        <c:dLbls>
          <c:showLegendKey val="0"/>
          <c:showVal val="0"/>
          <c:showCatName val="0"/>
          <c:showSerName val="0"/>
          <c:showPercent val="0"/>
          <c:showBubbleSize val="0"/>
        </c:dLbls>
        <c:gapWidth val="219"/>
        <c:overlap val="100"/>
        <c:axId val="137274112"/>
        <c:axId val="137275648"/>
      </c:barChart>
      <c:catAx>
        <c:axId val="137274112"/>
        <c:scaling>
          <c:orientation val="minMax"/>
        </c:scaling>
        <c:delete val="0"/>
        <c:axPos val="b"/>
        <c:numFmt formatCode="General" sourceLinked="0"/>
        <c:majorTickMark val="none"/>
        <c:minorTickMark val="none"/>
        <c:tickLblPos val="nextTo"/>
        <c:spPr>
          <a:noFill/>
          <a:ln w="31750" cap="flat" cmpd="sng" algn="ctr">
            <a:solidFill>
              <a:srgbClr val="0070C0"/>
            </a:solidFill>
            <a:prstDash val="solid"/>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37275648"/>
        <c:crosses val="autoZero"/>
        <c:auto val="1"/>
        <c:lblAlgn val="ctr"/>
        <c:lblOffset val="100"/>
        <c:noMultiLvlLbl val="0"/>
      </c:catAx>
      <c:valAx>
        <c:axId val="137275648"/>
        <c:scaling>
          <c:orientation val="minMax"/>
          <c:max val="1"/>
          <c:min val="0"/>
        </c:scaling>
        <c:delete val="0"/>
        <c:axPos val="l"/>
        <c:majorGridlines>
          <c:spPr>
            <a:ln w="9525" cap="flat" cmpd="sng" algn="ctr">
              <a:solidFill>
                <a:schemeClr val="tx1">
                  <a:lumMod val="15000"/>
                  <a:lumOff val="85000"/>
                </a:schemeClr>
              </a:solidFill>
              <a:prstDash val="solid"/>
              <a:round/>
            </a:ln>
            <a:effectLst/>
          </c:spPr>
        </c:majorGridlines>
        <c:title>
          <c:tx>
            <c:rich>
              <a:bodyPr rot="0" spcFirstLastPara="1" vertOverflow="ellipsis" vert="eaVert"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zh-CN" altLang="en-US" sz="1100" b="1">
                    <a:latin typeface="仿宋" panose="02010609060101010101" pitchFamily="49" charset="-122"/>
                    <a:ea typeface="仿宋" panose="02010609060101010101" pitchFamily="49" charset="-122"/>
                  </a:rPr>
                  <a:t>达成度</a:t>
                </a:r>
                <a:endParaRPr lang="zh-CN" altLang="en-US" sz="1100" b="1">
                  <a:latin typeface="仿宋" panose="02010609060101010101" pitchFamily="49" charset="-122"/>
                  <a:ea typeface="仿宋" panose="02010609060101010101" pitchFamily="49" charset="-122"/>
                </a:endParaRPr>
              </a:p>
            </c:rich>
          </c:tx>
          <c:layout/>
          <c:overlay val="0"/>
          <c:spPr>
            <a:noFill/>
            <a:ln>
              <a:noFill/>
            </a:ln>
            <a:effectLst/>
          </c:spPr>
        </c:title>
        <c:numFmt formatCode="General" sourceLinked="1"/>
        <c:majorTickMark val="out"/>
        <c:minorTickMark val="none"/>
        <c:tickLblPos val="nextTo"/>
        <c:spPr>
          <a:noFill/>
          <a:ln w="31750" cap="flat" cmpd="sng" algn="ctr">
            <a:solidFill>
              <a:schemeClr val="accent1"/>
            </a:solidFill>
            <a:prstDash val="solid"/>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37274112"/>
        <c:crosses val="autoZero"/>
        <c:crossBetween val="between"/>
        <c:majorUnit val="0.2"/>
        <c:minorUnit val="0.1"/>
      </c:valAx>
      <c:spPr>
        <a:noFill/>
        <a:ln>
          <a:noFill/>
        </a:ln>
        <a:effectLst/>
      </c:spPr>
    </c:plotArea>
    <c:plotVisOnly val="1"/>
    <c:dispBlanksAs val="gap"/>
    <c:showDLblsOverMax val="0"/>
    <c:extLst>
      <c:ext uri="{0b15fc19-7d7d-44ad-8c2d-2c3a37ce22c3}">
        <chartProps xmlns="https://web.wps.cn/et/2018/main" chartId="{a19c76d4-3b9c-415b-9fe4-c730a62963e0}"/>
      </c:ext>
    </c:extLst>
  </c:chart>
  <c:spPr>
    <a:solidFill>
      <a:schemeClr val="bg1"/>
    </a:solidFill>
    <a:ln w="9525" cap="flat" cmpd="sng" algn="ctr">
      <a:noFill/>
      <a:prstDash val="solid"/>
      <a:round/>
    </a:ln>
    <a:effectLst/>
  </c:spPr>
  <c:txPr>
    <a:bodyPr/>
    <a:lstStyle/>
    <a:p>
      <a:pPr>
        <a:defRPr lang="zh-CN"/>
      </a:pPr>
    </a:p>
  </c:txPr>
  <c:externalData r:id="rId1">
    <c:autoUpdate val="0"/>
  </c:externalData>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9" Type="http://schemas.openxmlformats.org/officeDocument/2006/relationships/chart" Target="../charts/chart9.xml"/><Relationship Id="rId8" Type="http://schemas.openxmlformats.org/officeDocument/2006/relationships/chart" Target="../charts/chart8.xml"/><Relationship Id="rId7" Type="http://schemas.openxmlformats.org/officeDocument/2006/relationships/chart" Target="../charts/chart7.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305435</xdr:colOff>
      <xdr:row>204</xdr:row>
      <xdr:rowOff>43815</xdr:rowOff>
    </xdr:from>
    <xdr:to>
      <xdr:col>19</xdr:col>
      <xdr:colOff>312335</xdr:colOff>
      <xdr:row>217</xdr:row>
      <xdr:rowOff>139784</xdr:rowOff>
    </xdr:to>
    <xdr:graphicFrame>
      <xdr:nvGraphicFramePr>
        <xdr:cNvPr id="6" name="图表 5"/>
        <xdr:cNvGraphicFramePr/>
      </xdr:nvGraphicFramePr>
      <xdr:xfrm>
        <a:off x="305435" y="56849645"/>
        <a:ext cx="5461000" cy="273113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302260</xdr:colOff>
      <xdr:row>98</xdr:row>
      <xdr:rowOff>9525</xdr:rowOff>
    </xdr:from>
    <xdr:to>
      <xdr:col>19</xdr:col>
      <xdr:colOff>365125</xdr:colOff>
      <xdr:row>113</xdr:row>
      <xdr:rowOff>12065</xdr:rowOff>
    </xdr:to>
    <xdr:graphicFrame>
      <xdr:nvGraphicFramePr>
        <xdr:cNvPr id="8" name="图表 7"/>
        <xdr:cNvGraphicFramePr/>
      </xdr:nvGraphicFramePr>
      <xdr:xfrm>
        <a:off x="302260" y="36622355"/>
        <a:ext cx="5507990" cy="28600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302260</xdr:colOff>
      <xdr:row>113</xdr:row>
      <xdr:rowOff>28575</xdr:rowOff>
    </xdr:from>
    <xdr:to>
      <xdr:col>19</xdr:col>
      <xdr:colOff>369570</xdr:colOff>
      <xdr:row>128</xdr:row>
      <xdr:rowOff>32385</xdr:rowOff>
    </xdr:to>
    <xdr:graphicFrame>
      <xdr:nvGraphicFramePr>
        <xdr:cNvPr id="13" name="图表 12"/>
        <xdr:cNvGraphicFramePr/>
      </xdr:nvGraphicFramePr>
      <xdr:xfrm>
        <a:off x="302260" y="39498905"/>
        <a:ext cx="5507990" cy="286131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295910</xdr:colOff>
      <xdr:row>143</xdr:row>
      <xdr:rowOff>76200</xdr:rowOff>
    </xdr:from>
    <xdr:to>
      <xdr:col>19</xdr:col>
      <xdr:colOff>358775</xdr:colOff>
      <xdr:row>158</xdr:row>
      <xdr:rowOff>65405</xdr:rowOff>
    </xdr:to>
    <xdr:graphicFrame>
      <xdr:nvGraphicFramePr>
        <xdr:cNvPr id="15" name="图表 14"/>
        <xdr:cNvGraphicFramePr/>
      </xdr:nvGraphicFramePr>
      <xdr:xfrm>
        <a:off x="295910" y="45261530"/>
        <a:ext cx="5514340" cy="2846705"/>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283210</xdr:colOff>
      <xdr:row>158</xdr:row>
      <xdr:rowOff>79375</xdr:rowOff>
    </xdr:from>
    <xdr:to>
      <xdr:col>19</xdr:col>
      <xdr:colOff>346075</xdr:colOff>
      <xdr:row>173</xdr:row>
      <xdr:rowOff>68580</xdr:rowOff>
    </xdr:to>
    <xdr:graphicFrame>
      <xdr:nvGraphicFramePr>
        <xdr:cNvPr id="16" name="图表 15"/>
        <xdr:cNvGraphicFramePr/>
      </xdr:nvGraphicFramePr>
      <xdr:xfrm>
        <a:off x="283210" y="48122205"/>
        <a:ext cx="5517515" cy="2846705"/>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283210</xdr:colOff>
      <xdr:row>173</xdr:row>
      <xdr:rowOff>88900</xdr:rowOff>
    </xdr:from>
    <xdr:to>
      <xdr:col>19</xdr:col>
      <xdr:colOff>346075</xdr:colOff>
      <xdr:row>188</xdr:row>
      <xdr:rowOff>78105</xdr:rowOff>
    </xdr:to>
    <xdr:graphicFrame>
      <xdr:nvGraphicFramePr>
        <xdr:cNvPr id="17" name="图表 16"/>
        <xdr:cNvGraphicFramePr/>
      </xdr:nvGraphicFramePr>
      <xdr:xfrm>
        <a:off x="283210" y="50989230"/>
        <a:ext cx="5517515" cy="2846705"/>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286385</xdr:colOff>
      <xdr:row>188</xdr:row>
      <xdr:rowOff>95250</xdr:rowOff>
    </xdr:from>
    <xdr:to>
      <xdr:col>19</xdr:col>
      <xdr:colOff>349250</xdr:colOff>
      <xdr:row>203</xdr:row>
      <xdr:rowOff>84455</xdr:rowOff>
    </xdr:to>
    <xdr:graphicFrame>
      <xdr:nvGraphicFramePr>
        <xdr:cNvPr id="18" name="图表 17"/>
        <xdr:cNvGraphicFramePr/>
      </xdr:nvGraphicFramePr>
      <xdr:xfrm>
        <a:off x="286385" y="53853080"/>
        <a:ext cx="5517515" cy="2846705"/>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311785</xdr:colOff>
      <xdr:row>128</xdr:row>
      <xdr:rowOff>47625</xdr:rowOff>
    </xdr:from>
    <xdr:to>
      <xdr:col>19</xdr:col>
      <xdr:colOff>379095</xdr:colOff>
      <xdr:row>143</xdr:row>
      <xdr:rowOff>51435</xdr:rowOff>
    </xdr:to>
    <xdr:graphicFrame>
      <xdr:nvGraphicFramePr>
        <xdr:cNvPr id="3" name="图表 2"/>
        <xdr:cNvGraphicFramePr/>
      </xdr:nvGraphicFramePr>
      <xdr:xfrm>
        <a:off x="311785" y="42375455"/>
        <a:ext cx="5498465" cy="286131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134620</xdr:colOff>
      <xdr:row>222</xdr:row>
      <xdr:rowOff>76200</xdr:rowOff>
    </xdr:from>
    <xdr:to>
      <xdr:col>20</xdr:col>
      <xdr:colOff>362585</xdr:colOff>
      <xdr:row>235</xdr:row>
      <xdr:rowOff>117475</xdr:rowOff>
    </xdr:to>
    <xdr:graphicFrame>
      <xdr:nvGraphicFramePr>
        <xdr:cNvPr id="5" name="图表 4"/>
        <xdr:cNvGraphicFramePr/>
      </xdr:nvGraphicFramePr>
      <xdr:xfrm>
        <a:off x="134620" y="60533280"/>
        <a:ext cx="6031230" cy="2930525"/>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17</xdr:col>
      <xdr:colOff>218440</xdr:colOff>
      <xdr:row>223</xdr:row>
      <xdr:rowOff>237490</xdr:rowOff>
    </xdr:from>
    <xdr:to>
      <xdr:col>19</xdr:col>
      <xdr:colOff>287655</xdr:colOff>
      <xdr:row>225</xdr:row>
      <xdr:rowOff>205740</xdr:rowOff>
    </xdr:to>
    <xdr:sp>
      <xdr:nvSpPr>
        <xdr:cNvPr id="2" name="文本框 1"/>
        <xdr:cNvSpPr txBox="1"/>
      </xdr:nvSpPr>
      <xdr:spPr>
        <a:xfrm>
          <a:off x="5038090" y="60901580"/>
          <a:ext cx="704215" cy="42799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zh-CN" altLang="en-US" sz="1100" b="1">
              <a:latin typeface="仿宋" panose="02010609060101010101" pitchFamily="49" charset="-122"/>
              <a:ea typeface="仿宋" panose="02010609060101010101" pitchFamily="49" charset="-122"/>
            </a:rPr>
            <a:t>期望值</a:t>
          </a:r>
          <a:endParaRPr lang="zh-CN" altLang="en-US" sz="1100" b="1">
            <a:latin typeface="仿宋" panose="02010609060101010101" pitchFamily="49" charset="-122"/>
            <a:ea typeface="仿宋" panose="02010609060101010101" pitchFamily="49" charset="-122"/>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32769;&#36164;&#26009;\20&#32423;56&#29677;&#34394;&#25311;&#29616;&#23454;&#25216;&#26415;&#36798;&#25104;&#24230;\4&#12289;&#34394;&#25311;&#29616;&#23454;&#25216;&#26415;20&#32423;56&#29677;&#36798;&#25104;&#24230;.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0信息维护"/>
      <sheetName val="1课程考核方式及成绩组成"/>
      <sheetName val="2间接评价"/>
      <sheetName val="3课程达成度分析报告"/>
      <sheetName val="4学生课程目标达成度"/>
      <sheetName val="5绘图数据"/>
    </sheetNames>
    <sheetDataSet>
      <sheetData sheetId="0"/>
      <sheetData sheetId="1"/>
      <sheetData sheetId="2"/>
      <sheetData sheetId="3"/>
      <sheetData sheetId="4"/>
      <sheetData sheetId="5"/>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7.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140"/>
  <sheetViews>
    <sheetView showZeros="0" topLeftCell="A123" workbookViewId="0">
      <selection activeCell="D132" sqref="D132:F135"/>
    </sheetView>
  </sheetViews>
  <sheetFormatPr defaultColWidth="9" defaultRowHeight="14"/>
  <cols>
    <col min="1" max="2" width="7" customWidth="1"/>
    <col min="3" max="3" width="5.90909090909091" customWidth="1"/>
    <col min="4" max="9" width="4" customWidth="1"/>
    <col min="10" max="10" width="7.54545454545455" customWidth="1"/>
    <col min="11" max="11" width="7.72727272727273" customWidth="1"/>
    <col min="12" max="12" width="4.36363636363636" customWidth="1"/>
    <col min="13" max="13" width="4" customWidth="1"/>
    <col min="14" max="14" width="3.18181818181818" customWidth="1"/>
    <col min="15" max="15" width="5.81818181818182" customWidth="1"/>
    <col min="16" max="17" width="4" customWidth="1"/>
    <col min="18" max="18" width="7" customWidth="1"/>
    <col min="20" max="22" width="9" customWidth="1"/>
  </cols>
  <sheetData>
    <row r="1" ht="150" customHeight="1" spans="1:22">
      <c r="A1" s="122" t="s">
        <v>0</v>
      </c>
      <c r="B1" s="122"/>
      <c r="C1" s="123"/>
      <c r="D1" s="123"/>
      <c r="E1" s="123"/>
      <c r="F1" s="123"/>
      <c r="G1" s="123"/>
      <c r="H1" s="123"/>
      <c r="I1" s="123"/>
      <c r="J1" s="123"/>
      <c r="K1" s="123"/>
      <c r="L1" s="123"/>
      <c r="M1" s="123"/>
      <c r="N1" s="123"/>
      <c r="O1" s="123"/>
      <c r="P1" s="123"/>
      <c r="Q1" s="123"/>
      <c r="R1" s="123"/>
      <c r="S1" s="123"/>
      <c r="T1" s="123"/>
      <c r="U1" s="123"/>
      <c r="V1" s="123"/>
    </row>
    <row r="2" ht="20.15" customHeight="1" spans="1:18">
      <c r="A2" s="32" t="s">
        <v>1</v>
      </c>
      <c r="B2" s="32"/>
      <c r="C2" s="32"/>
      <c r="D2" s="32"/>
      <c r="E2" s="32"/>
      <c r="F2" s="32"/>
      <c r="G2" s="32"/>
      <c r="H2" s="32"/>
      <c r="I2" s="32"/>
      <c r="J2" s="32"/>
      <c r="K2" s="32"/>
      <c r="L2" s="32"/>
      <c r="M2" s="32"/>
      <c r="N2" s="32"/>
      <c r="O2" s="32"/>
      <c r="P2" s="32"/>
      <c r="Q2" s="32"/>
      <c r="R2" s="32"/>
    </row>
    <row r="3" ht="25" customHeight="1" spans="1:17">
      <c r="A3" s="33" t="s">
        <v>2</v>
      </c>
      <c r="B3" s="33"/>
      <c r="C3" s="33"/>
      <c r="D3" s="124" t="s">
        <v>3</v>
      </c>
      <c r="E3" s="124"/>
      <c r="F3" s="124"/>
      <c r="G3" s="124"/>
      <c r="H3" s="124"/>
      <c r="I3" s="124"/>
      <c r="J3" s="33" t="s">
        <v>4</v>
      </c>
      <c r="K3" s="33"/>
      <c r="L3" s="33"/>
      <c r="M3" s="124" t="s">
        <v>5</v>
      </c>
      <c r="N3" s="124"/>
      <c r="O3" s="124"/>
      <c r="P3" s="124"/>
      <c r="Q3" s="124"/>
    </row>
    <row r="4" ht="25" customHeight="1" spans="1:17">
      <c r="A4" s="33" t="s">
        <v>6</v>
      </c>
      <c r="B4" s="33"/>
      <c r="C4" s="33"/>
      <c r="D4" s="124" t="s">
        <v>7</v>
      </c>
      <c r="E4" s="124"/>
      <c r="F4" s="124"/>
      <c r="G4" s="124"/>
      <c r="H4" s="124"/>
      <c r="I4" s="124"/>
      <c r="J4" s="33" t="s">
        <v>8</v>
      </c>
      <c r="K4" s="33"/>
      <c r="L4" s="33"/>
      <c r="M4" s="144" t="s">
        <v>9</v>
      </c>
      <c r="N4" s="144"/>
      <c r="O4" s="144"/>
      <c r="P4" s="144"/>
      <c r="Q4" s="144"/>
    </row>
    <row r="5" ht="25" customHeight="1" spans="1:17">
      <c r="A5" s="33" t="s">
        <v>10</v>
      </c>
      <c r="B5" s="33"/>
      <c r="C5" s="33"/>
      <c r="D5" s="124" t="s">
        <v>11</v>
      </c>
      <c r="E5" s="124"/>
      <c r="F5" s="124"/>
      <c r="G5" s="124"/>
      <c r="H5" s="124"/>
      <c r="I5" s="124"/>
      <c r="J5" s="33" t="s">
        <v>12</v>
      </c>
      <c r="K5" s="33"/>
      <c r="L5" s="33"/>
      <c r="M5" s="124" t="s">
        <v>13</v>
      </c>
      <c r="N5" s="124"/>
      <c r="O5" s="124"/>
      <c r="P5" s="124"/>
      <c r="Q5" s="124"/>
    </row>
    <row r="6" ht="25" customHeight="1" spans="1:17">
      <c r="A6" s="33" t="s">
        <v>14</v>
      </c>
      <c r="B6" s="33"/>
      <c r="C6" s="33"/>
      <c r="D6" s="125">
        <v>141</v>
      </c>
      <c r="E6" s="126"/>
      <c r="F6" s="126"/>
      <c r="G6" s="126"/>
      <c r="H6" s="126"/>
      <c r="I6" s="145"/>
      <c r="J6" s="33" t="s">
        <v>15</v>
      </c>
      <c r="K6" s="33"/>
      <c r="L6" s="33"/>
      <c r="M6" s="124">
        <v>141</v>
      </c>
      <c r="N6" s="124"/>
      <c r="O6" s="124"/>
      <c r="P6" s="124"/>
      <c r="Q6" s="124"/>
    </row>
    <row r="7" ht="25" customHeight="1" spans="1:17">
      <c r="A7" s="33" t="s">
        <v>16</v>
      </c>
      <c r="B7" s="33"/>
      <c r="C7" s="33"/>
      <c r="D7" s="124" t="s">
        <v>17</v>
      </c>
      <c r="E7" s="124"/>
      <c r="F7" s="124"/>
      <c r="G7" s="124"/>
      <c r="H7" s="124"/>
      <c r="I7" s="124"/>
      <c r="J7" s="33" t="s">
        <v>18</v>
      </c>
      <c r="K7" s="33"/>
      <c r="L7" s="33"/>
      <c r="M7" s="124" t="s">
        <v>19</v>
      </c>
      <c r="N7" s="124"/>
      <c r="O7" s="124"/>
      <c r="P7" s="124"/>
      <c r="Q7" s="124"/>
    </row>
    <row r="8" ht="25" customHeight="1" spans="1:17">
      <c r="A8" s="33" t="s">
        <v>20</v>
      </c>
      <c r="B8" s="33"/>
      <c r="C8" s="33"/>
      <c r="D8" s="124" t="s">
        <v>21</v>
      </c>
      <c r="E8" s="124"/>
      <c r="F8" s="124"/>
      <c r="G8" s="124"/>
      <c r="H8" s="124"/>
      <c r="I8" s="124"/>
      <c r="J8" s="33" t="s">
        <v>22</v>
      </c>
      <c r="K8" s="33"/>
      <c r="L8" s="33"/>
      <c r="M8" s="124" t="s">
        <v>23</v>
      </c>
      <c r="N8" s="124"/>
      <c r="O8" s="124"/>
      <c r="P8" s="124"/>
      <c r="Q8" s="124"/>
    </row>
    <row r="9" ht="15" customHeight="1" spans="1:9">
      <c r="A9" s="127"/>
      <c r="B9" s="127"/>
      <c r="C9" s="127"/>
      <c r="D9" s="128"/>
      <c r="E9" s="128"/>
      <c r="F9" s="127"/>
      <c r="G9" s="127"/>
      <c r="H9" s="128"/>
      <c r="I9" s="128"/>
    </row>
    <row r="10" ht="20.15" customHeight="1" spans="1:18">
      <c r="A10" s="32" t="s">
        <v>24</v>
      </c>
      <c r="B10" s="32"/>
      <c r="C10" s="32"/>
      <c r="D10" s="32"/>
      <c r="E10" s="32"/>
      <c r="F10" s="32"/>
      <c r="G10" s="32"/>
      <c r="H10" s="32"/>
      <c r="I10" s="32"/>
      <c r="J10" s="32"/>
      <c r="K10" s="32"/>
      <c r="L10" s="32"/>
      <c r="M10" s="32"/>
      <c r="N10" s="32"/>
      <c r="O10" s="32"/>
      <c r="P10" s="32"/>
      <c r="Q10" s="32"/>
      <c r="R10" s="32"/>
    </row>
    <row r="11" ht="33" customHeight="1" spans="1:18">
      <c r="A11" s="42" t="s">
        <v>25</v>
      </c>
      <c r="B11" s="42"/>
      <c r="C11" s="42"/>
      <c r="D11" s="42"/>
      <c r="E11" s="36" t="s">
        <v>26</v>
      </c>
      <c r="F11" s="36"/>
      <c r="G11" s="36"/>
      <c r="H11" s="36"/>
      <c r="I11" s="36"/>
      <c r="J11" s="36"/>
      <c r="K11" s="36"/>
      <c r="L11" s="36"/>
      <c r="M11" s="36"/>
      <c r="N11" s="36"/>
      <c r="O11" s="36"/>
      <c r="P11" s="36" t="s">
        <v>27</v>
      </c>
      <c r="Q11" s="36"/>
      <c r="R11" s="36"/>
    </row>
    <row r="12" ht="79" customHeight="1" spans="1:18">
      <c r="A12" s="129" t="s">
        <v>28</v>
      </c>
      <c r="B12" s="130" t="s">
        <v>29</v>
      </c>
      <c r="C12" s="130"/>
      <c r="D12" s="130"/>
      <c r="E12" s="131" t="s">
        <v>30</v>
      </c>
      <c r="F12" s="132"/>
      <c r="G12" s="132"/>
      <c r="H12" s="132"/>
      <c r="I12" s="132"/>
      <c r="J12" s="132"/>
      <c r="K12" s="132"/>
      <c r="L12" s="132"/>
      <c r="M12" s="132"/>
      <c r="N12" s="132"/>
      <c r="O12" s="132"/>
      <c r="P12" s="146" t="s">
        <v>31</v>
      </c>
      <c r="Q12" s="146"/>
      <c r="R12" s="146"/>
    </row>
    <row r="13" ht="79" customHeight="1" spans="1:18">
      <c r="A13" s="129"/>
      <c r="B13" s="130" t="s">
        <v>32</v>
      </c>
      <c r="C13" s="130"/>
      <c r="D13" s="130"/>
      <c r="E13" s="131" t="s">
        <v>33</v>
      </c>
      <c r="F13" s="131"/>
      <c r="G13" s="131"/>
      <c r="H13" s="131"/>
      <c r="I13" s="131"/>
      <c r="J13" s="131"/>
      <c r="K13" s="131"/>
      <c r="L13" s="131"/>
      <c r="M13" s="131"/>
      <c r="N13" s="131"/>
      <c r="O13" s="131"/>
      <c r="P13" s="146" t="s">
        <v>34</v>
      </c>
      <c r="Q13" s="146"/>
      <c r="R13" s="146"/>
    </row>
    <row r="14" ht="79" customHeight="1" spans="1:18">
      <c r="A14" s="129"/>
      <c r="B14" s="130" t="s">
        <v>35</v>
      </c>
      <c r="C14" s="130"/>
      <c r="D14" s="130"/>
      <c r="E14" s="133" t="s">
        <v>36</v>
      </c>
      <c r="F14" s="133"/>
      <c r="G14" s="133"/>
      <c r="H14" s="133"/>
      <c r="I14" s="133"/>
      <c r="J14" s="133"/>
      <c r="K14" s="133"/>
      <c r="L14" s="133"/>
      <c r="M14" s="133"/>
      <c r="N14" s="133"/>
      <c r="O14" s="133"/>
      <c r="P14" s="146" t="s">
        <v>37</v>
      </c>
      <c r="Q14" s="146"/>
      <c r="R14" s="146"/>
    </row>
    <row r="15" ht="79" customHeight="1" spans="1:18">
      <c r="A15" s="129"/>
      <c r="B15" s="130" t="s">
        <v>38</v>
      </c>
      <c r="C15" s="130"/>
      <c r="D15" s="130"/>
      <c r="E15" s="132" t="s">
        <v>39</v>
      </c>
      <c r="F15" s="132"/>
      <c r="G15" s="132"/>
      <c r="H15" s="132"/>
      <c r="I15" s="132"/>
      <c r="J15" s="132"/>
      <c r="K15" s="132"/>
      <c r="L15" s="132"/>
      <c r="M15" s="132"/>
      <c r="N15" s="132"/>
      <c r="O15" s="132"/>
      <c r="P15" s="146" t="s">
        <v>34</v>
      </c>
      <c r="Q15" s="146"/>
      <c r="R15" s="146"/>
    </row>
    <row r="16" ht="79" customHeight="1" spans="1:18">
      <c r="A16" s="129"/>
      <c r="B16" s="130" t="s">
        <v>40</v>
      </c>
      <c r="C16" s="130"/>
      <c r="D16" s="130"/>
      <c r="E16" s="132"/>
      <c r="F16" s="132"/>
      <c r="G16" s="132"/>
      <c r="H16" s="132"/>
      <c r="I16" s="132"/>
      <c r="J16" s="132"/>
      <c r="K16" s="132"/>
      <c r="L16" s="132"/>
      <c r="M16" s="132"/>
      <c r="N16" s="132"/>
      <c r="O16" s="132"/>
      <c r="P16" s="146"/>
      <c r="Q16" s="146"/>
      <c r="R16" s="146"/>
    </row>
    <row r="17" ht="79" customHeight="1" spans="1:18">
      <c r="A17" s="129"/>
      <c r="B17" s="130" t="s">
        <v>41</v>
      </c>
      <c r="C17" s="130"/>
      <c r="D17" s="130"/>
      <c r="E17" s="134"/>
      <c r="F17" s="134"/>
      <c r="G17" s="134"/>
      <c r="H17" s="134"/>
      <c r="I17" s="134"/>
      <c r="J17" s="134"/>
      <c r="K17" s="134"/>
      <c r="L17" s="134"/>
      <c r="M17" s="134"/>
      <c r="N17" s="134"/>
      <c r="O17" s="134"/>
      <c r="P17" s="146"/>
      <c r="Q17" s="146"/>
      <c r="R17" s="146"/>
    </row>
    <row r="18" ht="79" customHeight="1" spans="1:18">
      <c r="A18" s="129"/>
      <c r="B18" s="130" t="s">
        <v>42</v>
      </c>
      <c r="C18" s="130"/>
      <c r="D18" s="130"/>
      <c r="E18" s="134"/>
      <c r="F18" s="134"/>
      <c r="G18" s="134"/>
      <c r="H18" s="134"/>
      <c r="I18" s="134"/>
      <c r="J18" s="134"/>
      <c r="K18" s="134"/>
      <c r="L18" s="134"/>
      <c r="M18" s="134"/>
      <c r="N18" s="134"/>
      <c r="O18" s="134"/>
      <c r="P18" s="146"/>
      <c r="Q18" s="146"/>
      <c r="R18" s="146"/>
    </row>
    <row r="19" ht="15" customHeight="1"/>
    <row r="20" ht="15" spans="1:20">
      <c r="A20" s="135" t="s">
        <v>43</v>
      </c>
      <c r="B20" s="136"/>
      <c r="C20" s="136"/>
      <c r="D20" s="136"/>
      <c r="E20" s="136"/>
      <c r="F20" s="136"/>
      <c r="G20" s="136"/>
      <c r="H20" s="136"/>
      <c r="I20" s="136"/>
      <c r="J20" s="136"/>
      <c r="K20" s="136"/>
      <c r="L20" s="136"/>
      <c r="M20" s="136"/>
      <c r="N20" s="136"/>
      <c r="O20" s="136"/>
      <c r="P20" s="136"/>
      <c r="Q20" s="136"/>
      <c r="R20" s="136"/>
      <c r="S20" s="136"/>
      <c r="T20" s="170"/>
    </row>
    <row r="21" ht="15" spans="1:18">
      <c r="A21" s="62"/>
      <c r="B21" s="62"/>
      <c r="C21" s="62"/>
      <c r="D21" s="62"/>
      <c r="E21" s="62"/>
      <c r="F21" s="62"/>
      <c r="G21" s="62"/>
      <c r="H21" s="62"/>
      <c r="I21" s="62"/>
      <c r="J21" s="62"/>
      <c r="K21" s="62"/>
      <c r="L21" s="62"/>
      <c r="M21" s="62"/>
      <c r="N21" s="62"/>
      <c r="O21" s="62"/>
      <c r="P21" s="62"/>
      <c r="Q21" s="62"/>
      <c r="R21" s="62"/>
    </row>
    <row r="22" ht="21" customHeight="1" spans="1:17">
      <c r="A22" s="32" t="s">
        <v>44</v>
      </c>
      <c r="B22" s="32"/>
      <c r="C22" s="32"/>
      <c r="D22" s="32"/>
      <c r="E22" s="32"/>
      <c r="F22" s="32"/>
      <c r="G22" s="32"/>
      <c r="H22" s="32"/>
      <c r="I22" s="32"/>
      <c r="J22" s="32"/>
      <c r="K22" s="32"/>
      <c r="L22" s="32"/>
      <c r="M22" s="137"/>
      <c r="N22" s="137"/>
      <c r="O22" s="137"/>
      <c r="P22" s="137"/>
      <c r="Q22" s="137"/>
    </row>
    <row r="23" ht="21" customHeight="1" spans="1:17">
      <c r="A23" s="137" t="s">
        <v>45</v>
      </c>
      <c r="B23" s="137"/>
      <c r="C23" s="137"/>
      <c r="D23" s="137"/>
      <c r="E23" s="137"/>
      <c r="F23" s="137"/>
      <c r="G23" s="137"/>
      <c r="H23" s="137"/>
      <c r="I23" s="137"/>
      <c r="J23" s="137"/>
      <c r="K23" s="147"/>
      <c r="L23" s="147"/>
      <c r="M23" s="147"/>
      <c r="N23" s="147"/>
      <c r="O23" s="147"/>
      <c r="P23" s="147"/>
      <c r="Q23" s="147"/>
    </row>
    <row r="24" ht="45" customHeight="1" spans="1:22">
      <c r="A24" s="34" t="s">
        <v>46</v>
      </c>
      <c r="B24" s="34"/>
      <c r="C24" s="34"/>
      <c r="D24" s="34"/>
      <c r="E24" s="138" t="s">
        <v>47</v>
      </c>
      <c r="F24" s="138"/>
      <c r="G24" s="138"/>
      <c r="H24" s="138"/>
      <c r="I24" s="148" t="s">
        <v>48</v>
      </c>
      <c r="J24" s="148"/>
      <c r="K24" s="148"/>
      <c r="L24" s="148"/>
      <c r="M24" s="148"/>
      <c r="N24" s="148"/>
      <c r="O24" s="148"/>
      <c r="P24" s="148"/>
      <c r="Q24" s="148"/>
      <c r="R24" s="110" t="s">
        <v>49</v>
      </c>
      <c r="S24" s="150" t="s">
        <v>50</v>
      </c>
      <c r="T24" s="150"/>
      <c r="U24" s="150"/>
      <c r="V24" s="150"/>
    </row>
    <row r="25" ht="20.15" customHeight="1" spans="1:22">
      <c r="A25" s="34" t="s">
        <v>29</v>
      </c>
      <c r="B25" s="34"/>
      <c r="C25" s="34"/>
      <c r="D25" s="34"/>
      <c r="E25" s="138">
        <v>0.4</v>
      </c>
      <c r="F25" s="138"/>
      <c r="G25" s="138"/>
      <c r="H25" s="138"/>
      <c r="I25" s="138">
        <v>0</v>
      </c>
      <c r="J25" s="138"/>
      <c r="K25" s="138"/>
      <c r="L25" s="138"/>
      <c r="M25" s="138"/>
      <c r="N25" s="138"/>
      <c r="O25" s="149"/>
      <c r="P25" s="126"/>
      <c r="Q25" s="145"/>
      <c r="R25" s="56">
        <f>SUM(E25:Q25)</f>
        <v>0.4</v>
      </c>
      <c r="S25" s="171">
        <f>IF($R25=0,0,E25/$R25)</f>
        <v>1</v>
      </c>
      <c r="T25" s="171">
        <f>IF($R25=0,0,I25/$R25)</f>
        <v>0</v>
      </c>
      <c r="U25" s="171">
        <f>IF($R25=0,0,L25/$R25)</f>
        <v>0</v>
      </c>
      <c r="V25" s="171">
        <f>IF($R25=0,0,O25/$R25)</f>
        <v>0</v>
      </c>
    </row>
    <row r="26" ht="20.15" customHeight="1" spans="1:22">
      <c r="A26" s="34" t="s">
        <v>32</v>
      </c>
      <c r="B26" s="34"/>
      <c r="C26" s="34"/>
      <c r="D26" s="34"/>
      <c r="E26" s="138">
        <v>0.6</v>
      </c>
      <c r="F26" s="138"/>
      <c r="G26" s="138"/>
      <c r="H26" s="138"/>
      <c r="I26" s="138">
        <v>0</v>
      </c>
      <c r="J26" s="138"/>
      <c r="K26" s="138"/>
      <c r="L26" s="138"/>
      <c r="M26" s="138"/>
      <c r="N26" s="138"/>
      <c r="O26" s="149"/>
      <c r="P26" s="126"/>
      <c r="Q26" s="145"/>
      <c r="R26" s="56">
        <f t="shared" ref="R26:R31" si="0">SUM(E26:Q26)</f>
        <v>0.6</v>
      </c>
      <c r="S26" s="171">
        <f t="shared" ref="S26:S31" si="1">IF($R26=0,0,E26/$R26)</f>
        <v>1</v>
      </c>
      <c r="T26" s="171">
        <f t="shared" ref="T26:T31" si="2">IF($R26=0,0,I26/$R26)</f>
        <v>0</v>
      </c>
      <c r="U26" s="171">
        <f t="shared" ref="U26:U31" si="3">IF($R26=0,0,L26/$R26)</f>
        <v>0</v>
      </c>
      <c r="V26" s="171">
        <f t="shared" ref="V26:V31" si="4">IF($R26=0,0,O26/$R26)</f>
        <v>0</v>
      </c>
    </row>
    <row r="27" ht="20.15" customHeight="1" spans="1:22">
      <c r="A27" s="34" t="s">
        <v>35</v>
      </c>
      <c r="B27" s="34"/>
      <c r="C27" s="34"/>
      <c r="D27" s="34"/>
      <c r="E27" s="138">
        <v>0</v>
      </c>
      <c r="F27" s="138"/>
      <c r="G27" s="138"/>
      <c r="H27" s="138"/>
      <c r="I27" s="138">
        <v>0</v>
      </c>
      <c r="J27" s="138"/>
      <c r="K27" s="138"/>
      <c r="L27" s="138"/>
      <c r="M27" s="138"/>
      <c r="N27" s="138"/>
      <c r="O27" s="149"/>
      <c r="P27" s="126"/>
      <c r="Q27" s="145"/>
      <c r="R27" s="56">
        <f t="shared" si="0"/>
        <v>0</v>
      </c>
      <c r="S27" s="171">
        <f t="shared" si="1"/>
        <v>0</v>
      </c>
      <c r="T27" s="171">
        <f t="shared" si="2"/>
        <v>0</v>
      </c>
      <c r="U27" s="171">
        <f t="shared" si="3"/>
        <v>0</v>
      </c>
      <c r="V27" s="171">
        <f t="shared" si="4"/>
        <v>0</v>
      </c>
    </row>
    <row r="28" ht="20.15" customHeight="1" spans="1:22">
      <c r="A28" s="34" t="s">
        <v>38</v>
      </c>
      <c r="B28" s="34"/>
      <c r="C28" s="34"/>
      <c r="D28" s="34"/>
      <c r="E28" s="138">
        <v>0</v>
      </c>
      <c r="F28" s="138"/>
      <c r="G28" s="138"/>
      <c r="H28" s="138"/>
      <c r="I28" s="138">
        <v>1</v>
      </c>
      <c r="J28" s="138"/>
      <c r="K28" s="138"/>
      <c r="L28" s="138"/>
      <c r="M28" s="138"/>
      <c r="N28" s="138"/>
      <c r="O28" s="138"/>
      <c r="P28" s="138"/>
      <c r="Q28" s="138"/>
      <c r="R28" s="56">
        <f t="shared" si="0"/>
        <v>1</v>
      </c>
      <c r="S28" s="171">
        <f t="shared" si="1"/>
        <v>0</v>
      </c>
      <c r="T28" s="171">
        <f t="shared" si="2"/>
        <v>1</v>
      </c>
      <c r="U28" s="171">
        <f t="shared" si="3"/>
        <v>0</v>
      </c>
      <c r="V28" s="171">
        <f t="shared" si="4"/>
        <v>0</v>
      </c>
    </row>
    <row r="29" ht="20.15" customHeight="1" spans="1:22">
      <c r="A29" s="34" t="s">
        <v>40</v>
      </c>
      <c r="B29" s="34"/>
      <c r="C29" s="34"/>
      <c r="D29" s="34"/>
      <c r="E29" s="138"/>
      <c r="F29" s="138"/>
      <c r="G29" s="138"/>
      <c r="H29" s="138"/>
      <c r="I29" s="138">
        <v>0</v>
      </c>
      <c r="J29" s="138"/>
      <c r="K29" s="138"/>
      <c r="L29" s="138"/>
      <c r="M29" s="138"/>
      <c r="N29" s="138"/>
      <c r="O29" s="138"/>
      <c r="P29" s="138"/>
      <c r="Q29" s="138"/>
      <c r="R29" s="56">
        <f t="shared" si="0"/>
        <v>0</v>
      </c>
      <c r="S29" s="171">
        <f t="shared" si="1"/>
        <v>0</v>
      </c>
      <c r="T29" s="171">
        <f t="shared" si="2"/>
        <v>0</v>
      </c>
      <c r="U29" s="171">
        <f t="shared" si="3"/>
        <v>0</v>
      </c>
      <c r="V29" s="171">
        <f t="shared" si="4"/>
        <v>0</v>
      </c>
    </row>
    <row r="30" ht="20.15" customHeight="1" spans="1:22">
      <c r="A30" s="34" t="s">
        <v>41</v>
      </c>
      <c r="B30" s="34"/>
      <c r="C30" s="34"/>
      <c r="D30" s="34"/>
      <c r="E30" s="138">
        <v>0</v>
      </c>
      <c r="F30" s="138"/>
      <c r="G30" s="138"/>
      <c r="H30" s="138"/>
      <c r="I30" s="138">
        <v>0</v>
      </c>
      <c r="J30" s="138"/>
      <c r="K30" s="138"/>
      <c r="L30" s="138"/>
      <c r="M30" s="138"/>
      <c r="N30" s="138"/>
      <c r="O30" s="138"/>
      <c r="P30" s="138"/>
      <c r="Q30" s="138"/>
      <c r="R30" s="56">
        <f t="shared" si="0"/>
        <v>0</v>
      </c>
      <c r="S30" s="171">
        <f t="shared" si="1"/>
        <v>0</v>
      </c>
      <c r="T30" s="171">
        <f t="shared" si="2"/>
        <v>0</v>
      </c>
      <c r="U30" s="171">
        <f t="shared" si="3"/>
        <v>0</v>
      </c>
      <c r="V30" s="171">
        <f t="shared" si="4"/>
        <v>0</v>
      </c>
    </row>
    <row r="31" ht="20.15" customHeight="1" spans="1:22">
      <c r="A31" s="34" t="s">
        <v>42</v>
      </c>
      <c r="B31" s="34"/>
      <c r="C31" s="34"/>
      <c r="D31" s="34"/>
      <c r="E31" s="138">
        <v>0</v>
      </c>
      <c r="F31" s="138"/>
      <c r="G31" s="138"/>
      <c r="H31" s="138"/>
      <c r="I31" s="138">
        <v>0</v>
      </c>
      <c r="J31" s="138"/>
      <c r="K31" s="138"/>
      <c r="L31" s="138"/>
      <c r="M31" s="138"/>
      <c r="N31" s="138"/>
      <c r="O31" s="138"/>
      <c r="P31" s="138"/>
      <c r="Q31" s="138"/>
      <c r="R31" s="56">
        <f t="shared" si="0"/>
        <v>0</v>
      </c>
      <c r="S31" s="171">
        <f t="shared" si="1"/>
        <v>0</v>
      </c>
      <c r="T31" s="171">
        <f t="shared" si="2"/>
        <v>0</v>
      </c>
      <c r="U31" s="171">
        <f t="shared" si="3"/>
        <v>0</v>
      </c>
      <c r="V31" s="171">
        <f t="shared" si="4"/>
        <v>0</v>
      </c>
    </row>
    <row r="32" ht="18" customHeight="1" spans="1:24">
      <c r="A32" s="139" t="s">
        <v>51</v>
      </c>
      <c r="B32" s="139"/>
      <c r="C32" s="139"/>
      <c r="D32" s="139"/>
      <c r="E32" s="140" t="s">
        <v>52</v>
      </c>
      <c r="F32" s="140"/>
      <c r="G32" s="140"/>
      <c r="H32" s="140"/>
      <c r="I32" s="140"/>
      <c r="J32" s="140"/>
      <c r="K32" s="140"/>
      <c r="L32" s="140"/>
      <c r="M32" s="140"/>
      <c r="N32" s="140"/>
      <c r="O32" s="140"/>
      <c r="P32" s="140"/>
      <c r="Q32" s="140"/>
      <c r="R32" s="172" t="s">
        <v>53</v>
      </c>
      <c r="S32" s="172"/>
      <c r="T32" s="172"/>
      <c r="U32" s="172"/>
      <c r="V32" s="172"/>
      <c r="W32" s="173"/>
      <c r="X32" s="173"/>
    </row>
    <row r="33" ht="21" customHeight="1" spans="1:17">
      <c r="A33" s="137" t="s">
        <v>54</v>
      </c>
      <c r="B33" s="137"/>
      <c r="C33" s="137"/>
      <c r="D33" s="137"/>
      <c r="E33" s="137"/>
      <c r="F33" s="137"/>
      <c r="G33" s="137"/>
      <c r="H33" s="137"/>
      <c r="I33" s="137"/>
      <c r="J33" s="137"/>
      <c r="K33" s="147"/>
      <c r="L33" s="147"/>
      <c r="M33" s="147"/>
      <c r="N33" s="147"/>
      <c r="O33" s="147"/>
      <c r="P33" s="147"/>
      <c r="Q33" s="147"/>
    </row>
    <row r="34" ht="20.15" customHeight="1" spans="1:17">
      <c r="A34" s="34" t="s">
        <v>55</v>
      </c>
      <c r="B34" s="34"/>
      <c r="C34" s="34"/>
      <c r="D34" s="34"/>
      <c r="E34" s="138" t="s">
        <v>56</v>
      </c>
      <c r="F34" s="138"/>
      <c r="G34" s="138"/>
      <c r="H34" s="138"/>
      <c r="I34" s="138" t="s">
        <v>57</v>
      </c>
      <c r="J34" s="138"/>
      <c r="K34" s="138"/>
      <c r="L34" s="138"/>
      <c r="M34" s="150" t="s">
        <v>51</v>
      </c>
      <c r="N34" s="150"/>
      <c r="O34" s="150"/>
      <c r="P34" s="147"/>
      <c r="Q34" s="147"/>
    </row>
    <row r="35" ht="20.15" customHeight="1" spans="1:17">
      <c r="A35" s="34" t="s">
        <v>29</v>
      </c>
      <c r="B35" s="34"/>
      <c r="C35" s="34"/>
      <c r="D35" s="34"/>
      <c r="E35" s="138">
        <v>0.5</v>
      </c>
      <c r="F35" s="138"/>
      <c r="G35" s="138"/>
      <c r="H35" s="138"/>
      <c r="I35" s="138">
        <v>0.5</v>
      </c>
      <c r="J35" s="138"/>
      <c r="K35" s="138"/>
      <c r="L35" s="149"/>
      <c r="M35" s="151" t="s">
        <v>58</v>
      </c>
      <c r="N35" s="152"/>
      <c r="O35" s="153"/>
      <c r="P35" s="147"/>
      <c r="Q35" s="147"/>
    </row>
    <row r="36" ht="20.15" customHeight="1" spans="1:17">
      <c r="A36" s="34" t="s">
        <v>32</v>
      </c>
      <c r="B36" s="34"/>
      <c r="C36" s="34"/>
      <c r="D36" s="34"/>
      <c r="E36" s="138">
        <v>0.5</v>
      </c>
      <c r="F36" s="138"/>
      <c r="G36" s="138"/>
      <c r="H36" s="138"/>
      <c r="I36" s="138">
        <v>0.5</v>
      </c>
      <c r="J36" s="138"/>
      <c r="K36" s="138"/>
      <c r="L36" s="149"/>
      <c r="M36" s="154"/>
      <c r="N36" s="155"/>
      <c r="O36" s="156"/>
      <c r="P36" s="147"/>
      <c r="Q36" s="147"/>
    </row>
    <row r="37" ht="20.15" customHeight="1" spans="1:17">
      <c r="A37" s="34" t="s">
        <v>35</v>
      </c>
      <c r="B37" s="34"/>
      <c r="C37" s="34"/>
      <c r="D37" s="34"/>
      <c r="E37" s="138">
        <v>0</v>
      </c>
      <c r="F37" s="138"/>
      <c r="G37" s="138"/>
      <c r="H37" s="138"/>
      <c r="I37" s="138">
        <v>1</v>
      </c>
      <c r="J37" s="138"/>
      <c r="K37" s="138"/>
      <c r="L37" s="149"/>
      <c r="M37" s="154"/>
      <c r="N37" s="155"/>
      <c r="O37" s="156"/>
      <c r="P37" s="147"/>
      <c r="Q37" s="147"/>
    </row>
    <row r="38" ht="20.15" customHeight="1" spans="1:17">
      <c r="A38" s="34" t="s">
        <v>38</v>
      </c>
      <c r="B38" s="34"/>
      <c r="C38" s="34"/>
      <c r="D38" s="34"/>
      <c r="E38" s="138">
        <v>1</v>
      </c>
      <c r="F38" s="138"/>
      <c r="G38" s="138"/>
      <c r="H38" s="138"/>
      <c r="I38" s="138">
        <v>0</v>
      </c>
      <c r="J38" s="138"/>
      <c r="K38" s="138"/>
      <c r="L38" s="138"/>
      <c r="M38" s="154"/>
      <c r="N38" s="155"/>
      <c r="O38" s="156"/>
      <c r="P38" s="147"/>
      <c r="Q38" s="147"/>
    </row>
    <row r="39" ht="20.15" customHeight="1" spans="1:17">
      <c r="A39" s="34" t="s">
        <v>40</v>
      </c>
      <c r="B39" s="34"/>
      <c r="C39" s="34"/>
      <c r="D39" s="34"/>
      <c r="E39" s="138">
        <v>0</v>
      </c>
      <c r="F39" s="138"/>
      <c r="G39" s="138"/>
      <c r="H39" s="138"/>
      <c r="I39" s="138">
        <v>0</v>
      </c>
      <c r="J39" s="138"/>
      <c r="K39" s="138"/>
      <c r="L39" s="138"/>
      <c r="M39" s="154"/>
      <c r="N39" s="155"/>
      <c r="O39" s="156"/>
      <c r="P39" s="147"/>
      <c r="Q39" s="147"/>
    </row>
    <row r="40" ht="20.15" customHeight="1" spans="1:17">
      <c r="A40" s="34" t="s">
        <v>41</v>
      </c>
      <c r="B40" s="34"/>
      <c r="C40" s="34"/>
      <c r="D40" s="34"/>
      <c r="E40" s="138">
        <v>0</v>
      </c>
      <c r="F40" s="138"/>
      <c r="G40" s="138"/>
      <c r="H40" s="138"/>
      <c r="I40" s="138">
        <v>0</v>
      </c>
      <c r="J40" s="138"/>
      <c r="K40" s="138"/>
      <c r="L40" s="138"/>
      <c r="M40" s="154"/>
      <c r="N40" s="155"/>
      <c r="O40" s="156"/>
      <c r="P40" s="147"/>
      <c r="Q40" s="147"/>
    </row>
    <row r="41" ht="20.15" customHeight="1" spans="1:17">
      <c r="A41" s="34" t="s">
        <v>42</v>
      </c>
      <c r="B41" s="34"/>
      <c r="C41" s="34"/>
      <c r="D41" s="34"/>
      <c r="E41" s="138">
        <v>0</v>
      </c>
      <c r="F41" s="138"/>
      <c r="G41" s="138"/>
      <c r="H41" s="138"/>
      <c r="I41" s="138">
        <v>0</v>
      </c>
      <c r="J41" s="138"/>
      <c r="K41" s="138"/>
      <c r="L41" s="138"/>
      <c r="M41" s="157"/>
      <c r="N41" s="158"/>
      <c r="O41" s="159"/>
      <c r="P41" s="147"/>
      <c r="Q41" s="147"/>
    </row>
    <row r="42" ht="15" customHeight="1" spans="1:17">
      <c r="A42" s="141"/>
      <c r="B42" s="141"/>
      <c r="C42" s="141"/>
      <c r="D42" s="141"/>
      <c r="E42" s="142"/>
      <c r="F42" s="142"/>
      <c r="G42" s="142"/>
      <c r="H42" s="142"/>
      <c r="I42" s="142"/>
      <c r="J42" s="142"/>
      <c r="K42" s="147"/>
      <c r="L42" s="147"/>
      <c r="M42" s="147"/>
      <c r="N42" s="147"/>
      <c r="O42" s="147"/>
      <c r="P42" s="147"/>
      <c r="Q42" s="147"/>
    </row>
    <row r="43" ht="21" customHeight="1" spans="1:17">
      <c r="A43" s="137" t="s">
        <v>59</v>
      </c>
      <c r="B43" s="137"/>
      <c r="C43" s="137"/>
      <c r="D43" s="137"/>
      <c r="E43" s="137"/>
      <c r="F43" s="137"/>
      <c r="G43" s="137"/>
      <c r="H43" s="137"/>
      <c r="I43" s="137"/>
      <c r="J43" s="137"/>
      <c r="K43" s="147"/>
      <c r="L43" s="147"/>
      <c r="M43" s="147"/>
      <c r="N43" s="147"/>
      <c r="O43" s="147"/>
      <c r="P43" s="147"/>
      <c r="Q43" s="147"/>
    </row>
    <row r="44" ht="20.15" customHeight="1" spans="1:20">
      <c r="A44" s="34" t="s">
        <v>60</v>
      </c>
      <c r="B44" s="34"/>
      <c r="C44" s="34"/>
      <c r="D44" s="34"/>
      <c r="E44" s="138" t="s">
        <v>61</v>
      </c>
      <c r="F44" s="138"/>
      <c r="G44" s="138"/>
      <c r="H44" s="138"/>
      <c r="I44" s="138" t="s">
        <v>62</v>
      </c>
      <c r="J44" s="138"/>
      <c r="K44" s="138"/>
      <c r="L44" s="138"/>
      <c r="M44" s="138"/>
      <c r="N44" s="160" t="s">
        <v>51</v>
      </c>
      <c r="O44" s="161"/>
      <c r="P44" s="161"/>
      <c r="Q44" s="174"/>
      <c r="T44" s="175"/>
    </row>
    <row r="45" ht="20.15" customHeight="1" spans="1:20">
      <c r="A45" s="34" t="s">
        <v>29</v>
      </c>
      <c r="B45" s="34"/>
      <c r="C45" s="34"/>
      <c r="D45" s="34"/>
      <c r="E45" s="138">
        <v>1</v>
      </c>
      <c r="F45" s="138"/>
      <c r="G45" s="138"/>
      <c r="H45" s="138"/>
      <c r="I45" s="138"/>
      <c r="J45" s="138"/>
      <c r="K45" s="138"/>
      <c r="L45" s="138"/>
      <c r="M45" s="149"/>
      <c r="N45" s="162" t="s">
        <v>58</v>
      </c>
      <c r="O45" s="163"/>
      <c r="P45" s="163"/>
      <c r="Q45" s="176"/>
      <c r="T45" s="175"/>
    </row>
    <row r="46" ht="20.15" customHeight="1" spans="1:20">
      <c r="A46" s="34" t="s">
        <v>32</v>
      </c>
      <c r="B46" s="34"/>
      <c r="C46" s="34"/>
      <c r="D46" s="34"/>
      <c r="E46" s="138">
        <v>1</v>
      </c>
      <c r="F46" s="138"/>
      <c r="G46" s="138"/>
      <c r="H46" s="138"/>
      <c r="I46" s="138"/>
      <c r="J46" s="138"/>
      <c r="K46" s="138"/>
      <c r="L46" s="138"/>
      <c r="M46" s="149"/>
      <c r="N46" s="164"/>
      <c r="O46" s="165"/>
      <c r="P46" s="165"/>
      <c r="Q46" s="177"/>
      <c r="T46" s="175"/>
    </row>
    <row r="47" ht="20.15" customHeight="1" spans="1:20">
      <c r="A47" s="34" t="s">
        <v>35</v>
      </c>
      <c r="B47" s="34"/>
      <c r="C47" s="34"/>
      <c r="D47" s="34"/>
      <c r="E47" s="138">
        <v>1</v>
      </c>
      <c r="F47" s="138"/>
      <c r="G47" s="138"/>
      <c r="H47" s="138"/>
      <c r="I47" s="138"/>
      <c r="J47" s="138"/>
      <c r="K47" s="138"/>
      <c r="L47" s="138"/>
      <c r="M47" s="149"/>
      <c r="N47" s="164"/>
      <c r="O47" s="165"/>
      <c r="P47" s="165"/>
      <c r="Q47" s="177"/>
      <c r="T47" s="175"/>
    </row>
    <row r="48" ht="20.15" customHeight="1" spans="1:17">
      <c r="A48" s="34" t="s">
        <v>38</v>
      </c>
      <c r="B48" s="34"/>
      <c r="C48" s="34"/>
      <c r="D48" s="34"/>
      <c r="E48" s="138">
        <v>1</v>
      </c>
      <c r="F48" s="138"/>
      <c r="G48" s="138"/>
      <c r="H48" s="138"/>
      <c r="I48" s="138"/>
      <c r="J48" s="138"/>
      <c r="K48" s="138"/>
      <c r="L48" s="138"/>
      <c r="M48" s="149"/>
      <c r="N48" s="164"/>
      <c r="O48" s="165"/>
      <c r="P48" s="165"/>
      <c r="Q48" s="177"/>
    </row>
    <row r="49" ht="20.15" customHeight="1" spans="1:17">
      <c r="A49" s="34" t="s">
        <v>40</v>
      </c>
      <c r="B49" s="34"/>
      <c r="C49" s="34"/>
      <c r="D49" s="34"/>
      <c r="E49" s="138">
        <v>1</v>
      </c>
      <c r="F49" s="138"/>
      <c r="G49" s="138"/>
      <c r="H49" s="138"/>
      <c r="I49" s="138"/>
      <c r="J49" s="138"/>
      <c r="K49" s="138"/>
      <c r="L49" s="138"/>
      <c r="M49" s="149"/>
      <c r="N49" s="164"/>
      <c r="O49" s="165"/>
      <c r="P49" s="165"/>
      <c r="Q49" s="177"/>
    </row>
    <row r="50" ht="20.15" customHeight="1" spans="1:17">
      <c r="A50" s="34" t="s">
        <v>41</v>
      </c>
      <c r="B50" s="34"/>
      <c r="C50" s="34"/>
      <c r="D50" s="34"/>
      <c r="E50" s="138"/>
      <c r="F50" s="138"/>
      <c r="G50" s="138"/>
      <c r="H50" s="138"/>
      <c r="I50" s="138"/>
      <c r="J50" s="138"/>
      <c r="K50" s="138"/>
      <c r="L50" s="138"/>
      <c r="M50" s="149"/>
      <c r="N50" s="164"/>
      <c r="O50" s="165"/>
      <c r="P50" s="165"/>
      <c r="Q50" s="177"/>
    </row>
    <row r="51" ht="20.15" customHeight="1" spans="1:17">
      <c r="A51" s="34" t="s">
        <v>42</v>
      </c>
      <c r="B51" s="34"/>
      <c r="C51" s="34"/>
      <c r="D51" s="34"/>
      <c r="E51" s="138"/>
      <c r="F51" s="138"/>
      <c r="G51" s="138"/>
      <c r="H51" s="138"/>
      <c r="I51" s="138"/>
      <c r="J51" s="138"/>
      <c r="K51" s="138"/>
      <c r="L51" s="138"/>
      <c r="M51" s="149"/>
      <c r="N51" s="166"/>
      <c r="O51" s="167"/>
      <c r="P51" s="167"/>
      <c r="Q51" s="178"/>
    </row>
    <row r="52" ht="15" customHeight="1"/>
    <row r="53" ht="21" customHeight="1" spans="1:17">
      <c r="A53" s="137" t="s">
        <v>63</v>
      </c>
      <c r="B53" s="137"/>
      <c r="C53" s="137"/>
      <c r="D53" s="137"/>
      <c r="E53" s="137"/>
      <c r="F53" s="137"/>
      <c r="G53" s="137"/>
      <c r="H53" s="137"/>
      <c r="I53" s="137"/>
      <c r="J53" s="137"/>
      <c r="K53" s="147"/>
      <c r="L53" s="147"/>
      <c r="M53" s="147"/>
      <c r="N53" s="147"/>
      <c r="O53" s="147"/>
      <c r="P53" s="147"/>
      <c r="Q53" s="147"/>
    </row>
    <row r="54" ht="20.15" customHeight="1" spans="1:17">
      <c r="A54" s="34" t="s">
        <v>64</v>
      </c>
      <c r="B54" s="34"/>
      <c r="C54" s="34"/>
      <c r="D54" s="34"/>
      <c r="E54" s="143" t="s">
        <v>65</v>
      </c>
      <c r="F54" s="143"/>
      <c r="G54" s="143"/>
      <c r="H54" s="143"/>
      <c r="I54" s="143" t="s">
        <v>66</v>
      </c>
      <c r="J54" s="143"/>
      <c r="K54" s="143"/>
      <c r="L54" s="143"/>
      <c r="M54" s="150" t="s">
        <v>51</v>
      </c>
      <c r="N54" s="150"/>
      <c r="O54" s="150"/>
      <c r="P54" s="147"/>
      <c r="Q54" s="147"/>
    </row>
    <row r="55" ht="20.15" customHeight="1" spans="1:17">
      <c r="A55" s="34" t="s">
        <v>29</v>
      </c>
      <c r="B55" s="34"/>
      <c r="C55" s="34"/>
      <c r="D55" s="34"/>
      <c r="E55" s="138">
        <v>0.8</v>
      </c>
      <c r="F55" s="138"/>
      <c r="G55" s="138"/>
      <c r="H55" s="138"/>
      <c r="I55" s="138">
        <v>0.2</v>
      </c>
      <c r="J55" s="138"/>
      <c r="K55" s="138"/>
      <c r="L55" s="149"/>
      <c r="M55" s="151" t="s">
        <v>58</v>
      </c>
      <c r="N55" s="152"/>
      <c r="O55" s="153"/>
      <c r="P55" s="147"/>
      <c r="Q55" s="147"/>
    </row>
    <row r="56" ht="20.15" customHeight="1" spans="1:17">
      <c r="A56" s="34" t="s">
        <v>32</v>
      </c>
      <c r="B56" s="34"/>
      <c r="C56" s="34"/>
      <c r="D56" s="34"/>
      <c r="E56" s="138">
        <v>0.8</v>
      </c>
      <c r="F56" s="138"/>
      <c r="G56" s="138"/>
      <c r="H56" s="138"/>
      <c r="I56" s="138">
        <v>0.2</v>
      </c>
      <c r="J56" s="138"/>
      <c r="K56" s="138"/>
      <c r="L56" s="149"/>
      <c r="M56" s="154"/>
      <c r="N56" s="155"/>
      <c r="O56" s="156"/>
      <c r="P56" s="147"/>
      <c r="Q56" s="147"/>
    </row>
    <row r="57" s="121" customFormat="1" ht="20.15" customHeight="1" spans="1:17">
      <c r="A57" s="34" t="s">
        <v>35</v>
      </c>
      <c r="B57" s="34"/>
      <c r="C57" s="34"/>
      <c r="D57" s="34"/>
      <c r="E57" s="138">
        <v>0.8</v>
      </c>
      <c r="F57" s="138"/>
      <c r="G57" s="138"/>
      <c r="H57" s="138"/>
      <c r="I57" s="138">
        <v>0.2</v>
      </c>
      <c r="J57" s="138"/>
      <c r="K57" s="138"/>
      <c r="L57" s="149"/>
      <c r="M57" s="154"/>
      <c r="N57" s="155"/>
      <c r="O57" s="156"/>
      <c r="P57" s="147"/>
      <c r="Q57" s="147"/>
    </row>
    <row r="58" ht="20.15" customHeight="1" spans="1:15">
      <c r="A58" s="34" t="s">
        <v>38</v>
      </c>
      <c r="B58" s="34"/>
      <c r="C58" s="34"/>
      <c r="D58" s="34"/>
      <c r="E58" s="138">
        <v>0.8</v>
      </c>
      <c r="F58" s="138"/>
      <c r="G58" s="138"/>
      <c r="H58" s="138"/>
      <c r="I58" s="138">
        <v>0.2</v>
      </c>
      <c r="J58" s="138"/>
      <c r="K58" s="138"/>
      <c r="L58" s="149"/>
      <c r="M58" s="154"/>
      <c r="N58" s="155"/>
      <c r="O58" s="156"/>
    </row>
    <row r="59" ht="20.15" customHeight="1" spans="1:15">
      <c r="A59" s="34" t="s">
        <v>40</v>
      </c>
      <c r="B59" s="34"/>
      <c r="C59" s="34"/>
      <c r="D59" s="34"/>
      <c r="E59" s="138">
        <v>0.8</v>
      </c>
      <c r="F59" s="138"/>
      <c r="G59" s="138"/>
      <c r="H59" s="138"/>
      <c r="I59" s="138">
        <v>0.2</v>
      </c>
      <c r="J59" s="138"/>
      <c r="K59" s="138"/>
      <c r="L59" s="149"/>
      <c r="M59" s="154"/>
      <c r="N59" s="155"/>
      <c r="O59" s="156"/>
    </row>
    <row r="60" ht="20.15" customHeight="1" spans="1:15">
      <c r="A60" s="34" t="s">
        <v>41</v>
      </c>
      <c r="B60" s="34"/>
      <c r="C60" s="34"/>
      <c r="D60" s="34"/>
      <c r="E60" s="138"/>
      <c r="F60" s="138"/>
      <c r="G60" s="138"/>
      <c r="H60" s="138"/>
      <c r="I60" s="138"/>
      <c r="J60" s="138"/>
      <c r="K60" s="138"/>
      <c r="L60" s="149"/>
      <c r="M60" s="154"/>
      <c r="N60" s="155"/>
      <c r="O60" s="156"/>
    </row>
    <row r="61" ht="20.15" customHeight="1" spans="1:15">
      <c r="A61" s="34" t="s">
        <v>42</v>
      </c>
      <c r="B61" s="34"/>
      <c r="C61" s="34"/>
      <c r="D61" s="34"/>
      <c r="E61" s="138"/>
      <c r="F61" s="138"/>
      <c r="G61" s="138"/>
      <c r="H61" s="138"/>
      <c r="I61" s="138"/>
      <c r="J61" s="138"/>
      <c r="K61" s="138"/>
      <c r="L61" s="149"/>
      <c r="M61" s="157"/>
      <c r="N61" s="158"/>
      <c r="O61" s="159"/>
    </row>
    <row r="62" ht="15" customHeight="1"/>
    <row r="63" ht="20.15" customHeight="1" spans="1:18">
      <c r="A63" s="32" t="s">
        <v>67</v>
      </c>
      <c r="B63" s="32"/>
      <c r="C63" s="32"/>
      <c r="D63" s="32"/>
      <c r="E63" s="32"/>
      <c r="F63" s="32"/>
      <c r="G63" s="32"/>
      <c r="H63" s="32"/>
      <c r="I63" s="32"/>
      <c r="J63" s="32"/>
      <c r="K63" s="32"/>
      <c r="L63" s="32"/>
      <c r="M63" s="32"/>
      <c r="N63" s="32"/>
      <c r="O63" s="32"/>
      <c r="P63" s="32"/>
      <c r="Q63" s="32"/>
      <c r="R63" s="32"/>
    </row>
    <row r="64" ht="20.15" customHeight="1" spans="1:18">
      <c r="A64" s="33" t="s">
        <v>29</v>
      </c>
      <c r="B64" s="36" t="s">
        <v>68</v>
      </c>
      <c r="C64" s="124">
        <v>1</v>
      </c>
      <c r="D64" s="124">
        <v>7</v>
      </c>
      <c r="E64" s="124">
        <v>8</v>
      </c>
      <c r="F64" s="124">
        <v>9</v>
      </c>
      <c r="G64" s="124">
        <v>11</v>
      </c>
      <c r="H64" s="124">
        <v>12</v>
      </c>
      <c r="I64" s="124">
        <v>16</v>
      </c>
      <c r="J64" s="124">
        <v>17</v>
      </c>
      <c r="K64" s="124">
        <v>20</v>
      </c>
      <c r="L64" s="124" t="s">
        <v>69</v>
      </c>
      <c r="M64" s="124"/>
      <c r="N64" s="124"/>
      <c r="O64" s="168"/>
      <c r="P64" s="169"/>
      <c r="Q64" s="124"/>
      <c r="R64" s="36" t="s">
        <v>49</v>
      </c>
    </row>
    <row r="65" ht="20.15" customHeight="1" spans="1:18">
      <c r="A65" s="44"/>
      <c r="B65" s="36" t="s">
        <v>70</v>
      </c>
      <c r="C65" s="124">
        <v>2</v>
      </c>
      <c r="D65" s="124">
        <v>2</v>
      </c>
      <c r="E65" s="124">
        <v>2</v>
      </c>
      <c r="F65" s="124">
        <v>2</v>
      </c>
      <c r="G65" s="124">
        <v>2</v>
      </c>
      <c r="H65" s="124">
        <v>2</v>
      </c>
      <c r="I65" s="124">
        <v>2</v>
      </c>
      <c r="J65" s="124">
        <v>2</v>
      </c>
      <c r="K65" s="124">
        <v>2</v>
      </c>
      <c r="L65" s="124">
        <v>18</v>
      </c>
      <c r="M65" s="124"/>
      <c r="N65" s="124"/>
      <c r="O65" s="7"/>
      <c r="P65" s="7"/>
      <c r="Q65" s="124"/>
      <c r="R65" s="124">
        <f t="shared" ref="R65:R69" si="5">SUM(C65:Q65)</f>
        <v>36</v>
      </c>
    </row>
    <row r="66" ht="20.15" customHeight="1" spans="1:18">
      <c r="A66" s="33" t="s">
        <v>32</v>
      </c>
      <c r="B66" s="36" t="s">
        <v>68</v>
      </c>
      <c r="C66" s="124">
        <v>3</v>
      </c>
      <c r="D66" s="124">
        <v>6</v>
      </c>
      <c r="E66" s="124">
        <v>13</v>
      </c>
      <c r="F66" s="124">
        <v>14</v>
      </c>
      <c r="G66" s="124">
        <v>18</v>
      </c>
      <c r="H66" s="124">
        <v>19</v>
      </c>
      <c r="I66" s="124">
        <v>23</v>
      </c>
      <c r="J66" s="124">
        <v>24</v>
      </c>
      <c r="K66" s="124" t="s">
        <v>71</v>
      </c>
      <c r="L66" s="124"/>
      <c r="M66" s="181"/>
      <c r="N66" s="182"/>
      <c r="O66" s="7"/>
      <c r="P66" s="124"/>
      <c r="Q66" s="124"/>
      <c r="R66" s="124"/>
    </row>
    <row r="67" ht="20.15" customHeight="1" spans="1:18">
      <c r="A67" s="44"/>
      <c r="B67" s="36" t="s">
        <v>70</v>
      </c>
      <c r="C67" s="124">
        <v>2</v>
      </c>
      <c r="D67" s="124">
        <v>2</v>
      </c>
      <c r="E67" s="124">
        <v>2</v>
      </c>
      <c r="F67" s="124">
        <v>2</v>
      </c>
      <c r="G67" s="124">
        <v>2</v>
      </c>
      <c r="H67" s="124">
        <v>2</v>
      </c>
      <c r="I67" s="124">
        <v>2</v>
      </c>
      <c r="J67" s="124">
        <v>2</v>
      </c>
      <c r="K67" s="124">
        <v>14</v>
      </c>
      <c r="L67" s="124"/>
      <c r="M67" s="183"/>
      <c r="N67" s="184"/>
      <c r="O67" s="7"/>
      <c r="P67" s="124"/>
      <c r="Q67" s="124"/>
      <c r="R67" s="124">
        <f t="shared" si="5"/>
        <v>30</v>
      </c>
    </row>
    <row r="68" ht="20.15" customHeight="1" spans="1:18">
      <c r="A68" s="33" t="s">
        <v>35</v>
      </c>
      <c r="B68" s="36" t="s">
        <v>68</v>
      </c>
      <c r="C68" s="124">
        <v>2</v>
      </c>
      <c r="D68" s="124">
        <v>4</v>
      </c>
      <c r="E68" s="124">
        <v>5</v>
      </c>
      <c r="F68" s="124">
        <v>10</v>
      </c>
      <c r="G68" s="124">
        <v>15</v>
      </c>
      <c r="H68" s="124">
        <v>21</v>
      </c>
      <c r="I68" s="124">
        <v>22</v>
      </c>
      <c r="J68" s="124">
        <v>25</v>
      </c>
      <c r="K68" s="124">
        <v>26</v>
      </c>
      <c r="L68" s="124">
        <v>36</v>
      </c>
      <c r="M68" s="124">
        <v>39</v>
      </c>
      <c r="N68" s="124"/>
      <c r="O68" s="124"/>
      <c r="P68" s="124"/>
      <c r="Q68" s="124"/>
      <c r="R68" s="124"/>
    </row>
    <row r="69" ht="20.15" customHeight="1" spans="1:18">
      <c r="A69" s="44"/>
      <c r="B69" s="36" t="s">
        <v>70</v>
      </c>
      <c r="C69" s="124">
        <v>2</v>
      </c>
      <c r="D69" s="124">
        <v>2</v>
      </c>
      <c r="E69" s="124">
        <v>2</v>
      </c>
      <c r="F69" s="124">
        <v>2</v>
      </c>
      <c r="G69" s="124">
        <v>2</v>
      </c>
      <c r="H69" s="124">
        <v>2</v>
      </c>
      <c r="I69" s="124">
        <v>2</v>
      </c>
      <c r="J69" s="124">
        <v>2</v>
      </c>
      <c r="K69" s="124">
        <v>2</v>
      </c>
      <c r="L69" s="124">
        <v>6</v>
      </c>
      <c r="M69" s="124">
        <v>10</v>
      </c>
      <c r="N69" s="124"/>
      <c r="O69" s="124"/>
      <c r="P69" s="124"/>
      <c r="Q69" s="124"/>
      <c r="R69" s="124">
        <f t="shared" si="5"/>
        <v>34</v>
      </c>
    </row>
    <row r="70" ht="20.15" customHeight="1" spans="1:18">
      <c r="A70" s="33" t="s">
        <v>38</v>
      </c>
      <c r="B70" s="36" t="s">
        <v>68</v>
      </c>
      <c r="C70" s="124"/>
      <c r="D70" s="124"/>
      <c r="E70" s="36"/>
      <c r="F70" s="36"/>
      <c r="G70" s="36"/>
      <c r="H70" s="36"/>
      <c r="I70" s="36"/>
      <c r="J70" s="36"/>
      <c r="K70" s="36"/>
      <c r="L70" s="36"/>
      <c r="M70" s="36"/>
      <c r="N70" s="36"/>
      <c r="O70" s="36"/>
      <c r="P70" s="36"/>
      <c r="Q70" s="36"/>
      <c r="R70" s="193"/>
    </row>
    <row r="71" ht="20.15" customHeight="1" spans="1:18">
      <c r="A71" s="44"/>
      <c r="B71" s="36" t="s">
        <v>70</v>
      </c>
      <c r="C71" s="124"/>
      <c r="D71" s="124"/>
      <c r="E71" s="36"/>
      <c r="F71" s="36"/>
      <c r="G71" s="36"/>
      <c r="H71" s="36"/>
      <c r="I71" s="36"/>
      <c r="J71" s="36"/>
      <c r="K71" s="36"/>
      <c r="L71" s="36"/>
      <c r="M71" s="36"/>
      <c r="N71" s="36"/>
      <c r="O71" s="36"/>
      <c r="P71" s="36"/>
      <c r="Q71" s="36"/>
      <c r="R71" s="193">
        <f>SUM(C71:Q71)</f>
        <v>0</v>
      </c>
    </row>
    <row r="72" ht="20.15" customHeight="1" spans="1:18">
      <c r="A72" s="33" t="s">
        <v>40</v>
      </c>
      <c r="B72" s="36" t="s">
        <v>68</v>
      </c>
      <c r="C72" s="124"/>
      <c r="D72" s="124"/>
      <c r="E72" s="36"/>
      <c r="F72" s="36"/>
      <c r="G72" s="36"/>
      <c r="H72" s="36"/>
      <c r="I72" s="36"/>
      <c r="J72" s="36"/>
      <c r="K72" s="36"/>
      <c r="L72" s="36"/>
      <c r="M72" s="36"/>
      <c r="N72" s="36"/>
      <c r="O72" s="36"/>
      <c r="P72" s="36"/>
      <c r="Q72" s="36"/>
      <c r="R72" s="193"/>
    </row>
    <row r="73" ht="20.15" customHeight="1" spans="1:18">
      <c r="A73" s="44"/>
      <c r="B73" s="36" t="s">
        <v>70</v>
      </c>
      <c r="C73" s="124"/>
      <c r="D73" s="124"/>
      <c r="E73" s="36"/>
      <c r="F73" s="36"/>
      <c r="G73" s="36"/>
      <c r="H73" s="36"/>
      <c r="I73" s="36"/>
      <c r="J73" s="36"/>
      <c r="K73" s="36"/>
      <c r="L73" s="36"/>
      <c r="M73" s="36"/>
      <c r="N73" s="36"/>
      <c r="O73" s="36"/>
      <c r="P73" s="36"/>
      <c r="Q73" s="36"/>
      <c r="R73" s="193">
        <f>SUM(C73:Q73)</f>
        <v>0</v>
      </c>
    </row>
    <row r="74" ht="20.15" customHeight="1" spans="1:18">
      <c r="A74" s="33" t="s">
        <v>41</v>
      </c>
      <c r="B74" s="36" t="s">
        <v>68</v>
      </c>
      <c r="C74" s="124"/>
      <c r="D74" s="36"/>
      <c r="E74" s="36"/>
      <c r="F74" s="36"/>
      <c r="G74" s="36"/>
      <c r="H74" s="36"/>
      <c r="I74" s="36"/>
      <c r="J74" s="36"/>
      <c r="K74" s="36"/>
      <c r="L74" s="36"/>
      <c r="M74" s="36"/>
      <c r="N74" s="36"/>
      <c r="O74" s="36"/>
      <c r="P74" s="36"/>
      <c r="Q74" s="36"/>
      <c r="R74" s="193"/>
    </row>
    <row r="75" ht="20.15" customHeight="1" spans="1:18">
      <c r="A75" s="44"/>
      <c r="B75" s="36" t="s">
        <v>70</v>
      </c>
      <c r="C75" s="124"/>
      <c r="D75" s="36"/>
      <c r="E75" s="36"/>
      <c r="F75" s="36"/>
      <c r="G75" s="36"/>
      <c r="H75" s="36"/>
      <c r="I75" s="36"/>
      <c r="J75" s="36"/>
      <c r="K75" s="36"/>
      <c r="L75" s="36"/>
      <c r="M75" s="36"/>
      <c r="N75" s="36"/>
      <c r="O75" s="36"/>
      <c r="P75" s="36"/>
      <c r="Q75" s="36"/>
      <c r="R75" s="193">
        <f>SUM(C75:Q75)</f>
        <v>0</v>
      </c>
    </row>
    <row r="76" ht="20.15" customHeight="1" spans="1:18">
      <c r="A76" s="33" t="s">
        <v>42</v>
      </c>
      <c r="B76" s="36" t="s">
        <v>68</v>
      </c>
      <c r="C76" s="124"/>
      <c r="D76" s="124"/>
      <c r="E76" s="36"/>
      <c r="F76" s="36"/>
      <c r="G76" s="36"/>
      <c r="H76" s="36"/>
      <c r="I76" s="36"/>
      <c r="J76" s="36"/>
      <c r="K76" s="36"/>
      <c r="L76" s="36"/>
      <c r="M76" s="36"/>
      <c r="N76" s="36"/>
      <c r="O76" s="36"/>
      <c r="P76" s="36"/>
      <c r="Q76" s="36"/>
      <c r="R76" s="193"/>
    </row>
    <row r="77" ht="20.15" customHeight="1" spans="1:18">
      <c r="A77" s="44"/>
      <c r="B77" s="36" t="s">
        <v>70</v>
      </c>
      <c r="C77" s="124"/>
      <c r="D77" s="124"/>
      <c r="E77" s="36"/>
      <c r="F77" s="36"/>
      <c r="G77" s="36"/>
      <c r="H77" s="36"/>
      <c r="I77" s="36"/>
      <c r="J77" s="36"/>
      <c r="K77" s="36"/>
      <c r="L77" s="36"/>
      <c r="M77" s="36"/>
      <c r="N77" s="36"/>
      <c r="O77" s="36"/>
      <c r="P77" s="36"/>
      <c r="Q77" s="36"/>
      <c r="R77" s="193">
        <f>SUM(C77:Q77)</f>
        <v>0</v>
      </c>
    </row>
    <row r="78" ht="20.15" customHeight="1" spans="1:18">
      <c r="A78" s="46" t="s">
        <v>72</v>
      </c>
      <c r="B78" s="47"/>
      <c r="C78" s="47"/>
      <c r="D78" s="47"/>
      <c r="E78" s="47"/>
      <c r="F78" s="47"/>
      <c r="G78" s="47"/>
      <c r="H78" s="47"/>
      <c r="I78" s="47"/>
      <c r="J78" s="47"/>
      <c r="K78" s="47"/>
      <c r="L78" s="47"/>
      <c r="M78" s="47"/>
      <c r="N78" s="47"/>
      <c r="O78" s="47"/>
      <c r="P78" s="47"/>
      <c r="Q78" s="48"/>
      <c r="R78" s="193">
        <f>SUM(R65:R77)</f>
        <v>100</v>
      </c>
    </row>
    <row r="79" ht="15" customHeight="1" spans="1:18">
      <c r="A79" s="81"/>
      <c r="B79" s="81"/>
      <c r="C79" s="81"/>
      <c r="D79" s="81"/>
      <c r="E79" s="81"/>
      <c r="F79" s="81"/>
      <c r="G79" s="81"/>
      <c r="H79" s="81"/>
      <c r="I79" s="81"/>
      <c r="J79" s="81"/>
      <c r="K79" s="81"/>
      <c r="L79" s="81"/>
      <c r="M79" s="81"/>
      <c r="N79" s="81"/>
      <c r="O79" s="81"/>
      <c r="P79" s="81"/>
      <c r="Q79" s="81"/>
      <c r="R79" s="194"/>
    </row>
    <row r="80" ht="20.15" customHeight="1" spans="1:18">
      <c r="A80" s="179" t="s">
        <v>73</v>
      </c>
      <c r="Q80" s="194"/>
      <c r="R80" s="194"/>
    </row>
    <row r="81" ht="20.15" customHeight="1" spans="1:1">
      <c r="A81" s="179" t="s">
        <v>74</v>
      </c>
    </row>
    <row r="82" ht="15" customHeight="1"/>
    <row r="83" ht="15" customHeight="1" spans="1:17">
      <c r="A83" s="32" t="s">
        <v>75</v>
      </c>
      <c r="B83" s="32"/>
      <c r="C83" s="32"/>
      <c r="D83" s="32"/>
      <c r="E83" s="32"/>
      <c r="F83" s="32"/>
      <c r="G83" s="32"/>
      <c r="H83" s="32"/>
      <c r="I83" s="32"/>
      <c r="J83" s="32"/>
      <c r="K83" s="147"/>
      <c r="L83" s="147"/>
      <c r="M83" s="147"/>
      <c r="N83" s="147"/>
      <c r="O83" s="147"/>
      <c r="P83" s="147"/>
      <c r="Q83" s="147"/>
    </row>
    <row r="84" ht="15" customHeight="1" spans="1:15">
      <c r="A84" s="33" t="s">
        <v>76</v>
      </c>
      <c r="B84" s="33"/>
      <c r="C84" s="33"/>
      <c r="D84" s="33" t="s">
        <v>77</v>
      </c>
      <c r="E84" s="33"/>
      <c r="F84" s="33"/>
      <c r="G84" s="33"/>
      <c r="H84" s="33"/>
      <c r="I84" s="33" t="s">
        <v>78</v>
      </c>
      <c r="J84" s="33"/>
      <c r="K84" s="33"/>
      <c r="L84" s="185" t="s">
        <v>79</v>
      </c>
      <c r="M84" s="186"/>
      <c r="N84" s="186"/>
      <c r="O84" s="186"/>
    </row>
    <row r="85" ht="15" customHeight="1" spans="1:15">
      <c r="A85" s="33" t="s">
        <v>29</v>
      </c>
      <c r="B85" s="33"/>
      <c r="C85" s="33"/>
      <c r="D85" s="33" t="s">
        <v>65</v>
      </c>
      <c r="E85" s="33" t="s">
        <v>56</v>
      </c>
      <c r="F85" s="33" t="str">
        <f>$E$24</f>
        <v>平时作业</v>
      </c>
      <c r="G85" s="33"/>
      <c r="H85" s="33"/>
      <c r="I85" s="187">
        <f>100*E25</f>
        <v>40</v>
      </c>
      <c r="J85" s="187"/>
      <c r="K85" s="187"/>
      <c r="L85" s="188" t="s">
        <v>80</v>
      </c>
      <c r="M85" s="189"/>
      <c r="N85" s="189"/>
      <c r="O85" s="189"/>
    </row>
    <row r="86" ht="47.15" customHeight="1" spans="1:15">
      <c r="A86" s="33"/>
      <c r="B86" s="33"/>
      <c r="C86" s="33"/>
      <c r="D86" s="33"/>
      <c r="E86" s="33"/>
      <c r="F86" s="33" t="str">
        <f>$I$24</f>
        <v>实验考核</v>
      </c>
      <c r="G86" s="33"/>
      <c r="H86" s="33"/>
      <c r="I86" s="187">
        <f>100*I25</f>
        <v>0</v>
      </c>
      <c r="J86" s="187"/>
      <c r="K86" s="187"/>
      <c r="L86" s="188"/>
      <c r="M86" s="189"/>
      <c r="N86" s="189"/>
      <c r="O86" s="189"/>
    </row>
    <row r="87" ht="54" customHeight="1" spans="1:15">
      <c r="A87" s="33"/>
      <c r="B87" s="33"/>
      <c r="C87" s="33"/>
      <c r="D87" s="33"/>
      <c r="E87" s="33"/>
      <c r="F87" s="33">
        <f>$L$24</f>
        <v>0</v>
      </c>
      <c r="G87" s="33"/>
      <c r="H87" s="33"/>
      <c r="I87" s="187">
        <f>100*L25</f>
        <v>0</v>
      </c>
      <c r="J87" s="187"/>
      <c r="K87" s="187"/>
      <c r="L87" s="188"/>
      <c r="M87" s="189"/>
      <c r="N87" s="189"/>
      <c r="O87" s="189"/>
    </row>
    <row r="88" ht="30" customHeight="1" spans="1:15">
      <c r="A88" s="33"/>
      <c r="B88" s="33"/>
      <c r="C88" s="33"/>
      <c r="D88" s="33"/>
      <c r="E88" s="33"/>
      <c r="F88" s="33">
        <f>$O$24</f>
        <v>0</v>
      </c>
      <c r="G88" s="33"/>
      <c r="H88" s="33"/>
      <c r="I88" s="187">
        <f>100*O25</f>
        <v>0</v>
      </c>
      <c r="J88" s="187"/>
      <c r="K88" s="187"/>
      <c r="L88" s="188"/>
      <c r="M88" s="189"/>
      <c r="N88" s="189"/>
      <c r="O88" s="189"/>
    </row>
    <row r="89" ht="15" customHeight="1" spans="1:18">
      <c r="A89" s="33"/>
      <c r="B89" s="33"/>
      <c r="C89" s="33"/>
      <c r="D89" s="33"/>
      <c r="E89" s="33" t="s">
        <v>57</v>
      </c>
      <c r="F89" s="33"/>
      <c r="G89" s="33"/>
      <c r="H89" s="33"/>
      <c r="I89" s="187">
        <f>R65</f>
        <v>36</v>
      </c>
      <c r="J89" s="187"/>
      <c r="K89" s="187"/>
      <c r="L89" s="190" t="s">
        <v>81</v>
      </c>
      <c r="M89" s="191"/>
      <c r="N89" s="191"/>
      <c r="O89" s="191"/>
      <c r="P89" s="191"/>
      <c r="Q89" s="191"/>
      <c r="R89" s="191"/>
    </row>
    <row r="90" ht="15" customHeight="1" spans="1:11">
      <c r="A90" s="33"/>
      <c r="B90" s="33"/>
      <c r="C90" s="33"/>
      <c r="D90" s="33" t="s">
        <v>66</v>
      </c>
      <c r="E90" s="33"/>
      <c r="F90" s="33"/>
      <c r="G90" s="33"/>
      <c r="H90" s="33"/>
      <c r="I90" s="187">
        <v>1</v>
      </c>
      <c r="J90" s="187"/>
      <c r="K90" s="187"/>
    </row>
    <row r="91" ht="15" customHeight="1" spans="1:15">
      <c r="A91" s="33" t="s">
        <v>32</v>
      </c>
      <c r="B91" s="33"/>
      <c r="C91" s="33"/>
      <c r="D91" s="33" t="s">
        <v>65</v>
      </c>
      <c r="E91" s="33" t="s">
        <v>56</v>
      </c>
      <c r="F91" s="33" t="str">
        <f>$E$24</f>
        <v>平时作业</v>
      </c>
      <c r="G91" s="33"/>
      <c r="H91" s="33"/>
      <c r="I91" s="187">
        <f>100*E26</f>
        <v>60</v>
      </c>
      <c r="J91" s="187"/>
      <c r="K91" s="187"/>
      <c r="L91" s="188" t="s">
        <v>80</v>
      </c>
      <c r="M91" s="189"/>
      <c r="N91" s="189"/>
      <c r="O91" s="189"/>
    </row>
    <row r="92" ht="47.15" customHeight="1" spans="1:15">
      <c r="A92" s="33"/>
      <c r="B92" s="33"/>
      <c r="C92" s="33"/>
      <c r="D92" s="33"/>
      <c r="E92" s="33"/>
      <c r="F92" s="33" t="str">
        <f>$I$24</f>
        <v>实验考核</v>
      </c>
      <c r="G92" s="33"/>
      <c r="H92" s="33"/>
      <c r="I92" s="187">
        <f>100*I26</f>
        <v>0</v>
      </c>
      <c r="J92" s="187"/>
      <c r="K92" s="187"/>
      <c r="L92" s="188"/>
      <c r="M92" s="189"/>
      <c r="N92" s="189"/>
      <c r="O92" s="189"/>
    </row>
    <row r="93" ht="54" customHeight="1" spans="1:15">
      <c r="A93" s="33"/>
      <c r="B93" s="33"/>
      <c r="C93" s="33"/>
      <c r="D93" s="33"/>
      <c r="E93" s="33"/>
      <c r="F93" s="33">
        <f>$L$24</f>
        <v>0</v>
      </c>
      <c r="G93" s="33"/>
      <c r="H93" s="33"/>
      <c r="I93" s="187">
        <f>100*L26</f>
        <v>0</v>
      </c>
      <c r="J93" s="187"/>
      <c r="K93" s="187"/>
      <c r="L93" s="188"/>
      <c r="M93" s="189"/>
      <c r="N93" s="189"/>
      <c r="O93" s="189"/>
    </row>
    <row r="94" ht="30" customHeight="1" spans="1:15">
      <c r="A94" s="33"/>
      <c r="B94" s="33"/>
      <c r="C94" s="33"/>
      <c r="D94" s="33"/>
      <c r="E94" s="33"/>
      <c r="F94" s="33">
        <f>$O$24</f>
        <v>0</v>
      </c>
      <c r="G94" s="33"/>
      <c r="H94" s="33"/>
      <c r="I94" s="187">
        <f>100*O26</f>
        <v>0</v>
      </c>
      <c r="J94" s="187"/>
      <c r="K94" s="187"/>
      <c r="L94" s="188"/>
      <c r="M94" s="189"/>
      <c r="N94" s="189"/>
      <c r="O94" s="189"/>
    </row>
    <row r="95" ht="15" customHeight="1" spans="1:18">
      <c r="A95" s="33"/>
      <c r="B95" s="33"/>
      <c r="C95" s="33"/>
      <c r="D95" s="33"/>
      <c r="E95" s="33" t="s">
        <v>57</v>
      </c>
      <c r="F95" s="33"/>
      <c r="G95" s="33"/>
      <c r="H95" s="33"/>
      <c r="I95" s="187">
        <f>R67</f>
        <v>30</v>
      </c>
      <c r="J95" s="187"/>
      <c r="K95" s="187"/>
      <c r="L95" s="190" t="s">
        <v>81</v>
      </c>
      <c r="M95" s="191"/>
      <c r="N95" s="191"/>
      <c r="O95" s="191"/>
      <c r="P95" s="191"/>
      <c r="Q95" s="191"/>
      <c r="R95" s="191"/>
    </row>
    <row r="96" ht="15" customHeight="1" spans="1:11">
      <c r="A96" s="33"/>
      <c r="B96" s="33"/>
      <c r="C96" s="33"/>
      <c r="D96" s="33" t="s">
        <v>66</v>
      </c>
      <c r="E96" s="33"/>
      <c r="F96" s="33"/>
      <c r="G96" s="33"/>
      <c r="H96" s="33"/>
      <c r="I96" s="187">
        <v>1</v>
      </c>
      <c r="J96" s="187"/>
      <c r="K96" s="187"/>
    </row>
    <row r="97" ht="15" customHeight="1" spans="1:15">
      <c r="A97" s="33" t="s">
        <v>35</v>
      </c>
      <c r="B97" s="33"/>
      <c r="C97" s="33"/>
      <c r="D97" s="33" t="s">
        <v>65</v>
      </c>
      <c r="E97" s="33" t="s">
        <v>56</v>
      </c>
      <c r="F97" s="33" t="str">
        <f>$E$24</f>
        <v>平时作业</v>
      </c>
      <c r="G97" s="33"/>
      <c r="H97" s="33"/>
      <c r="I97" s="187">
        <f>100*E27</f>
        <v>0</v>
      </c>
      <c r="J97" s="187"/>
      <c r="K97" s="187"/>
      <c r="L97" s="188" t="s">
        <v>80</v>
      </c>
      <c r="M97" s="189"/>
      <c r="N97" s="189"/>
      <c r="O97" s="189"/>
    </row>
    <row r="98" ht="47.15" customHeight="1" spans="1:15">
      <c r="A98" s="33"/>
      <c r="B98" s="33"/>
      <c r="C98" s="33"/>
      <c r="D98" s="33"/>
      <c r="E98" s="33"/>
      <c r="F98" s="33" t="str">
        <f>$I$24</f>
        <v>实验考核</v>
      </c>
      <c r="G98" s="33"/>
      <c r="H98" s="33"/>
      <c r="I98" s="187">
        <f>100*I27</f>
        <v>0</v>
      </c>
      <c r="J98" s="187"/>
      <c r="K98" s="187"/>
      <c r="L98" s="188"/>
      <c r="M98" s="189"/>
      <c r="N98" s="189"/>
      <c r="O98" s="189"/>
    </row>
    <row r="99" ht="54" customHeight="1" spans="1:15">
      <c r="A99" s="33"/>
      <c r="B99" s="33"/>
      <c r="C99" s="33"/>
      <c r="D99" s="33"/>
      <c r="E99" s="33"/>
      <c r="F99" s="33">
        <f>$L$24</f>
        <v>0</v>
      </c>
      <c r="G99" s="33"/>
      <c r="H99" s="33"/>
      <c r="I99" s="187">
        <f>100*L27</f>
        <v>0</v>
      </c>
      <c r="J99" s="187"/>
      <c r="K99" s="187"/>
      <c r="L99" s="188"/>
      <c r="M99" s="189"/>
      <c r="N99" s="189"/>
      <c r="O99" s="189"/>
    </row>
    <row r="100" ht="30" customHeight="1" spans="1:15">
      <c r="A100" s="33"/>
      <c r="B100" s="33"/>
      <c r="C100" s="33"/>
      <c r="D100" s="33"/>
      <c r="E100" s="33"/>
      <c r="F100" s="33">
        <f>$O$24</f>
        <v>0</v>
      </c>
      <c r="G100" s="33"/>
      <c r="H100" s="33"/>
      <c r="I100" s="187">
        <f>100*O27</f>
        <v>0</v>
      </c>
      <c r="J100" s="187"/>
      <c r="K100" s="187"/>
      <c r="L100" s="188"/>
      <c r="M100" s="189"/>
      <c r="N100" s="189"/>
      <c r="O100" s="189"/>
    </row>
    <row r="101" ht="15" customHeight="1" spans="1:18">
      <c r="A101" s="33"/>
      <c r="B101" s="33"/>
      <c r="C101" s="33"/>
      <c r="D101" s="33"/>
      <c r="E101" s="33" t="s">
        <v>57</v>
      </c>
      <c r="F101" s="33"/>
      <c r="G101" s="33"/>
      <c r="H101" s="33"/>
      <c r="I101" s="187">
        <f>R69</f>
        <v>34</v>
      </c>
      <c r="J101" s="187"/>
      <c r="K101" s="187"/>
      <c r="L101" s="190" t="s">
        <v>81</v>
      </c>
      <c r="M101" s="191"/>
      <c r="N101" s="191"/>
      <c r="O101" s="191"/>
      <c r="P101" s="191"/>
      <c r="Q101" s="191"/>
      <c r="R101" s="191"/>
    </row>
    <row r="102" ht="15" customHeight="1" spans="1:11">
      <c r="A102" s="33"/>
      <c r="B102" s="33"/>
      <c r="C102" s="33"/>
      <c r="D102" s="33" t="s">
        <v>66</v>
      </c>
      <c r="E102" s="33"/>
      <c r="F102" s="33"/>
      <c r="G102" s="33"/>
      <c r="H102" s="33"/>
      <c r="I102" s="187">
        <v>1</v>
      </c>
      <c r="J102" s="187"/>
      <c r="K102" s="187"/>
    </row>
    <row r="103" ht="15" customHeight="1" spans="1:15">
      <c r="A103" s="33" t="s">
        <v>38</v>
      </c>
      <c r="B103" s="33"/>
      <c r="C103" s="33"/>
      <c r="D103" s="33" t="s">
        <v>65</v>
      </c>
      <c r="E103" s="33" t="s">
        <v>56</v>
      </c>
      <c r="F103" s="33" t="str">
        <f>$E$24</f>
        <v>平时作业</v>
      </c>
      <c r="G103" s="33"/>
      <c r="H103" s="33"/>
      <c r="I103" s="187">
        <f>100*E28</f>
        <v>0</v>
      </c>
      <c r="J103" s="187"/>
      <c r="K103" s="187"/>
      <c r="L103" s="188" t="s">
        <v>80</v>
      </c>
      <c r="M103" s="189"/>
      <c r="N103" s="189"/>
      <c r="O103" s="189"/>
    </row>
    <row r="104" ht="47.15" customHeight="1" spans="1:15">
      <c r="A104" s="33"/>
      <c r="B104" s="33"/>
      <c r="C104" s="33"/>
      <c r="D104" s="33"/>
      <c r="E104" s="33"/>
      <c r="F104" s="33" t="str">
        <f>$I$24</f>
        <v>实验考核</v>
      </c>
      <c r="G104" s="33"/>
      <c r="H104" s="33"/>
      <c r="I104" s="187">
        <f>100*I28</f>
        <v>100</v>
      </c>
      <c r="J104" s="187"/>
      <c r="K104" s="187"/>
      <c r="L104" s="188"/>
      <c r="M104" s="189"/>
      <c r="N104" s="189"/>
      <c r="O104" s="189"/>
    </row>
    <row r="105" ht="54" customHeight="1" spans="1:15">
      <c r="A105" s="33"/>
      <c r="B105" s="33"/>
      <c r="C105" s="33"/>
      <c r="D105" s="33"/>
      <c r="E105" s="33"/>
      <c r="F105" s="33">
        <f>$L$24</f>
        <v>0</v>
      </c>
      <c r="G105" s="33"/>
      <c r="H105" s="33"/>
      <c r="I105" s="187">
        <f>100*L28</f>
        <v>0</v>
      </c>
      <c r="J105" s="187"/>
      <c r="K105" s="187"/>
      <c r="L105" s="188"/>
      <c r="M105" s="189"/>
      <c r="N105" s="189"/>
      <c r="O105" s="189"/>
    </row>
    <row r="106" ht="30" customHeight="1" spans="1:15">
      <c r="A106" s="33"/>
      <c r="B106" s="33"/>
      <c r="C106" s="33"/>
      <c r="D106" s="33"/>
      <c r="E106" s="33"/>
      <c r="F106" s="33">
        <f>$O$24</f>
        <v>0</v>
      </c>
      <c r="G106" s="33"/>
      <c r="H106" s="33"/>
      <c r="I106" s="187">
        <f>100*O28</f>
        <v>0</v>
      </c>
      <c r="J106" s="187"/>
      <c r="K106" s="187"/>
      <c r="L106" s="188"/>
      <c r="M106" s="189"/>
      <c r="N106" s="189"/>
      <c r="O106" s="189"/>
    </row>
    <row r="107" ht="15" customHeight="1" spans="1:18">
      <c r="A107" s="33"/>
      <c r="B107" s="33"/>
      <c r="C107" s="33"/>
      <c r="D107" s="33"/>
      <c r="E107" s="33" t="s">
        <v>57</v>
      </c>
      <c r="F107" s="33"/>
      <c r="G107" s="33"/>
      <c r="H107" s="33"/>
      <c r="I107" s="187">
        <f>R71</f>
        <v>0</v>
      </c>
      <c r="J107" s="187"/>
      <c r="K107" s="187"/>
      <c r="L107" s="190" t="s">
        <v>81</v>
      </c>
      <c r="M107" s="191"/>
      <c r="N107" s="191"/>
      <c r="O107" s="191"/>
      <c r="P107" s="191"/>
      <c r="Q107" s="191"/>
      <c r="R107" s="191"/>
    </row>
    <row r="108" ht="15" customHeight="1" spans="1:11">
      <c r="A108" s="33"/>
      <c r="B108" s="33"/>
      <c r="C108" s="33"/>
      <c r="D108" s="33" t="s">
        <v>66</v>
      </c>
      <c r="E108" s="33"/>
      <c r="F108" s="33"/>
      <c r="G108" s="33"/>
      <c r="H108" s="33"/>
      <c r="I108" s="187">
        <v>1</v>
      </c>
      <c r="J108" s="187"/>
      <c r="K108" s="187"/>
    </row>
    <row r="109" ht="15" customHeight="1" spans="1:15">
      <c r="A109" s="33" t="s">
        <v>40</v>
      </c>
      <c r="B109" s="33"/>
      <c r="C109" s="33"/>
      <c r="D109" s="33" t="s">
        <v>65</v>
      </c>
      <c r="E109" s="33" t="s">
        <v>56</v>
      </c>
      <c r="F109" s="33" t="str">
        <f>$E$24</f>
        <v>平时作业</v>
      </c>
      <c r="G109" s="33"/>
      <c r="H109" s="33"/>
      <c r="I109" s="187">
        <f>100*E29</f>
        <v>0</v>
      </c>
      <c r="J109" s="187"/>
      <c r="K109" s="187"/>
      <c r="L109" s="188" t="s">
        <v>80</v>
      </c>
      <c r="M109" s="189"/>
      <c r="N109" s="189"/>
      <c r="O109" s="189"/>
    </row>
    <row r="110" ht="47.15" customHeight="1" spans="1:15">
      <c r="A110" s="33"/>
      <c r="B110" s="33"/>
      <c r="C110" s="33"/>
      <c r="D110" s="33"/>
      <c r="E110" s="33"/>
      <c r="F110" s="33" t="str">
        <f>$I$24</f>
        <v>实验考核</v>
      </c>
      <c r="G110" s="33"/>
      <c r="H110" s="33"/>
      <c r="I110" s="187">
        <f>100*I29</f>
        <v>0</v>
      </c>
      <c r="J110" s="187"/>
      <c r="K110" s="187"/>
      <c r="L110" s="188"/>
      <c r="M110" s="189"/>
      <c r="N110" s="189"/>
      <c r="O110" s="189"/>
    </row>
    <row r="111" ht="54" customHeight="1" spans="1:15">
      <c r="A111" s="33"/>
      <c r="B111" s="33"/>
      <c r="C111" s="33"/>
      <c r="D111" s="33"/>
      <c r="E111" s="33"/>
      <c r="F111" s="33">
        <f>$L$24</f>
        <v>0</v>
      </c>
      <c r="G111" s="33"/>
      <c r="H111" s="33"/>
      <c r="I111" s="187">
        <f>100*L29</f>
        <v>0</v>
      </c>
      <c r="J111" s="187"/>
      <c r="K111" s="187"/>
      <c r="L111" s="188"/>
      <c r="M111" s="189"/>
      <c r="N111" s="189"/>
      <c r="O111" s="189"/>
    </row>
    <row r="112" ht="30" customHeight="1" spans="1:15">
      <c r="A112" s="33"/>
      <c r="B112" s="33"/>
      <c r="C112" s="33"/>
      <c r="D112" s="33"/>
      <c r="E112" s="33"/>
      <c r="F112" s="33">
        <f>$O$24</f>
        <v>0</v>
      </c>
      <c r="G112" s="33"/>
      <c r="H112" s="33"/>
      <c r="I112" s="187">
        <f>100*O29</f>
        <v>0</v>
      </c>
      <c r="J112" s="187"/>
      <c r="K112" s="187"/>
      <c r="L112" s="188"/>
      <c r="M112" s="189"/>
      <c r="N112" s="189"/>
      <c r="O112" s="189"/>
    </row>
    <row r="113" ht="15" customHeight="1" spans="1:18">
      <c r="A113" s="33"/>
      <c r="B113" s="33"/>
      <c r="C113" s="33"/>
      <c r="D113" s="33"/>
      <c r="E113" s="33" t="s">
        <v>57</v>
      </c>
      <c r="F113" s="33"/>
      <c r="G113" s="33"/>
      <c r="H113" s="33"/>
      <c r="I113" s="187">
        <f>R73</f>
        <v>0</v>
      </c>
      <c r="J113" s="187"/>
      <c r="K113" s="187"/>
      <c r="L113" s="190" t="s">
        <v>81</v>
      </c>
      <c r="M113" s="191"/>
      <c r="N113" s="191"/>
      <c r="O113" s="191"/>
      <c r="P113" s="191"/>
      <c r="Q113" s="191"/>
      <c r="R113" s="191"/>
    </row>
    <row r="114" ht="15" customHeight="1" spans="1:11">
      <c r="A114" s="33"/>
      <c r="B114" s="33"/>
      <c r="C114" s="33"/>
      <c r="D114" s="33" t="s">
        <v>66</v>
      </c>
      <c r="E114" s="33"/>
      <c r="F114" s="33"/>
      <c r="G114" s="33"/>
      <c r="H114" s="33"/>
      <c r="I114" s="187">
        <v>1</v>
      </c>
      <c r="J114" s="187"/>
      <c r="K114" s="187"/>
    </row>
    <row r="115" ht="15" customHeight="1" spans="1:15">
      <c r="A115" s="33" t="s">
        <v>41</v>
      </c>
      <c r="B115" s="33"/>
      <c r="C115" s="33"/>
      <c r="D115" s="33" t="s">
        <v>65</v>
      </c>
      <c r="E115" s="33" t="s">
        <v>56</v>
      </c>
      <c r="F115" s="33" t="str">
        <f>$E$24</f>
        <v>平时作业</v>
      </c>
      <c r="G115" s="33"/>
      <c r="H115" s="33"/>
      <c r="I115" s="187">
        <f>100*E30</f>
        <v>0</v>
      </c>
      <c r="J115" s="187"/>
      <c r="K115" s="187"/>
      <c r="L115" s="188" t="s">
        <v>80</v>
      </c>
      <c r="M115" s="189"/>
      <c r="N115" s="189"/>
      <c r="O115" s="189"/>
    </row>
    <row r="116" ht="47.15" customHeight="1" spans="1:15">
      <c r="A116" s="33"/>
      <c r="B116" s="33"/>
      <c r="C116" s="33"/>
      <c r="D116" s="33"/>
      <c r="E116" s="33"/>
      <c r="F116" s="33" t="str">
        <f>$I$24</f>
        <v>实验考核</v>
      </c>
      <c r="G116" s="33"/>
      <c r="H116" s="33"/>
      <c r="I116" s="187">
        <f>100*I30</f>
        <v>0</v>
      </c>
      <c r="J116" s="187"/>
      <c r="K116" s="187"/>
      <c r="L116" s="188"/>
      <c r="M116" s="189"/>
      <c r="N116" s="189"/>
      <c r="O116" s="189"/>
    </row>
    <row r="117" ht="54" customHeight="1" spans="1:15">
      <c r="A117" s="33"/>
      <c r="B117" s="33"/>
      <c r="C117" s="33"/>
      <c r="D117" s="33"/>
      <c r="E117" s="33"/>
      <c r="F117" s="33">
        <f>$L$24</f>
        <v>0</v>
      </c>
      <c r="G117" s="33"/>
      <c r="H117" s="33"/>
      <c r="I117" s="187">
        <f>100*L30</f>
        <v>0</v>
      </c>
      <c r="J117" s="187"/>
      <c r="K117" s="187"/>
      <c r="L117" s="188"/>
      <c r="M117" s="189"/>
      <c r="N117" s="189"/>
      <c r="O117" s="189"/>
    </row>
    <row r="118" ht="30" customHeight="1" spans="1:15">
      <c r="A118" s="33"/>
      <c r="B118" s="33"/>
      <c r="C118" s="33"/>
      <c r="D118" s="33"/>
      <c r="E118" s="33"/>
      <c r="F118" s="33">
        <f>$O$24</f>
        <v>0</v>
      </c>
      <c r="G118" s="33"/>
      <c r="H118" s="33"/>
      <c r="I118" s="187">
        <f>100*O30</f>
        <v>0</v>
      </c>
      <c r="J118" s="187"/>
      <c r="K118" s="187"/>
      <c r="L118" s="188"/>
      <c r="M118" s="189"/>
      <c r="N118" s="189"/>
      <c r="O118" s="189"/>
    </row>
    <row r="119" ht="15" customHeight="1" spans="1:18">
      <c r="A119" s="33"/>
      <c r="B119" s="33"/>
      <c r="C119" s="33"/>
      <c r="D119" s="33"/>
      <c r="E119" s="33" t="s">
        <v>57</v>
      </c>
      <c r="F119" s="33"/>
      <c r="G119" s="33"/>
      <c r="H119" s="33"/>
      <c r="I119" s="187">
        <f>R75</f>
        <v>0</v>
      </c>
      <c r="J119" s="187"/>
      <c r="K119" s="187"/>
      <c r="L119" s="190" t="s">
        <v>81</v>
      </c>
      <c r="M119" s="191"/>
      <c r="N119" s="191"/>
      <c r="O119" s="191"/>
      <c r="P119" s="191"/>
      <c r="Q119" s="191"/>
      <c r="R119" s="191"/>
    </row>
    <row r="120" ht="15" customHeight="1" spans="1:11">
      <c r="A120" s="33"/>
      <c r="B120" s="33"/>
      <c r="C120" s="33"/>
      <c r="D120" s="33" t="s">
        <v>66</v>
      </c>
      <c r="E120" s="33"/>
      <c r="F120" s="33"/>
      <c r="G120" s="33"/>
      <c r="H120" s="33"/>
      <c r="I120" s="187">
        <v>1</v>
      </c>
      <c r="J120" s="187"/>
      <c r="K120" s="187"/>
    </row>
    <row r="121" ht="15" customHeight="1" spans="1:15">
      <c r="A121" s="33" t="s">
        <v>42</v>
      </c>
      <c r="B121" s="33"/>
      <c r="C121" s="33"/>
      <c r="D121" s="33" t="s">
        <v>65</v>
      </c>
      <c r="E121" s="33" t="s">
        <v>56</v>
      </c>
      <c r="F121" s="33" t="str">
        <f>$E$24</f>
        <v>平时作业</v>
      </c>
      <c r="G121" s="33"/>
      <c r="H121" s="33"/>
      <c r="I121" s="187">
        <f>100*E31</f>
        <v>0</v>
      </c>
      <c r="J121" s="187"/>
      <c r="K121" s="187"/>
      <c r="L121" s="188" t="s">
        <v>80</v>
      </c>
      <c r="M121" s="189"/>
      <c r="N121" s="189"/>
      <c r="O121" s="189"/>
    </row>
    <row r="122" ht="47.15" customHeight="1" spans="1:15">
      <c r="A122" s="33"/>
      <c r="B122" s="33"/>
      <c r="C122" s="33"/>
      <c r="D122" s="33"/>
      <c r="E122" s="33"/>
      <c r="F122" s="33" t="str">
        <f>$I$24</f>
        <v>实验考核</v>
      </c>
      <c r="G122" s="33"/>
      <c r="H122" s="33"/>
      <c r="I122" s="187">
        <f>100*I31</f>
        <v>0</v>
      </c>
      <c r="J122" s="187"/>
      <c r="K122" s="187"/>
      <c r="L122" s="188"/>
      <c r="M122" s="189"/>
      <c r="N122" s="189"/>
      <c r="O122" s="189"/>
    </row>
    <row r="123" ht="54" customHeight="1" spans="1:15">
      <c r="A123" s="33"/>
      <c r="B123" s="33"/>
      <c r="C123" s="33"/>
      <c r="D123" s="33"/>
      <c r="E123" s="33"/>
      <c r="F123" s="33">
        <f>$L$24</f>
        <v>0</v>
      </c>
      <c r="G123" s="33"/>
      <c r="H123" s="33"/>
      <c r="I123" s="187">
        <f>100*L31</f>
        <v>0</v>
      </c>
      <c r="J123" s="187"/>
      <c r="K123" s="187"/>
      <c r="L123" s="188"/>
      <c r="M123" s="189"/>
      <c r="N123" s="189"/>
      <c r="O123" s="189"/>
    </row>
    <row r="124" ht="30" customHeight="1" spans="1:15">
      <c r="A124" s="33"/>
      <c r="B124" s="33"/>
      <c r="C124" s="33"/>
      <c r="D124" s="33"/>
      <c r="E124" s="33"/>
      <c r="F124" s="33">
        <f>$O$24</f>
        <v>0</v>
      </c>
      <c r="G124" s="33"/>
      <c r="H124" s="33"/>
      <c r="I124" s="187">
        <f>100*O31</f>
        <v>0</v>
      </c>
      <c r="J124" s="187"/>
      <c r="K124" s="187"/>
      <c r="L124" s="188"/>
      <c r="M124" s="189"/>
      <c r="N124" s="189"/>
      <c r="O124" s="189"/>
    </row>
    <row r="125" ht="15" customHeight="1" spans="1:18">
      <c r="A125" s="33"/>
      <c r="B125" s="33"/>
      <c r="C125" s="33"/>
      <c r="D125" s="33"/>
      <c r="E125" s="33" t="s">
        <v>57</v>
      </c>
      <c r="F125" s="33"/>
      <c r="G125" s="33"/>
      <c r="H125" s="33"/>
      <c r="I125" s="187">
        <f>R77</f>
        <v>0</v>
      </c>
      <c r="J125" s="187"/>
      <c r="K125" s="187"/>
      <c r="L125" s="190" t="s">
        <v>81</v>
      </c>
      <c r="M125" s="191"/>
      <c r="N125" s="191"/>
      <c r="O125" s="191"/>
      <c r="P125" s="191"/>
      <c r="Q125" s="191"/>
      <c r="R125" s="191"/>
    </row>
    <row r="126" ht="15" customHeight="1" spans="1:11">
      <c r="A126" s="33"/>
      <c r="B126" s="33"/>
      <c r="C126" s="33"/>
      <c r="D126" s="33" t="s">
        <v>66</v>
      </c>
      <c r="E126" s="33"/>
      <c r="F126" s="33"/>
      <c r="G126" s="33"/>
      <c r="H126" s="33"/>
      <c r="I126" s="187">
        <v>1</v>
      </c>
      <c r="J126" s="187"/>
      <c r="K126" s="187"/>
    </row>
    <row r="127" ht="15" customHeight="1" spans="1:11">
      <c r="A127" s="127"/>
      <c r="B127" s="127"/>
      <c r="C127" s="127"/>
      <c r="D127" s="127"/>
      <c r="E127" s="127"/>
      <c r="F127" s="127"/>
      <c r="G127" s="127"/>
      <c r="H127" s="127"/>
      <c r="I127" s="192"/>
      <c r="J127" s="192"/>
      <c r="K127" s="192"/>
    </row>
    <row r="128" ht="20.15" customHeight="1" spans="1:18">
      <c r="A128" s="179" t="s">
        <v>82</v>
      </c>
      <c r="B128" s="180"/>
      <c r="C128" s="180"/>
      <c r="D128" s="180"/>
      <c r="E128" s="180"/>
      <c r="F128" s="180"/>
      <c r="G128" s="180"/>
      <c r="H128" s="180"/>
      <c r="I128" s="180"/>
      <c r="J128" s="180"/>
      <c r="K128" s="180"/>
      <c r="L128" s="170"/>
      <c r="M128" s="170"/>
      <c r="N128" s="170"/>
      <c r="O128" s="170"/>
      <c r="P128" s="170"/>
      <c r="Q128" s="170"/>
      <c r="R128" s="170"/>
    </row>
    <row r="129" ht="15" customHeight="1"/>
    <row r="130" ht="21" customHeight="1" spans="1:17">
      <c r="A130" s="32" t="s">
        <v>83</v>
      </c>
      <c r="B130" s="32"/>
      <c r="C130" s="32"/>
      <c r="D130" s="32"/>
      <c r="E130" s="32"/>
      <c r="F130" s="32"/>
      <c r="G130" s="32"/>
      <c r="H130" s="32"/>
      <c r="I130" s="32"/>
      <c r="J130" s="32"/>
      <c r="K130" s="147"/>
      <c r="L130" s="147"/>
      <c r="M130" s="147"/>
      <c r="N130" s="147"/>
      <c r="O130" s="147"/>
      <c r="P130" s="147"/>
      <c r="Q130" s="147"/>
    </row>
    <row r="131" ht="24" customHeight="1" spans="1:6">
      <c r="A131" s="33" t="s">
        <v>76</v>
      </c>
      <c r="B131" s="33"/>
      <c r="C131" s="33"/>
      <c r="D131" s="50" t="s">
        <v>84</v>
      </c>
      <c r="E131" s="50"/>
      <c r="F131" s="50"/>
    </row>
    <row r="132" ht="24" customHeight="1" spans="1:6">
      <c r="A132" s="33" t="s">
        <v>29</v>
      </c>
      <c r="B132" s="33"/>
      <c r="C132" s="33"/>
      <c r="D132" s="195">
        <v>0.15</v>
      </c>
      <c r="E132" s="195"/>
      <c r="F132" s="195"/>
    </row>
    <row r="133" ht="24" customHeight="1" spans="1:6">
      <c r="A133" s="33" t="s">
        <v>32</v>
      </c>
      <c r="B133" s="33"/>
      <c r="C133" s="33"/>
      <c r="D133" s="195">
        <v>0.3</v>
      </c>
      <c r="E133" s="195"/>
      <c r="F133" s="195"/>
    </row>
    <row r="134" ht="24" customHeight="1" spans="1:6">
      <c r="A134" s="33" t="s">
        <v>35</v>
      </c>
      <c r="B134" s="33"/>
      <c r="C134" s="33"/>
      <c r="D134" s="195">
        <v>0.25</v>
      </c>
      <c r="E134" s="195"/>
      <c r="F134" s="195"/>
    </row>
    <row r="135" ht="20.15" customHeight="1" spans="1:6">
      <c r="A135" s="33" t="s">
        <v>38</v>
      </c>
      <c r="B135" s="33"/>
      <c r="C135" s="33"/>
      <c r="D135" s="195">
        <v>0.3</v>
      </c>
      <c r="E135" s="195"/>
      <c r="F135" s="195"/>
    </row>
    <row r="136" ht="20.15" customHeight="1" spans="1:6">
      <c r="A136" s="33" t="s">
        <v>40</v>
      </c>
      <c r="B136" s="33"/>
      <c r="C136" s="33"/>
      <c r="D136" s="195"/>
      <c r="E136" s="195"/>
      <c r="F136" s="195"/>
    </row>
    <row r="137" ht="20.15" customHeight="1" spans="1:6">
      <c r="A137" s="33" t="s">
        <v>41</v>
      </c>
      <c r="B137" s="33"/>
      <c r="C137" s="33"/>
      <c r="D137" s="195"/>
      <c r="E137" s="195"/>
      <c r="F137" s="195"/>
    </row>
    <row r="138" ht="20.15" customHeight="1" spans="1:6">
      <c r="A138" s="33" t="s">
        <v>42</v>
      </c>
      <c r="B138" s="33"/>
      <c r="C138" s="33"/>
      <c r="D138" s="195"/>
      <c r="E138" s="195"/>
      <c r="F138" s="195"/>
    </row>
    <row r="139" ht="15" customHeight="1" spans="1:5">
      <c r="A139" s="10"/>
      <c r="B139" s="10"/>
      <c r="C139" s="10"/>
      <c r="D139" s="10"/>
      <c r="E139" s="10"/>
    </row>
    <row r="140" ht="20.15" customHeight="1" spans="1:17">
      <c r="A140" s="179" t="s">
        <v>85</v>
      </c>
      <c r="B140" s="179"/>
      <c r="C140" s="179"/>
      <c r="D140" s="179"/>
      <c r="E140" s="179"/>
      <c r="F140" s="179"/>
      <c r="G140" s="179"/>
      <c r="H140" s="179"/>
      <c r="I140" s="179"/>
      <c r="J140" s="179"/>
      <c r="K140" s="179"/>
      <c r="L140" s="179"/>
      <c r="M140" s="179"/>
      <c r="N140" s="179"/>
      <c r="O140" s="179"/>
      <c r="P140" s="179"/>
      <c r="Q140" s="179"/>
    </row>
  </sheetData>
  <mergeCells count="336">
    <mergeCell ref="A1:V1"/>
    <mergeCell ref="A2:R2"/>
    <mergeCell ref="A3:C3"/>
    <mergeCell ref="D3:I3"/>
    <mergeCell ref="J3:L3"/>
    <mergeCell ref="M3:Q3"/>
    <mergeCell ref="A4:C4"/>
    <mergeCell ref="D4:I4"/>
    <mergeCell ref="J4:L4"/>
    <mergeCell ref="M4:Q4"/>
    <mergeCell ref="A5:C5"/>
    <mergeCell ref="D5:I5"/>
    <mergeCell ref="J5:L5"/>
    <mergeCell ref="M5:Q5"/>
    <mergeCell ref="A6:C6"/>
    <mergeCell ref="D6:I6"/>
    <mergeCell ref="J6:L6"/>
    <mergeCell ref="M6:Q6"/>
    <mergeCell ref="A7:C7"/>
    <mergeCell ref="D7:I7"/>
    <mergeCell ref="J7:L7"/>
    <mergeCell ref="M7:Q7"/>
    <mergeCell ref="A8:C8"/>
    <mergeCell ref="D8:I8"/>
    <mergeCell ref="J8:L8"/>
    <mergeCell ref="M8:Q8"/>
    <mergeCell ref="A10:R10"/>
    <mergeCell ref="A11:D11"/>
    <mergeCell ref="E11:O11"/>
    <mergeCell ref="P11:R11"/>
    <mergeCell ref="B12:D12"/>
    <mergeCell ref="E12:O12"/>
    <mergeCell ref="P12:R12"/>
    <mergeCell ref="B13:D13"/>
    <mergeCell ref="E13:O13"/>
    <mergeCell ref="P13:R13"/>
    <mergeCell ref="B14:D14"/>
    <mergeCell ref="E14:O14"/>
    <mergeCell ref="P14:R14"/>
    <mergeCell ref="B15:D15"/>
    <mergeCell ref="E15:O15"/>
    <mergeCell ref="P15:R15"/>
    <mergeCell ref="B16:D16"/>
    <mergeCell ref="E16:O16"/>
    <mergeCell ref="P16:R16"/>
    <mergeCell ref="B17:D17"/>
    <mergeCell ref="E17:O17"/>
    <mergeCell ref="P17:R17"/>
    <mergeCell ref="B18:D18"/>
    <mergeCell ref="E18:O18"/>
    <mergeCell ref="P18:R18"/>
    <mergeCell ref="A20:T20"/>
    <mergeCell ref="A22:L22"/>
    <mergeCell ref="A23:J23"/>
    <mergeCell ref="A24:D24"/>
    <mergeCell ref="E24:H24"/>
    <mergeCell ref="I24:K24"/>
    <mergeCell ref="L24:N24"/>
    <mergeCell ref="O24:Q24"/>
    <mergeCell ref="S24:V24"/>
    <mergeCell ref="A25:D25"/>
    <mergeCell ref="E25:H25"/>
    <mergeCell ref="I25:K25"/>
    <mergeCell ref="L25:N25"/>
    <mergeCell ref="O25:Q25"/>
    <mergeCell ref="A26:D26"/>
    <mergeCell ref="E26:H26"/>
    <mergeCell ref="I26:K26"/>
    <mergeCell ref="L26:N26"/>
    <mergeCell ref="O26:Q26"/>
    <mergeCell ref="A27:D27"/>
    <mergeCell ref="E27:H27"/>
    <mergeCell ref="I27:K27"/>
    <mergeCell ref="L27:N27"/>
    <mergeCell ref="O27:Q27"/>
    <mergeCell ref="A28:D28"/>
    <mergeCell ref="E28:H28"/>
    <mergeCell ref="I28:K28"/>
    <mergeCell ref="L28:N28"/>
    <mergeCell ref="O28:Q28"/>
    <mergeCell ref="A29:D29"/>
    <mergeCell ref="E29:H29"/>
    <mergeCell ref="I29:K29"/>
    <mergeCell ref="L29:N29"/>
    <mergeCell ref="O29:Q29"/>
    <mergeCell ref="A30:D30"/>
    <mergeCell ref="E30:H30"/>
    <mergeCell ref="I30:K30"/>
    <mergeCell ref="L30:N30"/>
    <mergeCell ref="O30:Q30"/>
    <mergeCell ref="A31:D31"/>
    <mergeCell ref="E31:H31"/>
    <mergeCell ref="I31:K31"/>
    <mergeCell ref="L31:N31"/>
    <mergeCell ref="O31:Q31"/>
    <mergeCell ref="A32:D32"/>
    <mergeCell ref="E32:Q32"/>
    <mergeCell ref="R32:V32"/>
    <mergeCell ref="A33:J33"/>
    <mergeCell ref="A34:D34"/>
    <mergeCell ref="E34:H34"/>
    <mergeCell ref="I34:L34"/>
    <mergeCell ref="M34:O34"/>
    <mergeCell ref="A35:D35"/>
    <mergeCell ref="E35:H35"/>
    <mergeCell ref="I35:L35"/>
    <mergeCell ref="A36:D36"/>
    <mergeCell ref="E36:H36"/>
    <mergeCell ref="I36:L36"/>
    <mergeCell ref="A37:D37"/>
    <mergeCell ref="E37:H37"/>
    <mergeCell ref="I37:L37"/>
    <mergeCell ref="A38:D38"/>
    <mergeCell ref="E38:H38"/>
    <mergeCell ref="I38:L38"/>
    <mergeCell ref="A39:D39"/>
    <mergeCell ref="E39:H39"/>
    <mergeCell ref="I39:L39"/>
    <mergeCell ref="A40:D40"/>
    <mergeCell ref="E40:H40"/>
    <mergeCell ref="I40:L40"/>
    <mergeCell ref="A41:D41"/>
    <mergeCell ref="E41:H41"/>
    <mergeCell ref="I41:L41"/>
    <mergeCell ref="A43:J43"/>
    <mergeCell ref="A44:D44"/>
    <mergeCell ref="E44:H44"/>
    <mergeCell ref="I44:M44"/>
    <mergeCell ref="N44:Q44"/>
    <mergeCell ref="A45:D45"/>
    <mergeCell ref="E45:H45"/>
    <mergeCell ref="I45:M45"/>
    <mergeCell ref="A46:D46"/>
    <mergeCell ref="E46:H46"/>
    <mergeCell ref="I46:M46"/>
    <mergeCell ref="A47:D47"/>
    <mergeCell ref="E47:H47"/>
    <mergeCell ref="I47:M47"/>
    <mergeCell ref="A48:D48"/>
    <mergeCell ref="E48:H48"/>
    <mergeCell ref="I48:M48"/>
    <mergeCell ref="A49:D49"/>
    <mergeCell ref="E49:H49"/>
    <mergeCell ref="I49:M49"/>
    <mergeCell ref="A50:D50"/>
    <mergeCell ref="E50:H50"/>
    <mergeCell ref="I50:M50"/>
    <mergeCell ref="A51:D51"/>
    <mergeCell ref="E51:H51"/>
    <mergeCell ref="I51:M51"/>
    <mergeCell ref="A53:J53"/>
    <mergeCell ref="A54:D54"/>
    <mergeCell ref="E54:H54"/>
    <mergeCell ref="I54:L54"/>
    <mergeCell ref="M54:O54"/>
    <mergeCell ref="A55:D55"/>
    <mergeCell ref="E55:H55"/>
    <mergeCell ref="I55:L55"/>
    <mergeCell ref="A56:D56"/>
    <mergeCell ref="E56:H56"/>
    <mergeCell ref="I56:L56"/>
    <mergeCell ref="A57:D57"/>
    <mergeCell ref="E57:H57"/>
    <mergeCell ref="I57:L57"/>
    <mergeCell ref="A58:D58"/>
    <mergeCell ref="E58:H58"/>
    <mergeCell ref="I58:L58"/>
    <mergeCell ref="A59:D59"/>
    <mergeCell ref="E59:H59"/>
    <mergeCell ref="I59:L59"/>
    <mergeCell ref="A60:D60"/>
    <mergeCell ref="E60:H60"/>
    <mergeCell ref="I60:L60"/>
    <mergeCell ref="A61:D61"/>
    <mergeCell ref="E61:H61"/>
    <mergeCell ref="I61:L61"/>
    <mergeCell ref="A63:R63"/>
    <mergeCell ref="A78:Q78"/>
    <mergeCell ref="A80:P80"/>
    <mergeCell ref="A81:M81"/>
    <mergeCell ref="A83:J83"/>
    <mergeCell ref="A84:C84"/>
    <mergeCell ref="D84:H84"/>
    <mergeCell ref="I84:K84"/>
    <mergeCell ref="L84:O84"/>
    <mergeCell ref="F85:H85"/>
    <mergeCell ref="I85:K85"/>
    <mergeCell ref="F86:H86"/>
    <mergeCell ref="I86:K86"/>
    <mergeCell ref="F87:H87"/>
    <mergeCell ref="I87:K87"/>
    <mergeCell ref="F88:H88"/>
    <mergeCell ref="I88:K88"/>
    <mergeCell ref="E89:H89"/>
    <mergeCell ref="I89:K89"/>
    <mergeCell ref="L89:R89"/>
    <mergeCell ref="D90:H90"/>
    <mergeCell ref="I90:K90"/>
    <mergeCell ref="F91:H91"/>
    <mergeCell ref="I91:K91"/>
    <mergeCell ref="F92:H92"/>
    <mergeCell ref="I92:K92"/>
    <mergeCell ref="F93:H93"/>
    <mergeCell ref="I93:K93"/>
    <mergeCell ref="F94:H94"/>
    <mergeCell ref="I94:K94"/>
    <mergeCell ref="E95:H95"/>
    <mergeCell ref="I95:K95"/>
    <mergeCell ref="L95:R95"/>
    <mergeCell ref="D96:H96"/>
    <mergeCell ref="I96:K96"/>
    <mergeCell ref="F97:H97"/>
    <mergeCell ref="I97:K97"/>
    <mergeCell ref="F98:H98"/>
    <mergeCell ref="I98:K98"/>
    <mergeCell ref="F99:H99"/>
    <mergeCell ref="I99:K99"/>
    <mergeCell ref="F100:H100"/>
    <mergeCell ref="I100:K100"/>
    <mergeCell ref="E101:H101"/>
    <mergeCell ref="I101:K101"/>
    <mergeCell ref="L101:R101"/>
    <mergeCell ref="D102:H102"/>
    <mergeCell ref="I102:K102"/>
    <mergeCell ref="F103:H103"/>
    <mergeCell ref="I103:K103"/>
    <mergeCell ref="F104:H104"/>
    <mergeCell ref="I104:K104"/>
    <mergeCell ref="F105:H105"/>
    <mergeCell ref="I105:K105"/>
    <mergeCell ref="F106:H106"/>
    <mergeCell ref="I106:K106"/>
    <mergeCell ref="E107:H107"/>
    <mergeCell ref="I107:K107"/>
    <mergeCell ref="L107:R107"/>
    <mergeCell ref="D108:H108"/>
    <mergeCell ref="I108:K108"/>
    <mergeCell ref="F109:H109"/>
    <mergeCell ref="I109:K109"/>
    <mergeCell ref="F110:H110"/>
    <mergeCell ref="I110:K110"/>
    <mergeCell ref="F111:H111"/>
    <mergeCell ref="I111:K111"/>
    <mergeCell ref="F112:H112"/>
    <mergeCell ref="I112:K112"/>
    <mergeCell ref="E113:H113"/>
    <mergeCell ref="I113:K113"/>
    <mergeCell ref="L113:R113"/>
    <mergeCell ref="D114:H114"/>
    <mergeCell ref="I114:K114"/>
    <mergeCell ref="F115:H115"/>
    <mergeCell ref="I115:K115"/>
    <mergeCell ref="F116:H116"/>
    <mergeCell ref="I116:K116"/>
    <mergeCell ref="F117:H117"/>
    <mergeCell ref="I117:K117"/>
    <mergeCell ref="F118:H118"/>
    <mergeCell ref="I118:K118"/>
    <mergeCell ref="E119:H119"/>
    <mergeCell ref="I119:K119"/>
    <mergeCell ref="L119:R119"/>
    <mergeCell ref="D120:H120"/>
    <mergeCell ref="I120:K120"/>
    <mergeCell ref="F121:H121"/>
    <mergeCell ref="I121:K121"/>
    <mergeCell ref="F122:H122"/>
    <mergeCell ref="I122:K122"/>
    <mergeCell ref="F123:H123"/>
    <mergeCell ref="I123:K123"/>
    <mergeCell ref="F124:H124"/>
    <mergeCell ref="I124:K124"/>
    <mergeCell ref="E125:H125"/>
    <mergeCell ref="I125:K125"/>
    <mergeCell ref="L125:R125"/>
    <mergeCell ref="D126:H126"/>
    <mergeCell ref="I126:K126"/>
    <mergeCell ref="A128:R128"/>
    <mergeCell ref="A130:J130"/>
    <mergeCell ref="A131:C131"/>
    <mergeCell ref="D131:F131"/>
    <mergeCell ref="A132:C132"/>
    <mergeCell ref="D132:F132"/>
    <mergeCell ref="A133:C133"/>
    <mergeCell ref="D133:F133"/>
    <mergeCell ref="A134:C134"/>
    <mergeCell ref="D134:F134"/>
    <mergeCell ref="A135:C135"/>
    <mergeCell ref="D135:F135"/>
    <mergeCell ref="A136:C136"/>
    <mergeCell ref="D136:F136"/>
    <mergeCell ref="A137:C137"/>
    <mergeCell ref="D137:F137"/>
    <mergeCell ref="A138:C138"/>
    <mergeCell ref="D138:F138"/>
    <mergeCell ref="A139:C139"/>
    <mergeCell ref="D139:E139"/>
    <mergeCell ref="A140:R140"/>
    <mergeCell ref="A12:A18"/>
    <mergeCell ref="A64:A65"/>
    <mergeCell ref="A66:A67"/>
    <mergeCell ref="A68:A69"/>
    <mergeCell ref="A70:A71"/>
    <mergeCell ref="A72:A73"/>
    <mergeCell ref="A74:A75"/>
    <mergeCell ref="A76:A77"/>
    <mergeCell ref="D85:D89"/>
    <mergeCell ref="D91:D95"/>
    <mergeCell ref="D97:D101"/>
    <mergeCell ref="D103:D107"/>
    <mergeCell ref="D109:D113"/>
    <mergeCell ref="D115:D119"/>
    <mergeCell ref="D121:D125"/>
    <mergeCell ref="E85:E88"/>
    <mergeCell ref="E91:E94"/>
    <mergeCell ref="E97:E100"/>
    <mergeCell ref="E103:E106"/>
    <mergeCell ref="E109:E112"/>
    <mergeCell ref="E115:E118"/>
    <mergeCell ref="E121:E124"/>
    <mergeCell ref="A85:C90"/>
    <mergeCell ref="L85:O88"/>
    <mergeCell ref="L91:O94"/>
    <mergeCell ref="A97:C102"/>
    <mergeCell ref="L97:O100"/>
    <mergeCell ref="M55:O61"/>
    <mergeCell ref="A103:C108"/>
    <mergeCell ref="A109:C114"/>
    <mergeCell ref="A115:C120"/>
    <mergeCell ref="A91:C96"/>
    <mergeCell ref="L103:O106"/>
    <mergeCell ref="L109:O112"/>
    <mergeCell ref="L115:O118"/>
    <mergeCell ref="A121:C126"/>
    <mergeCell ref="L121:O124"/>
    <mergeCell ref="N45:Q51"/>
    <mergeCell ref="M35:O41"/>
  </mergeCells>
  <pageMargins left="0.75" right="0.75" top="1" bottom="1" header="0.5" footer="0.5"/>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A150"/>
  <sheetViews>
    <sheetView showZeros="0" topLeftCell="S1" workbookViewId="0">
      <selection activeCell="R10" sqref="R10:T10"/>
    </sheetView>
  </sheetViews>
  <sheetFormatPr defaultColWidth="9" defaultRowHeight="14"/>
  <cols>
    <col min="1" max="1" width="4.90909090909091" customWidth="1"/>
    <col min="2" max="2" width="10.7272727272727" customWidth="1"/>
    <col min="3" max="3" width="21.3636363636364" customWidth="1"/>
    <col min="4" max="4" width="12.0909090909091" customWidth="1"/>
    <col min="5" max="5" width="7.90909090909091" customWidth="1"/>
    <col min="6" max="6" width="7.27272727272727" customWidth="1"/>
    <col min="7" max="37" width="5.45454545454545" customWidth="1"/>
    <col min="38" max="38" width="7.18181818181818" customWidth="1"/>
    <col min="39" max="40" width="5.45454545454545" customWidth="1"/>
    <col min="41" max="45" width="5.63636363636364" customWidth="1"/>
    <col min="46" max="50" width="12.6363636363636"/>
  </cols>
  <sheetData>
    <row r="1" ht="33.75" customHeight="1" spans="1:53">
      <c r="A1" s="106" t="s">
        <v>86</v>
      </c>
      <c r="B1" s="106"/>
      <c r="C1" s="106"/>
      <c r="D1" s="106"/>
      <c r="E1" s="106"/>
      <c r="F1" s="106"/>
      <c r="G1" s="106"/>
      <c r="H1" s="106"/>
      <c r="I1" s="106"/>
      <c r="J1" s="106"/>
      <c r="K1" s="106"/>
      <c r="L1" s="106"/>
      <c r="M1" s="106"/>
      <c r="N1" s="106"/>
      <c r="O1" s="106"/>
      <c r="P1" s="106"/>
      <c r="Q1" s="106"/>
      <c r="R1" s="106"/>
      <c r="S1" s="106"/>
      <c r="T1" s="106"/>
      <c r="U1" s="106"/>
      <c r="V1" s="106"/>
      <c r="W1" s="106"/>
      <c r="X1" s="106"/>
      <c r="Y1" s="106"/>
      <c r="Z1" s="106"/>
      <c r="AA1" s="106"/>
      <c r="AB1" s="106"/>
      <c r="AC1" s="106"/>
      <c r="AD1" s="106"/>
      <c r="AE1" s="106"/>
      <c r="AF1" s="106"/>
      <c r="AG1" s="106"/>
      <c r="AH1" s="106"/>
      <c r="AI1" s="106"/>
      <c r="AJ1" s="106"/>
      <c r="AK1" s="106"/>
      <c r="AL1" s="106"/>
      <c r="AM1" s="106"/>
      <c r="AN1" s="106"/>
      <c r="AO1" s="114"/>
      <c r="AP1" s="114"/>
      <c r="AQ1" s="114"/>
      <c r="AR1" s="114"/>
      <c r="AS1" s="114"/>
      <c r="AT1" s="114"/>
      <c r="AU1" s="114"/>
      <c r="AV1" s="114"/>
      <c r="AW1" s="114"/>
      <c r="AX1" s="114"/>
      <c r="AY1" s="114"/>
      <c r="AZ1" s="114"/>
      <c r="BA1" s="114"/>
    </row>
    <row r="2" ht="15.5" spans="1:38">
      <c r="A2" s="93" t="s">
        <v>87</v>
      </c>
      <c r="B2" s="93"/>
      <c r="C2" s="89" t="str">
        <f>'0信息维护'!D3</f>
        <v>数据结构与算法</v>
      </c>
      <c r="F2" s="92"/>
      <c r="G2" s="93" t="s">
        <v>88</v>
      </c>
      <c r="H2" s="93"/>
      <c r="I2" s="93"/>
      <c r="J2" s="93"/>
      <c r="K2" s="93"/>
      <c r="L2" s="93"/>
      <c r="M2" s="93"/>
      <c r="N2" s="93"/>
      <c r="O2" s="94" t="str">
        <f>'0信息维护'!M3</f>
        <v>N19ZY11005</v>
      </c>
      <c r="P2" s="94"/>
      <c r="Q2" s="94"/>
      <c r="R2" s="94"/>
      <c r="S2" s="94"/>
      <c r="T2" s="94"/>
      <c r="U2" s="94"/>
      <c r="V2" s="94"/>
      <c r="AD2" s="93" t="s">
        <v>89</v>
      </c>
      <c r="AE2" s="93"/>
      <c r="AF2" s="10" t="str">
        <f>'0信息维护'!M8</f>
        <v>软件工程</v>
      </c>
      <c r="AG2" s="10"/>
      <c r="AH2" s="10"/>
      <c r="AI2" s="10"/>
      <c r="AJ2" s="10"/>
      <c r="AK2" s="10"/>
      <c r="AL2" s="10"/>
    </row>
    <row r="3" ht="15.5" spans="1:38">
      <c r="A3" s="94" t="s">
        <v>90</v>
      </c>
      <c r="B3" s="94"/>
      <c r="C3" s="89" t="str">
        <f>'0信息维护'!M5</f>
        <v>计算机学院2022级5、6班</v>
      </c>
      <c r="F3" s="92"/>
      <c r="G3" s="93" t="s">
        <v>91</v>
      </c>
      <c r="H3" s="93"/>
      <c r="I3" s="93"/>
      <c r="J3" s="93"/>
      <c r="K3" s="93"/>
      <c r="L3" s="93"/>
      <c r="M3" s="93"/>
      <c r="N3" s="93"/>
      <c r="O3" s="10" t="str">
        <f>'0信息维护'!D8</f>
        <v>人工智能与大数据学部</v>
      </c>
      <c r="P3" s="10"/>
      <c r="Q3" s="10"/>
      <c r="R3" s="10"/>
      <c r="S3" s="10"/>
      <c r="T3" s="10"/>
      <c r="U3" s="10"/>
      <c r="V3" s="10"/>
      <c r="AD3" s="94" t="s">
        <v>92</v>
      </c>
      <c r="AE3" s="94"/>
      <c r="AF3" s="10" t="str">
        <f>'0信息维护'!D7</f>
        <v>任春华、段少松</v>
      </c>
      <c r="AG3" s="10"/>
      <c r="AH3" s="10"/>
      <c r="AI3" s="10"/>
      <c r="AJ3" s="10"/>
      <c r="AK3" s="10"/>
      <c r="AL3" s="10"/>
    </row>
    <row r="5" ht="15.5" spans="1:4">
      <c r="A5" s="88"/>
      <c r="D5" s="91"/>
    </row>
    <row r="6" spans="1:45">
      <c r="A6" s="107" t="s">
        <v>93</v>
      </c>
      <c r="B6" s="108" t="s">
        <v>94</v>
      </c>
      <c r="C6" s="108"/>
      <c r="D6" s="108"/>
      <c r="E6" s="108"/>
      <c r="F6" s="109" t="str">
        <f>'0信息维护'!E24</f>
        <v>平时作业</v>
      </c>
      <c r="G6" s="109"/>
      <c r="H6" s="109"/>
      <c r="I6" s="109"/>
      <c r="J6" s="109"/>
      <c r="K6" s="109"/>
      <c r="L6" s="109"/>
      <c r="M6" s="109"/>
      <c r="N6" s="109" t="str">
        <f>'0信息维护'!I24</f>
        <v>实验考核</v>
      </c>
      <c r="O6" s="109"/>
      <c r="P6" s="109"/>
      <c r="Q6" s="109"/>
      <c r="R6" s="109"/>
      <c r="S6" s="109"/>
      <c r="T6" s="109"/>
      <c r="U6" s="109"/>
      <c r="V6" s="109">
        <f>'0信息维护'!L24</f>
        <v>0</v>
      </c>
      <c r="W6" s="109"/>
      <c r="X6" s="109"/>
      <c r="Y6" s="109"/>
      <c r="Z6" s="109"/>
      <c r="AA6" s="109"/>
      <c r="AB6" s="109"/>
      <c r="AC6" s="109"/>
      <c r="AD6" s="109">
        <f>'0信息维护'!O24</f>
        <v>0</v>
      </c>
      <c r="AE6" s="109"/>
      <c r="AF6" s="109"/>
      <c r="AG6" s="109"/>
      <c r="AH6" s="109"/>
      <c r="AI6" s="109"/>
      <c r="AJ6" s="109"/>
      <c r="AK6" s="109"/>
      <c r="AL6" s="109" t="str">
        <f>'0信息维护'!I34</f>
        <v>结果性评价</v>
      </c>
      <c r="AM6" s="109"/>
      <c r="AN6" s="109"/>
      <c r="AO6" s="109"/>
      <c r="AP6" s="109"/>
      <c r="AQ6" s="109"/>
      <c r="AR6" s="109"/>
      <c r="AS6" s="109"/>
    </row>
    <row r="7" spans="1:45">
      <c r="A7" s="107"/>
      <c r="B7" s="108"/>
      <c r="C7" s="108"/>
      <c r="D7" s="108"/>
      <c r="E7" s="108"/>
      <c r="F7" s="109" t="s">
        <v>95</v>
      </c>
      <c r="G7" s="109"/>
      <c r="H7" s="109"/>
      <c r="I7" s="109"/>
      <c r="J7" s="109"/>
      <c r="K7" s="109"/>
      <c r="L7" s="109"/>
      <c r="M7" s="109"/>
      <c r="N7" s="109" t="s">
        <v>95</v>
      </c>
      <c r="O7" s="109"/>
      <c r="P7" s="109"/>
      <c r="Q7" s="109"/>
      <c r="R7" s="109"/>
      <c r="S7" s="109"/>
      <c r="T7" s="109"/>
      <c r="U7" s="109"/>
      <c r="V7" s="109" t="s">
        <v>95</v>
      </c>
      <c r="W7" s="109"/>
      <c r="X7" s="109"/>
      <c r="Y7" s="109"/>
      <c r="Z7" s="109"/>
      <c r="AA7" s="109"/>
      <c r="AB7" s="109"/>
      <c r="AC7" s="109"/>
      <c r="AD7" s="109" t="s">
        <v>95</v>
      </c>
      <c r="AE7" s="109"/>
      <c r="AF7" s="109"/>
      <c r="AG7" s="109"/>
      <c r="AH7" s="109"/>
      <c r="AI7" s="109"/>
      <c r="AJ7" s="109"/>
      <c r="AK7" s="109"/>
      <c r="AL7" s="109" t="s">
        <v>95</v>
      </c>
      <c r="AM7" s="109"/>
      <c r="AN7" s="109"/>
      <c r="AO7" s="109"/>
      <c r="AP7" s="109"/>
      <c r="AQ7" s="109"/>
      <c r="AR7" s="109"/>
      <c r="AS7" s="109"/>
    </row>
    <row r="8" spans="1:45">
      <c r="A8" s="107"/>
      <c r="B8" s="108" t="s">
        <v>96</v>
      </c>
      <c r="C8" s="108" t="s">
        <v>97</v>
      </c>
      <c r="D8" s="108" t="s">
        <v>98</v>
      </c>
      <c r="E8" s="108" t="s">
        <v>99</v>
      </c>
      <c r="F8" s="109" t="s">
        <v>100</v>
      </c>
      <c r="G8" s="109" t="s">
        <v>101</v>
      </c>
      <c r="H8" s="109" t="s">
        <v>102</v>
      </c>
      <c r="I8" s="109" t="s">
        <v>103</v>
      </c>
      <c r="J8" s="109" t="s">
        <v>104</v>
      </c>
      <c r="K8" s="109" t="s">
        <v>105</v>
      </c>
      <c r="L8" s="109" t="s">
        <v>106</v>
      </c>
      <c r="M8" s="109" t="s">
        <v>72</v>
      </c>
      <c r="N8" s="109" t="s">
        <v>100</v>
      </c>
      <c r="O8" s="109" t="s">
        <v>101</v>
      </c>
      <c r="P8" s="109" t="s">
        <v>102</v>
      </c>
      <c r="Q8" s="109" t="s">
        <v>103</v>
      </c>
      <c r="R8" s="109" t="s">
        <v>104</v>
      </c>
      <c r="S8" s="109" t="s">
        <v>105</v>
      </c>
      <c r="T8" s="109" t="s">
        <v>106</v>
      </c>
      <c r="U8" s="109" t="s">
        <v>72</v>
      </c>
      <c r="V8" s="109" t="s">
        <v>100</v>
      </c>
      <c r="W8" s="109" t="s">
        <v>101</v>
      </c>
      <c r="X8" s="109" t="s">
        <v>102</v>
      </c>
      <c r="Y8" s="109" t="s">
        <v>103</v>
      </c>
      <c r="Z8" s="109" t="s">
        <v>104</v>
      </c>
      <c r="AA8" s="109" t="s">
        <v>105</v>
      </c>
      <c r="AB8" s="109" t="s">
        <v>106</v>
      </c>
      <c r="AC8" s="109" t="s">
        <v>72</v>
      </c>
      <c r="AD8" s="109" t="s">
        <v>100</v>
      </c>
      <c r="AE8" s="109" t="s">
        <v>101</v>
      </c>
      <c r="AF8" s="109" t="s">
        <v>102</v>
      </c>
      <c r="AG8" s="109" t="s">
        <v>103</v>
      </c>
      <c r="AH8" s="109" t="s">
        <v>104</v>
      </c>
      <c r="AI8" s="109" t="s">
        <v>105</v>
      </c>
      <c r="AJ8" s="109" t="s">
        <v>106</v>
      </c>
      <c r="AK8" s="109" t="s">
        <v>72</v>
      </c>
      <c r="AL8" s="109" t="s">
        <v>100</v>
      </c>
      <c r="AM8" s="109" t="s">
        <v>101</v>
      </c>
      <c r="AN8" s="109" t="s">
        <v>102</v>
      </c>
      <c r="AO8" s="109" t="s">
        <v>103</v>
      </c>
      <c r="AP8" s="109" t="s">
        <v>104</v>
      </c>
      <c r="AQ8" s="109" t="s">
        <v>105</v>
      </c>
      <c r="AR8" s="109" t="s">
        <v>106</v>
      </c>
      <c r="AS8" s="109" t="s">
        <v>72</v>
      </c>
    </row>
    <row r="9" spans="1:45">
      <c r="A9" s="107"/>
      <c r="B9" s="110" t="s">
        <v>78</v>
      </c>
      <c r="C9" s="110"/>
      <c r="D9" s="110"/>
      <c r="E9" s="110"/>
      <c r="F9" s="110">
        <f>'0信息维护'!I85</f>
        <v>40</v>
      </c>
      <c r="G9" s="110">
        <f>'0信息维护'!I91</f>
        <v>60</v>
      </c>
      <c r="H9" s="110">
        <f>'0信息维护'!I97</f>
        <v>0</v>
      </c>
      <c r="I9" s="110">
        <f>'0信息维护'!I103</f>
        <v>0</v>
      </c>
      <c r="J9" s="110">
        <f>'0信息维护'!I109</f>
        <v>0</v>
      </c>
      <c r="K9" s="110">
        <f>'0信息维护'!I115</f>
        <v>0</v>
      </c>
      <c r="L9" s="110">
        <f>'0信息维护'!I121</f>
        <v>0</v>
      </c>
      <c r="M9" s="110">
        <f t="shared" ref="M9:M72" si="0">SUM(F9:L9)</f>
        <v>100</v>
      </c>
      <c r="N9" s="110">
        <f>'0信息维护'!I86</f>
        <v>0</v>
      </c>
      <c r="O9" s="110">
        <f>'0信息维护'!I92</f>
        <v>0</v>
      </c>
      <c r="P9" s="110">
        <f>'0信息维护'!I98</f>
        <v>0</v>
      </c>
      <c r="Q9" s="110">
        <f>'0信息维护'!I104</f>
        <v>100</v>
      </c>
      <c r="R9" s="110">
        <f>'0信息维护'!I110</f>
        <v>0</v>
      </c>
      <c r="S9" s="110">
        <f>'0信息维护'!I116</f>
        <v>0</v>
      </c>
      <c r="T9" s="110">
        <f>'0信息维护'!I122</f>
        <v>0</v>
      </c>
      <c r="U9" s="110">
        <f t="shared" ref="U9:U72" si="1">SUM(N9:T9)</f>
        <v>100</v>
      </c>
      <c r="V9" s="110">
        <f>'0信息维护'!I87</f>
        <v>0</v>
      </c>
      <c r="W9" s="110">
        <f>'0信息维护'!I93</f>
        <v>0</v>
      </c>
      <c r="X9" s="110">
        <f>'0信息维护'!I99</f>
        <v>0</v>
      </c>
      <c r="Y9" s="110">
        <f>'0信息维护'!I105</f>
        <v>0</v>
      </c>
      <c r="Z9" s="110">
        <f>'0信息维护'!I111</f>
        <v>0</v>
      </c>
      <c r="AA9" s="110">
        <f>'0信息维护'!I117</f>
        <v>0</v>
      </c>
      <c r="AB9" s="110">
        <f>'0信息维护'!I123</f>
        <v>0</v>
      </c>
      <c r="AC9" s="110">
        <f t="shared" ref="AC9:AC72" si="2">SUM(V9:AB9)</f>
        <v>0</v>
      </c>
      <c r="AD9" s="110">
        <f>'0信息维护'!I88</f>
        <v>0</v>
      </c>
      <c r="AE9" s="110">
        <f>'0信息维护'!I94</f>
        <v>0</v>
      </c>
      <c r="AF9" s="110">
        <f>'0信息维护'!I100</f>
        <v>0</v>
      </c>
      <c r="AG9" s="110">
        <f>'0信息维护'!I106</f>
        <v>0</v>
      </c>
      <c r="AH9" s="110">
        <f>'0信息维护'!I112</f>
        <v>0</v>
      </c>
      <c r="AI9" s="110">
        <f>'0信息维护'!I118</f>
        <v>0</v>
      </c>
      <c r="AJ9" s="110">
        <f>'0信息维护'!I124</f>
        <v>0</v>
      </c>
      <c r="AK9" s="110">
        <f t="shared" ref="AK9:AK72" si="3">SUM(AD9:AJ9)</f>
        <v>0</v>
      </c>
      <c r="AL9" s="110">
        <f>'0信息维护'!I89</f>
        <v>36</v>
      </c>
      <c r="AM9" s="110">
        <f>'0信息维护'!I95</f>
        <v>30</v>
      </c>
      <c r="AN9" s="110">
        <f>'0信息维护'!I101</f>
        <v>34</v>
      </c>
      <c r="AO9" s="110">
        <f>'0信息维护'!I107</f>
        <v>0</v>
      </c>
      <c r="AP9" s="110">
        <f>'0信息维护'!I113</f>
        <v>0</v>
      </c>
      <c r="AQ9" s="110">
        <f>'0信息维护'!I119</f>
        <v>0</v>
      </c>
      <c r="AR9" s="110">
        <f>'0信息维护'!I125</f>
        <v>0</v>
      </c>
      <c r="AS9" s="110">
        <f t="shared" ref="AS9:AS72" si="4">SUM(AL9:AR9)</f>
        <v>100</v>
      </c>
    </row>
    <row r="10" spans="1:50">
      <c r="A10" s="111">
        <v>1</v>
      </c>
      <c r="B10" s="112" t="s">
        <v>23</v>
      </c>
      <c r="C10" s="112" t="s">
        <v>107</v>
      </c>
      <c r="D10" s="112" t="s">
        <v>108</v>
      </c>
      <c r="E10" s="112" t="s">
        <v>109</v>
      </c>
      <c r="F10" s="113">
        <v>30</v>
      </c>
      <c r="G10" s="113">
        <v>50</v>
      </c>
      <c r="H10" s="113"/>
      <c r="I10" s="113"/>
      <c r="J10" s="113"/>
      <c r="K10" s="113"/>
      <c r="L10" s="113"/>
      <c r="M10" s="110">
        <f t="shared" si="0"/>
        <v>80</v>
      </c>
      <c r="N10" s="110"/>
      <c r="O10" s="110"/>
      <c r="P10" s="110"/>
      <c r="Q10" s="113">
        <v>73</v>
      </c>
      <c r="R10" s="110"/>
      <c r="S10" s="110"/>
      <c r="T10" s="110"/>
      <c r="U10" s="110">
        <f t="shared" si="1"/>
        <v>73</v>
      </c>
      <c r="V10" s="113"/>
      <c r="W10" s="113"/>
      <c r="X10" s="113"/>
      <c r="Y10" s="113"/>
      <c r="Z10" s="113"/>
      <c r="AA10" s="113"/>
      <c r="AB10" s="113"/>
      <c r="AC10" s="110">
        <f t="shared" si="2"/>
        <v>0</v>
      </c>
      <c r="AD10" s="113"/>
      <c r="AE10" s="113"/>
      <c r="AF10" s="113"/>
      <c r="AG10" s="113"/>
      <c r="AH10" s="113"/>
      <c r="AI10" s="113"/>
      <c r="AJ10" s="113"/>
      <c r="AK10" s="110">
        <f t="shared" si="3"/>
        <v>0</v>
      </c>
      <c r="AL10" s="113">
        <v>28</v>
      </c>
      <c r="AM10" s="113">
        <v>20</v>
      </c>
      <c r="AN10" s="113">
        <v>14</v>
      </c>
      <c r="AO10" s="113"/>
      <c r="AP10" s="113"/>
      <c r="AQ10" s="113"/>
      <c r="AR10" s="113"/>
      <c r="AS10" s="110">
        <f t="shared" si="4"/>
        <v>62</v>
      </c>
      <c r="AT10" s="115"/>
      <c r="AU10" s="115"/>
      <c r="AV10" s="115"/>
      <c r="AW10" s="115"/>
      <c r="AX10" s="115"/>
    </row>
    <row r="11" spans="1:50">
      <c r="A11" s="111">
        <v>2</v>
      </c>
      <c r="B11" s="112" t="s">
        <v>23</v>
      </c>
      <c r="C11" s="112" t="s">
        <v>107</v>
      </c>
      <c r="D11" s="112" t="s">
        <v>110</v>
      </c>
      <c r="E11" s="112" t="s">
        <v>111</v>
      </c>
      <c r="F11" s="113">
        <v>40</v>
      </c>
      <c r="G11" s="113">
        <v>60</v>
      </c>
      <c r="H11" s="113"/>
      <c r="I11" s="113"/>
      <c r="J11" s="113"/>
      <c r="K11" s="113"/>
      <c r="L11" s="113"/>
      <c r="M11" s="110">
        <f t="shared" si="0"/>
        <v>100</v>
      </c>
      <c r="N11" s="113"/>
      <c r="O11" s="113"/>
      <c r="P11" s="113"/>
      <c r="Q11" s="113">
        <v>83</v>
      </c>
      <c r="R11" s="113"/>
      <c r="S11" s="113"/>
      <c r="T11" s="113"/>
      <c r="U11" s="110">
        <f t="shared" si="1"/>
        <v>83</v>
      </c>
      <c r="V11" s="113"/>
      <c r="W11" s="113"/>
      <c r="X11" s="113"/>
      <c r="Y11" s="113"/>
      <c r="Z11" s="113"/>
      <c r="AA11" s="113"/>
      <c r="AB11" s="113"/>
      <c r="AC11" s="110">
        <f t="shared" si="2"/>
        <v>0</v>
      </c>
      <c r="AD11" s="113"/>
      <c r="AE11" s="113"/>
      <c r="AF11" s="113"/>
      <c r="AG11" s="113"/>
      <c r="AH11" s="113"/>
      <c r="AI11" s="113"/>
      <c r="AJ11" s="113"/>
      <c r="AK11" s="110">
        <f t="shared" si="3"/>
        <v>0</v>
      </c>
      <c r="AL11" s="113">
        <v>30</v>
      </c>
      <c r="AM11" s="113">
        <v>24</v>
      </c>
      <c r="AN11" s="113">
        <v>19</v>
      </c>
      <c r="AO11" s="113"/>
      <c r="AP11" s="113"/>
      <c r="AQ11" s="113"/>
      <c r="AR11" s="113"/>
      <c r="AS11" s="110">
        <f t="shared" si="4"/>
        <v>73</v>
      </c>
      <c r="AT11" s="115"/>
      <c r="AU11" s="115"/>
      <c r="AV11" s="115"/>
      <c r="AW11" s="115"/>
      <c r="AX11" s="115"/>
    </row>
    <row r="12" spans="1:50">
      <c r="A12" s="111">
        <v>3</v>
      </c>
      <c r="B12" s="112" t="s">
        <v>23</v>
      </c>
      <c r="C12" s="112" t="s">
        <v>112</v>
      </c>
      <c r="D12" s="112" t="s">
        <v>113</v>
      </c>
      <c r="E12" s="112" t="s">
        <v>114</v>
      </c>
      <c r="F12" s="113">
        <v>40</v>
      </c>
      <c r="G12" s="113">
        <v>60</v>
      </c>
      <c r="H12" s="113"/>
      <c r="I12" s="113"/>
      <c r="J12" s="113"/>
      <c r="K12" s="113"/>
      <c r="L12" s="113"/>
      <c r="M12" s="110">
        <f t="shared" si="0"/>
        <v>100</v>
      </c>
      <c r="N12" s="113"/>
      <c r="O12" s="113"/>
      <c r="P12" s="113"/>
      <c r="Q12" s="113">
        <v>60</v>
      </c>
      <c r="R12" s="113"/>
      <c r="S12" s="113"/>
      <c r="T12" s="113"/>
      <c r="U12" s="110">
        <f t="shared" si="1"/>
        <v>60</v>
      </c>
      <c r="V12" s="113"/>
      <c r="W12" s="113"/>
      <c r="X12" s="113"/>
      <c r="Y12" s="113"/>
      <c r="Z12" s="113"/>
      <c r="AA12" s="113"/>
      <c r="AB12" s="113"/>
      <c r="AC12" s="110">
        <f t="shared" si="2"/>
        <v>0</v>
      </c>
      <c r="AD12" s="113"/>
      <c r="AE12" s="113"/>
      <c r="AF12" s="113"/>
      <c r="AG12" s="113"/>
      <c r="AH12" s="113"/>
      <c r="AI12" s="113"/>
      <c r="AJ12" s="113"/>
      <c r="AK12" s="110">
        <f t="shared" si="3"/>
        <v>0</v>
      </c>
      <c r="AL12" s="113">
        <v>34</v>
      </c>
      <c r="AM12" s="113">
        <v>25</v>
      </c>
      <c r="AN12" s="113">
        <v>19</v>
      </c>
      <c r="AO12" s="113"/>
      <c r="AP12" s="113"/>
      <c r="AQ12" s="113"/>
      <c r="AR12" s="113"/>
      <c r="AS12" s="110">
        <f t="shared" si="4"/>
        <v>78</v>
      </c>
      <c r="AT12" s="115"/>
      <c r="AU12" s="115"/>
      <c r="AV12" s="115"/>
      <c r="AW12" s="115"/>
      <c r="AX12" s="115"/>
    </row>
    <row r="13" spans="1:50">
      <c r="A13" s="111">
        <v>4</v>
      </c>
      <c r="B13" s="112" t="s">
        <v>23</v>
      </c>
      <c r="C13" s="112" t="s">
        <v>107</v>
      </c>
      <c r="D13" s="112" t="s">
        <v>115</v>
      </c>
      <c r="E13" s="112" t="s">
        <v>116</v>
      </c>
      <c r="F13" s="113">
        <v>40</v>
      </c>
      <c r="G13" s="113">
        <v>60</v>
      </c>
      <c r="H13" s="113"/>
      <c r="I13" s="113"/>
      <c r="J13" s="113"/>
      <c r="K13" s="113"/>
      <c r="L13" s="113"/>
      <c r="M13" s="110">
        <f t="shared" si="0"/>
        <v>100</v>
      </c>
      <c r="N13" s="113"/>
      <c r="O13" s="113"/>
      <c r="P13" s="113"/>
      <c r="Q13" s="113">
        <v>75</v>
      </c>
      <c r="R13" s="113"/>
      <c r="S13" s="113"/>
      <c r="T13" s="113"/>
      <c r="U13" s="110">
        <f t="shared" si="1"/>
        <v>75</v>
      </c>
      <c r="V13" s="113"/>
      <c r="W13" s="113"/>
      <c r="X13" s="113"/>
      <c r="Y13" s="113"/>
      <c r="Z13" s="113"/>
      <c r="AA13" s="113"/>
      <c r="AB13" s="113"/>
      <c r="AC13" s="110">
        <f t="shared" si="2"/>
        <v>0</v>
      </c>
      <c r="AD13" s="113"/>
      <c r="AE13" s="113"/>
      <c r="AF13" s="113"/>
      <c r="AG13" s="113"/>
      <c r="AH13" s="113"/>
      <c r="AI13" s="113"/>
      <c r="AJ13" s="113"/>
      <c r="AK13" s="110">
        <f t="shared" si="3"/>
        <v>0</v>
      </c>
      <c r="AL13" s="113">
        <v>34</v>
      </c>
      <c r="AM13" s="113">
        <v>21</v>
      </c>
      <c r="AN13" s="113">
        <v>20</v>
      </c>
      <c r="AO13" s="113"/>
      <c r="AP13" s="113"/>
      <c r="AQ13" s="113"/>
      <c r="AR13" s="113"/>
      <c r="AS13" s="110">
        <f t="shared" si="4"/>
        <v>75</v>
      </c>
      <c r="AT13" s="115"/>
      <c r="AU13" s="115"/>
      <c r="AV13" s="115"/>
      <c r="AW13" s="115"/>
      <c r="AX13" s="115"/>
    </row>
    <row r="14" spans="1:50">
      <c r="A14" s="111">
        <v>5</v>
      </c>
      <c r="B14" s="112" t="s">
        <v>23</v>
      </c>
      <c r="C14" s="112" t="s">
        <v>107</v>
      </c>
      <c r="D14" s="112" t="s">
        <v>117</v>
      </c>
      <c r="E14" s="112" t="s">
        <v>118</v>
      </c>
      <c r="F14" s="113">
        <v>35</v>
      </c>
      <c r="G14" s="113">
        <v>55</v>
      </c>
      <c r="H14" s="113"/>
      <c r="I14" s="113"/>
      <c r="J14" s="113"/>
      <c r="K14" s="113"/>
      <c r="L14" s="113"/>
      <c r="M14" s="110">
        <f t="shared" si="0"/>
        <v>90</v>
      </c>
      <c r="N14" s="113"/>
      <c r="O14" s="113"/>
      <c r="P14" s="113"/>
      <c r="Q14" s="113">
        <v>77</v>
      </c>
      <c r="R14" s="113"/>
      <c r="S14" s="113"/>
      <c r="T14" s="113"/>
      <c r="U14" s="110">
        <f t="shared" si="1"/>
        <v>77</v>
      </c>
      <c r="V14" s="113"/>
      <c r="W14" s="113"/>
      <c r="X14" s="113"/>
      <c r="Y14" s="113"/>
      <c r="Z14" s="113"/>
      <c r="AA14" s="113"/>
      <c r="AB14" s="113"/>
      <c r="AC14" s="110">
        <f t="shared" si="2"/>
        <v>0</v>
      </c>
      <c r="AD14" s="113"/>
      <c r="AE14" s="113"/>
      <c r="AF14" s="113"/>
      <c r="AG14" s="113"/>
      <c r="AH14" s="113"/>
      <c r="AI14" s="113"/>
      <c r="AJ14" s="113"/>
      <c r="AK14" s="110">
        <f t="shared" si="3"/>
        <v>0</v>
      </c>
      <c r="AL14" s="113">
        <v>22</v>
      </c>
      <c r="AM14" s="113">
        <v>7</v>
      </c>
      <c r="AN14" s="113">
        <v>17</v>
      </c>
      <c r="AO14" s="113"/>
      <c r="AP14" s="113"/>
      <c r="AQ14" s="113"/>
      <c r="AR14" s="113"/>
      <c r="AS14" s="110">
        <f t="shared" si="4"/>
        <v>46</v>
      </c>
      <c r="AT14" s="115"/>
      <c r="AU14" s="115"/>
      <c r="AV14" s="115"/>
      <c r="AW14" s="115"/>
      <c r="AX14" s="115"/>
    </row>
    <row r="15" spans="1:50">
      <c r="A15" s="111">
        <v>6</v>
      </c>
      <c r="B15" s="112" t="s">
        <v>23</v>
      </c>
      <c r="C15" s="112" t="s">
        <v>107</v>
      </c>
      <c r="D15" s="112" t="s">
        <v>119</v>
      </c>
      <c r="E15" s="112" t="s">
        <v>120</v>
      </c>
      <c r="F15" s="113">
        <v>40</v>
      </c>
      <c r="G15" s="113">
        <v>60</v>
      </c>
      <c r="H15" s="113"/>
      <c r="I15" s="113"/>
      <c r="J15" s="113"/>
      <c r="K15" s="113"/>
      <c r="L15" s="113"/>
      <c r="M15" s="110">
        <f t="shared" si="0"/>
        <v>100</v>
      </c>
      <c r="N15" s="113"/>
      <c r="O15" s="113"/>
      <c r="P15" s="113"/>
      <c r="Q15" s="113">
        <v>87</v>
      </c>
      <c r="R15" s="113"/>
      <c r="S15" s="113"/>
      <c r="T15" s="113"/>
      <c r="U15" s="110">
        <f t="shared" si="1"/>
        <v>87</v>
      </c>
      <c r="V15" s="113"/>
      <c r="W15" s="113"/>
      <c r="X15" s="113"/>
      <c r="Y15" s="113"/>
      <c r="Z15" s="113"/>
      <c r="AA15" s="113"/>
      <c r="AB15" s="113"/>
      <c r="AC15" s="110">
        <f t="shared" si="2"/>
        <v>0</v>
      </c>
      <c r="AD15" s="113"/>
      <c r="AE15" s="113"/>
      <c r="AF15" s="113"/>
      <c r="AG15" s="113"/>
      <c r="AH15" s="113"/>
      <c r="AI15" s="113"/>
      <c r="AJ15" s="113"/>
      <c r="AK15" s="110">
        <f t="shared" si="3"/>
        <v>0</v>
      </c>
      <c r="AL15" s="113">
        <v>32</v>
      </c>
      <c r="AM15" s="113">
        <v>30</v>
      </c>
      <c r="AN15" s="113">
        <v>25</v>
      </c>
      <c r="AO15" s="113"/>
      <c r="AP15" s="113"/>
      <c r="AQ15" s="113"/>
      <c r="AR15" s="113"/>
      <c r="AS15" s="110">
        <f t="shared" si="4"/>
        <v>87</v>
      </c>
      <c r="AT15" s="115"/>
      <c r="AU15" s="115"/>
      <c r="AV15" s="115"/>
      <c r="AW15" s="115"/>
      <c r="AX15" s="115"/>
    </row>
    <row r="16" spans="1:50">
      <c r="A16" s="111">
        <v>7</v>
      </c>
      <c r="B16" s="112" t="s">
        <v>23</v>
      </c>
      <c r="C16" s="112" t="s">
        <v>107</v>
      </c>
      <c r="D16" s="112" t="s">
        <v>121</v>
      </c>
      <c r="E16" s="112" t="s">
        <v>122</v>
      </c>
      <c r="F16" s="113">
        <v>40</v>
      </c>
      <c r="G16" s="113">
        <v>60</v>
      </c>
      <c r="H16" s="113"/>
      <c r="I16" s="113"/>
      <c r="J16" s="113"/>
      <c r="K16" s="113"/>
      <c r="L16" s="113"/>
      <c r="M16" s="110">
        <f t="shared" si="0"/>
        <v>100</v>
      </c>
      <c r="N16" s="113"/>
      <c r="O16" s="113"/>
      <c r="P16" s="113"/>
      <c r="Q16" s="113">
        <v>85</v>
      </c>
      <c r="R16" s="113"/>
      <c r="S16" s="113"/>
      <c r="T16" s="113"/>
      <c r="U16" s="110">
        <f t="shared" si="1"/>
        <v>85</v>
      </c>
      <c r="V16" s="113"/>
      <c r="W16" s="113"/>
      <c r="X16" s="113"/>
      <c r="Y16" s="113"/>
      <c r="Z16" s="113"/>
      <c r="AA16" s="113"/>
      <c r="AB16" s="113"/>
      <c r="AC16" s="110">
        <f t="shared" si="2"/>
        <v>0</v>
      </c>
      <c r="AD16" s="113"/>
      <c r="AE16" s="113"/>
      <c r="AF16" s="113"/>
      <c r="AG16" s="113"/>
      <c r="AH16" s="113"/>
      <c r="AI16" s="113"/>
      <c r="AJ16" s="113"/>
      <c r="AK16" s="110">
        <f t="shared" si="3"/>
        <v>0</v>
      </c>
      <c r="AL16" s="113">
        <v>28</v>
      </c>
      <c r="AM16" s="113">
        <v>18</v>
      </c>
      <c r="AN16" s="113">
        <v>20</v>
      </c>
      <c r="AO16" s="113"/>
      <c r="AP16" s="113"/>
      <c r="AQ16" s="113"/>
      <c r="AR16" s="113"/>
      <c r="AS16" s="110">
        <f t="shared" si="4"/>
        <v>66</v>
      </c>
      <c r="AT16" s="115"/>
      <c r="AU16" s="115"/>
      <c r="AV16" s="115"/>
      <c r="AW16" s="115"/>
      <c r="AX16" s="115"/>
    </row>
    <row r="17" spans="1:50">
      <c r="A17" s="111">
        <v>8</v>
      </c>
      <c r="B17" s="112" t="s">
        <v>23</v>
      </c>
      <c r="C17" s="112" t="s">
        <v>112</v>
      </c>
      <c r="D17" s="112" t="s">
        <v>123</v>
      </c>
      <c r="E17" s="112" t="s">
        <v>124</v>
      </c>
      <c r="F17" s="113">
        <v>0</v>
      </c>
      <c r="G17" s="113">
        <v>0</v>
      </c>
      <c r="H17" s="113"/>
      <c r="I17" s="113"/>
      <c r="J17" s="113"/>
      <c r="K17" s="113"/>
      <c r="L17" s="113"/>
      <c r="M17" s="110">
        <f t="shared" si="0"/>
        <v>0</v>
      </c>
      <c r="N17" s="113"/>
      <c r="O17" s="113"/>
      <c r="P17" s="113"/>
      <c r="Q17" s="113">
        <v>0</v>
      </c>
      <c r="R17" s="113"/>
      <c r="S17" s="113"/>
      <c r="T17" s="113"/>
      <c r="U17" s="110">
        <f t="shared" si="1"/>
        <v>0</v>
      </c>
      <c r="V17" s="113"/>
      <c r="W17" s="113"/>
      <c r="X17" s="113"/>
      <c r="Y17" s="113"/>
      <c r="Z17" s="113"/>
      <c r="AA17" s="113"/>
      <c r="AB17" s="113"/>
      <c r="AC17" s="110">
        <f t="shared" si="2"/>
        <v>0</v>
      </c>
      <c r="AD17" s="113"/>
      <c r="AE17" s="113"/>
      <c r="AF17" s="113"/>
      <c r="AG17" s="113"/>
      <c r="AH17" s="113"/>
      <c r="AI17" s="113"/>
      <c r="AJ17" s="113"/>
      <c r="AK17" s="110">
        <f t="shared" si="3"/>
        <v>0</v>
      </c>
      <c r="AL17" s="113">
        <v>18</v>
      </c>
      <c r="AM17" s="113">
        <v>14</v>
      </c>
      <c r="AN17" s="113">
        <v>8</v>
      </c>
      <c r="AO17" s="113"/>
      <c r="AP17" s="113"/>
      <c r="AQ17" s="113"/>
      <c r="AR17" s="113"/>
      <c r="AS17" s="110">
        <f t="shared" si="4"/>
        <v>40</v>
      </c>
      <c r="AT17" s="115"/>
      <c r="AU17" s="115"/>
      <c r="AV17" s="115"/>
      <c r="AW17" s="115"/>
      <c r="AX17" s="115"/>
    </row>
    <row r="18" spans="1:50">
      <c r="A18" s="111">
        <v>9</v>
      </c>
      <c r="B18" s="112" t="s">
        <v>23</v>
      </c>
      <c r="C18" s="112" t="s">
        <v>107</v>
      </c>
      <c r="D18" s="112" t="s">
        <v>125</v>
      </c>
      <c r="E18" s="112" t="s">
        <v>126</v>
      </c>
      <c r="F18" s="113">
        <v>40</v>
      </c>
      <c r="G18" s="113">
        <v>60</v>
      </c>
      <c r="H18" s="113"/>
      <c r="I18" s="113"/>
      <c r="J18" s="113"/>
      <c r="K18" s="113"/>
      <c r="L18" s="113"/>
      <c r="M18" s="110">
        <f t="shared" si="0"/>
        <v>100</v>
      </c>
      <c r="N18" s="113"/>
      <c r="O18" s="113"/>
      <c r="P18" s="113"/>
      <c r="Q18" s="113">
        <v>85</v>
      </c>
      <c r="R18" s="113"/>
      <c r="S18" s="113"/>
      <c r="T18" s="113"/>
      <c r="U18" s="110">
        <f t="shared" si="1"/>
        <v>85</v>
      </c>
      <c r="V18" s="113"/>
      <c r="W18" s="113"/>
      <c r="X18" s="113"/>
      <c r="Y18" s="113"/>
      <c r="Z18" s="113"/>
      <c r="AA18" s="113"/>
      <c r="AB18" s="113"/>
      <c r="AC18" s="110">
        <f t="shared" si="2"/>
        <v>0</v>
      </c>
      <c r="AD18" s="113"/>
      <c r="AE18" s="113"/>
      <c r="AF18" s="113"/>
      <c r="AG18" s="113"/>
      <c r="AH18" s="113"/>
      <c r="AI18" s="113"/>
      <c r="AJ18" s="113"/>
      <c r="AK18" s="110">
        <f t="shared" si="3"/>
        <v>0</v>
      </c>
      <c r="AL18" s="113">
        <v>28</v>
      </c>
      <c r="AM18" s="113">
        <v>20</v>
      </c>
      <c r="AN18" s="113">
        <v>19</v>
      </c>
      <c r="AO18" s="113"/>
      <c r="AP18" s="113"/>
      <c r="AQ18" s="113"/>
      <c r="AR18" s="113"/>
      <c r="AS18" s="110">
        <f t="shared" si="4"/>
        <v>67</v>
      </c>
      <c r="AT18" s="115"/>
      <c r="AU18" s="115"/>
      <c r="AV18" s="115"/>
      <c r="AW18" s="115"/>
      <c r="AX18" s="115"/>
    </row>
    <row r="19" spans="1:50">
      <c r="A19" s="111">
        <v>10</v>
      </c>
      <c r="B19" s="112" t="s">
        <v>23</v>
      </c>
      <c r="C19" s="112" t="s">
        <v>107</v>
      </c>
      <c r="D19" s="112" t="s">
        <v>127</v>
      </c>
      <c r="E19" s="112" t="s">
        <v>128</v>
      </c>
      <c r="F19" s="113">
        <v>35</v>
      </c>
      <c r="G19" s="113">
        <v>55</v>
      </c>
      <c r="H19" s="113"/>
      <c r="I19" s="113"/>
      <c r="J19" s="113"/>
      <c r="K19" s="113"/>
      <c r="L19" s="113"/>
      <c r="M19" s="110">
        <f t="shared" si="0"/>
        <v>90</v>
      </c>
      <c r="N19" s="113"/>
      <c r="O19" s="113"/>
      <c r="P19" s="113"/>
      <c r="Q19" s="113">
        <v>83</v>
      </c>
      <c r="R19" s="113"/>
      <c r="S19" s="113"/>
      <c r="T19" s="113"/>
      <c r="U19" s="110">
        <f t="shared" si="1"/>
        <v>83</v>
      </c>
      <c r="V19" s="113"/>
      <c r="W19" s="113"/>
      <c r="X19" s="113"/>
      <c r="Y19" s="113"/>
      <c r="Z19" s="113"/>
      <c r="AA19" s="113"/>
      <c r="AB19" s="113"/>
      <c r="AC19" s="110">
        <f t="shared" si="2"/>
        <v>0</v>
      </c>
      <c r="AD19" s="113"/>
      <c r="AE19" s="113"/>
      <c r="AF19" s="113"/>
      <c r="AG19" s="113"/>
      <c r="AH19" s="113"/>
      <c r="AI19" s="113"/>
      <c r="AJ19" s="113"/>
      <c r="AK19" s="110">
        <f t="shared" si="3"/>
        <v>0</v>
      </c>
      <c r="AL19" s="113">
        <v>30</v>
      </c>
      <c r="AM19" s="113">
        <v>20</v>
      </c>
      <c r="AN19" s="113">
        <v>19</v>
      </c>
      <c r="AO19" s="113"/>
      <c r="AP19" s="113"/>
      <c r="AQ19" s="113"/>
      <c r="AR19" s="113"/>
      <c r="AS19" s="110">
        <f t="shared" si="4"/>
        <v>69</v>
      </c>
      <c r="AT19" s="115"/>
      <c r="AU19" s="115"/>
      <c r="AV19" s="115"/>
      <c r="AW19" s="115"/>
      <c r="AX19" s="115"/>
    </row>
    <row r="20" spans="1:45">
      <c r="A20" s="111">
        <v>11</v>
      </c>
      <c r="B20" s="112" t="s">
        <v>23</v>
      </c>
      <c r="C20" s="112" t="s">
        <v>107</v>
      </c>
      <c r="D20" s="112" t="s">
        <v>129</v>
      </c>
      <c r="E20" s="112" t="s">
        <v>130</v>
      </c>
      <c r="F20" s="113">
        <v>35</v>
      </c>
      <c r="G20" s="113">
        <v>45</v>
      </c>
      <c r="H20" s="113"/>
      <c r="I20" s="113"/>
      <c r="J20" s="113"/>
      <c r="K20" s="113"/>
      <c r="L20" s="113"/>
      <c r="M20" s="110">
        <f t="shared" si="0"/>
        <v>80</v>
      </c>
      <c r="N20" s="113"/>
      <c r="O20" s="113"/>
      <c r="P20" s="113"/>
      <c r="Q20" s="113">
        <v>75</v>
      </c>
      <c r="R20" s="113"/>
      <c r="S20" s="113"/>
      <c r="T20" s="113"/>
      <c r="U20" s="110">
        <f t="shared" si="1"/>
        <v>75</v>
      </c>
      <c r="V20" s="113"/>
      <c r="W20" s="113"/>
      <c r="X20" s="113"/>
      <c r="Y20" s="113"/>
      <c r="Z20" s="113"/>
      <c r="AA20" s="113"/>
      <c r="AB20" s="113"/>
      <c r="AC20" s="110">
        <f t="shared" si="2"/>
        <v>0</v>
      </c>
      <c r="AD20" s="113"/>
      <c r="AE20" s="113"/>
      <c r="AF20" s="113"/>
      <c r="AG20" s="113"/>
      <c r="AH20" s="113"/>
      <c r="AI20" s="113"/>
      <c r="AJ20" s="113"/>
      <c r="AK20" s="110">
        <f t="shared" si="3"/>
        <v>0</v>
      </c>
      <c r="AL20" s="113">
        <v>16</v>
      </c>
      <c r="AM20" s="113">
        <v>17</v>
      </c>
      <c r="AN20" s="113">
        <v>10</v>
      </c>
      <c r="AO20" s="113"/>
      <c r="AP20" s="113"/>
      <c r="AQ20" s="113"/>
      <c r="AR20" s="113"/>
      <c r="AS20" s="110">
        <f t="shared" si="4"/>
        <v>43</v>
      </c>
    </row>
    <row r="21" spans="1:45">
      <c r="A21" s="111">
        <v>12</v>
      </c>
      <c r="B21" s="112" t="s">
        <v>23</v>
      </c>
      <c r="C21" s="112" t="s">
        <v>107</v>
      </c>
      <c r="D21" s="112" t="s">
        <v>131</v>
      </c>
      <c r="E21" s="112" t="s">
        <v>132</v>
      </c>
      <c r="F21" s="113">
        <v>35</v>
      </c>
      <c r="G21" s="113">
        <v>45</v>
      </c>
      <c r="H21" s="113"/>
      <c r="I21" s="113"/>
      <c r="J21" s="113"/>
      <c r="K21" s="113"/>
      <c r="L21" s="113"/>
      <c r="M21" s="110">
        <f t="shared" si="0"/>
        <v>80</v>
      </c>
      <c r="N21" s="113"/>
      <c r="O21" s="113"/>
      <c r="P21" s="113"/>
      <c r="Q21" s="113">
        <v>70</v>
      </c>
      <c r="R21" s="113"/>
      <c r="S21" s="113"/>
      <c r="T21" s="113"/>
      <c r="U21" s="110">
        <f t="shared" si="1"/>
        <v>70</v>
      </c>
      <c r="V21" s="113"/>
      <c r="W21" s="113"/>
      <c r="X21" s="113"/>
      <c r="Y21" s="113"/>
      <c r="Z21" s="113"/>
      <c r="AA21" s="113"/>
      <c r="AB21" s="113"/>
      <c r="AC21" s="110">
        <f t="shared" si="2"/>
        <v>0</v>
      </c>
      <c r="AD21" s="113"/>
      <c r="AE21" s="113"/>
      <c r="AF21" s="113"/>
      <c r="AG21" s="113"/>
      <c r="AH21" s="113"/>
      <c r="AI21" s="113"/>
      <c r="AJ21" s="113"/>
      <c r="AK21" s="110">
        <f t="shared" si="3"/>
        <v>0</v>
      </c>
      <c r="AL21" s="113">
        <v>22</v>
      </c>
      <c r="AM21" s="113">
        <v>6</v>
      </c>
      <c r="AN21" s="113">
        <v>10</v>
      </c>
      <c r="AO21" s="113"/>
      <c r="AP21" s="113"/>
      <c r="AQ21" s="113"/>
      <c r="AR21" s="113"/>
      <c r="AS21" s="110">
        <f t="shared" si="4"/>
        <v>38</v>
      </c>
    </row>
    <row r="22" spans="1:45">
      <c r="A22" s="111">
        <v>13</v>
      </c>
      <c r="B22" s="112" t="s">
        <v>23</v>
      </c>
      <c r="C22" s="112" t="s">
        <v>107</v>
      </c>
      <c r="D22" s="112" t="s">
        <v>133</v>
      </c>
      <c r="E22" s="112" t="s">
        <v>134</v>
      </c>
      <c r="F22" s="113">
        <v>35</v>
      </c>
      <c r="G22" s="113">
        <v>55</v>
      </c>
      <c r="H22" s="113"/>
      <c r="I22" s="113"/>
      <c r="J22" s="113"/>
      <c r="K22" s="113"/>
      <c r="L22" s="113"/>
      <c r="M22" s="110">
        <f t="shared" si="0"/>
        <v>90</v>
      </c>
      <c r="N22" s="113"/>
      <c r="O22" s="113"/>
      <c r="P22" s="113"/>
      <c r="Q22" s="113">
        <v>67</v>
      </c>
      <c r="R22" s="113"/>
      <c r="S22" s="113"/>
      <c r="T22" s="113"/>
      <c r="U22" s="110">
        <f t="shared" si="1"/>
        <v>67</v>
      </c>
      <c r="V22" s="113"/>
      <c r="W22" s="113"/>
      <c r="X22" s="113"/>
      <c r="Y22" s="113"/>
      <c r="Z22" s="113"/>
      <c r="AA22" s="113"/>
      <c r="AB22" s="113"/>
      <c r="AC22" s="110">
        <f t="shared" si="2"/>
        <v>0</v>
      </c>
      <c r="AD22" s="113"/>
      <c r="AE22" s="113"/>
      <c r="AF22" s="113"/>
      <c r="AG22" s="113"/>
      <c r="AH22" s="113"/>
      <c r="AI22" s="113"/>
      <c r="AJ22" s="113"/>
      <c r="AK22" s="110">
        <f t="shared" si="3"/>
        <v>0</v>
      </c>
      <c r="AL22" s="113">
        <v>24</v>
      </c>
      <c r="AM22" s="113">
        <v>19</v>
      </c>
      <c r="AN22" s="113">
        <v>15</v>
      </c>
      <c r="AO22" s="113"/>
      <c r="AP22" s="113"/>
      <c r="AQ22" s="113"/>
      <c r="AR22" s="113"/>
      <c r="AS22" s="110">
        <f t="shared" si="4"/>
        <v>58</v>
      </c>
    </row>
    <row r="23" spans="1:45">
      <c r="A23" s="111">
        <v>14</v>
      </c>
      <c r="B23" s="112" t="s">
        <v>23</v>
      </c>
      <c r="C23" s="112" t="s">
        <v>107</v>
      </c>
      <c r="D23" s="112" t="s">
        <v>135</v>
      </c>
      <c r="E23" s="112" t="s">
        <v>136</v>
      </c>
      <c r="F23" s="113">
        <v>40</v>
      </c>
      <c r="G23" s="113">
        <v>60</v>
      </c>
      <c r="H23" s="113"/>
      <c r="I23" s="113"/>
      <c r="J23" s="113"/>
      <c r="K23" s="113"/>
      <c r="L23" s="113"/>
      <c r="M23" s="110">
        <f t="shared" si="0"/>
        <v>100</v>
      </c>
      <c r="N23" s="113"/>
      <c r="O23" s="113"/>
      <c r="P23" s="113"/>
      <c r="Q23" s="113">
        <v>70</v>
      </c>
      <c r="R23" s="113"/>
      <c r="S23" s="113"/>
      <c r="T23" s="113"/>
      <c r="U23" s="110">
        <f t="shared" si="1"/>
        <v>70</v>
      </c>
      <c r="V23" s="113"/>
      <c r="W23" s="113"/>
      <c r="X23" s="113"/>
      <c r="Y23" s="113"/>
      <c r="Z23" s="113"/>
      <c r="AA23" s="113"/>
      <c r="AB23" s="113"/>
      <c r="AC23" s="110">
        <f t="shared" si="2"/>
        <v>0</v>
      </c>
      <c r="AD23" s="113"/>
      <c r="AE23" s="113"/>
      <c r="AF23" s="113"/>
      <c r="AG23" s="113"/>
      <c r="AH23" s="113"/>
      <c r="AI23" s="113"/>
      <c r="AJ23" s="113"/>
      <c r="AK23" s="110">
        <f t="shared" si="3"/>
        <v>0</v>
      </c>
      <c r="AL23" s="113">
        <v>28</v>
      </c>
      <c r="AM23" s="113">
        <v>23</v>
      </c>
      <c r="AN23" s="113">
        <v>22</v>
      </c>
      <c r="AO23" s="113"/>
      <c r="AP23" s="113"/>
      <c r="AQ23" s="113"/>
      <c r="AR23" s="113"/>
      <c r="AS23" s="110">
        <f t="shared" si="4"/>
        <v>73</v>
      </c>
    </row>
    <row r="24" spans="1:45">
      <c r="A24" s="111">
        <v>15</v>
      </c>
      <c r="B24" s="112" t="s">
        <v>23</v>
      </c>
      <c r="C24" s="112" t="s">
        <v>107</v>
      </c>
      <c r="D24" s="112" t="s">
        <v>137</v>
      </c>
      <c r="E24" s="112" t="s">
        <v>138</v>
      </c>
      <c r="F24" s="113">
        <v>30</v>
      </c>
      <c r="G24" s="113">
        <v>50</v>
      </c>
      <c r="H24" s="113"/>
      <c r="I24" s="113"/>
      <c r="J24" s="113"/>
      <c r="K24" s="113"/>
      <c r="L24" s="113"/>
      <c r="M24" s="110">
        <f t="shared" si="0"/>
        <v>80</v>
      </c>
      <c r="N24" s="113"/>
      <c r="O24" s="113"/>
      <c r="P24" s="113"/>
      <c r="Q24" s="113">
        <v>87</v>
      </c>
      <c r="R24" s="113"/>
      <c r="S24" s="113"/>
      <c r="T24" s="113"/>
      <c r="U24" s="110">
        <f t="shared" si="1"/>
        <v>87</v>
      </c>
      <c r="V24" s="113"/>
      <c r="W24" s="113"/>
      <c r="X24" s="113"/>
      <c r="Y24" s="113"/>
      <c r="Z24" s="113"/>
      <c r="AA24" s="113"/>
      <c r="AB24" s="113"/>
      <c r="AC24" s="110">
        <f t="shared" si="2"/>
        <v>0</v>
      </c>
      <c r="AD24" s="113"/>
      <c r="AE24" s="113"/>
      <c r="AF24" s="113"/>
      <c r="AG24" s="113"/>
      <c r="AH24" s="113"/>
      <c r="AI24" s="113"/>
      <c r="AJ24" s="113"/>
      <c r="AK24" s="110">
        <f t="shared" si="3"/>
        <v>0</v>
      </c>
      <c r="AL24" s="113">
        <v>30</v>
      </c>
      <c r="AM24" s="113">
        <v>24</v>
      </c>
      <c r="AN24" s="113">
        <v>24</v>
      </c>
      <c r="AO24" s="113"/>
      <c r="AP24" s="113"/>
      <c r="AQ24" s="113"/>
      <c r="AR24" s="113"/>
      <c r="AS24" s="110">
        <f t="shared" si="4"/>
        <v>78</v>
      </c>
    </row>
    <row r="25" spans="1:45">
      <c r="A25" s="111">
        <v>16</v>
      </c>
      <c r="B25" s="112" t="s">
        <v>23</v>
      </c>
      <c r="C25" s="112" t="s">
        <v>107</v>
      </c>
      <c r="D25" s="112" t="s">
        <v>139</v>
      </c>
      <c r="E25" s="112" t="s">
        <v>140</v>
      </c>
      <c r="F25" s="113">
        <v>40</v>
      </c>
      <c r="G25" s="113">
        <v>60</v>
      </c>
      <c r="H25" s="113"/>
      <c r="I25" s="113"/>
      <c r="J25" s="113"/>
      <c r="K25" s="113"/>
      <c r="L25" s="113"/>
      <c r="M25" s="110">
        <f t="shared" si="0"/>
        <v>100</v>
      </c>
      <c r="N25" s="113"/>
      <c r="O25" s="113"/>
      <c r="P25" s="113"/>
      <c r="Q25" s="113">
        <v>82</v>
      </c>
      <c r="R25" s="113"/>
      <c r="S25" s="113"/>
      <c r="T25" s="113"/>
      <c r="U25" s="110">
        <f t="shared" si="1"/>
        <v>82</v>
      </c>
      <c r="V25" s="113"/>
      <c r="W25" s="113"/>
      <c r="X25" s="113"/>
      <c r="Y25" s="113"/>
      <c r="Z25" s="113"/>
      <c r="AA25" s="113"/>
      <c r="AB25" s="113"/>
      <c r="AC25" s="110">
        <f t="shared" si="2"/>
        <v>0</v>
      </c>
      <c r="AD25" s="113"/>
      <c r="AE25" s="113"/>
      <c r="AF25" s="113"/>
      <c r="AG25" s="113"/>
      <c r="AH25" s="113"/>
      <c r="AI25" s="113"/>
      <c r="AJ25" s="113"/>
      <c r="AK25" s="110">
        <f t="shared" si="3"/>
        <v>0</v>
      </c>
      <c r="AL25" s="113">
        <v>32</v>
      </c>
      <c r="AM25" s="113">
        <v>22</v>
      </c>
      <c r="AN25" s="113">
        <v>20</v>
      </c>
      <c r="AO25" s="113"/>
      <c r="AP25" s="113"/>
      <c r="AQ25" s="113"/>
      <c r="AR25" s="113"/>
      <c r="AS25" s="110">
        <f t="shared" si="4"/>
        <v>74</v>
      </c>
    </row>
    <row r="26" spans="1:45">
      <c r="A26" s="111">
        <v>17</v>
      </c>
      <c r="B26" s="112" t="s">
        <v>23</v>
      </c>
      <c r="C26" s="112" t="s">
        <v>107</v>
      </c>
      <c r="D26" s="112" t="s">
        <v>141</v>
      </c>
      <c r="E26" s="112" t="s">
        <v>142</v>
      </c>
      <c r="F26" s="113">
        <v>40</v>
      </c>
      <c r="G26" s="113">
        <v>60</v>
      </c>
      <c r="H26" s="113"/>
      <c r="I26" s="113"/>
      <c r="J26" s="113"/>
      <c r="K26" s="113"/>
      <c r="L26" s="113"/>
      <c r="M26" s="110">
        <f t="shared" si="0"/>
        <v>100</v>
      </c>
      <c r="N26" s="113"/>
      <c r="O26" s="113"/>
      <c r="P26" s="113"/>
      <c r="Q26" s="113">
        <v>63</v>
      </c>
      <c r="R26" s="113"/>
      <c r="S26" s="113"/>
      <c r="T26" s="113"/>
      <c r="U26" s="110">
        <f t="shared" si="1"/>
        <v>63</v>
      </c>
      <c r="V26" s="113"/>
      <c r="W26" s="113"/>
      <c r="X26" s="113"/>
      <c r="Y26" s="113"/>
      <c r="Z26" s="113"/>
      <c r="AA26" s="113"/>
      <c r="AB26" s="113"/>
      <c r="AC26" s="110">
        <f t="shared" si="2"/>
        <v>0</v>
      </c>
      <c r="AD26" s="113"/>
      <c r="AE26" s="113"/>
      <c r="AF26" s="113"/>
      <c r="AG26" s="113"/>
      <c r="AH26" s="113"/>
      <c r="AI26" s="113"/>
      <c r="AJ26" s="113"/>
      <c r="AK26" s="110">
        <f t="shared" si="3"/>
        <v>0</v>
      </c>
      <c r="AL26" s="113">
        <v>24</v>
      </c>
      <c r="AM26" s="113">
        <v>16</v>
      </c>
      <c r="AN26" s="113">
        <v>18</v>
      </c>
      <c r="AO26" s="113"/>
      <c r="AP26" s="113"/>
      <c r="AQ26" s="113"/>
      <c r="AR26" s="113"/>
      <c r="AS26" s="110">
        <f t="shared" si="4"/>
        <v>58</v>
      </c>
    </row>
    <row r="27" spans="1:45">
      <c r="A27" s="111">
        <v>18</v>
      </c>
      <c r="B27" s="112" t="s">
        <v>23</v>
      </c>
      <c r="C27" s="112" t="s">
        <v>107</v>
      </c>
      <c r="D27" s="112" t="s">
        <v>143</v>
      </c>
      <c r="E27" s="112" t="s">
        <v>144</v>
      </c>
      <c r="F27" s="113">
        <v>40</v>
      </c>
      <c r="G27" s="113">
        <v>60</v>
      </c>
      <c r="H27" s="113"/>
      <c r="I27" s="113"/>
      <c r="J27" s="113"/>
      <c r="K27" s="113"/>
      <c r="L27" s="113"/>
      <c r="M27" s="110">
        <f t="shared" si="0"/>
        <v>100</v>
      </c>
      <c r="N27" s="113"/>
      <c r="O27" s="113"/>
      <c r="P27" s="113"/>
      <c r="Q27" s="113">
        <v>83</v>
      </c>
      <c r="R27" s="113"/>
      <c r="S27" s="113"/>
      <c r="T27" s="113"/>
      <c r="U27" s="110">
        <f t="shared" si="1"/>
        <v>83</v>
      </c>
      <c r="V27" s="113"/>
      <c r="W27" s="113"/>
      <c r="X27" s="113"/>
      <c r="Y27" s="113"/>
      <c r="Z27" s="113"/>
      <c r="AA27" s="113"/>
      <c r="AB27" s="113"/>
      <c r="AC27" s="110">
        <f t="shared" si="2"/>
        <v>0</v>
      </c>
      <c r="AD27" s="113"/>
      <c r="AE27" s="113"/>
      <c r="AF27" s="113"/>
      <c r="AG27" s="113"/>
      <c r="AH27" s="113"/>
      <c r="AI27" s="113"/>
      <c r="AJ27" s="113"/>
      <c r="AK27" s="110">
        <f t="shared" si="3"/>
        <v>0</v>
      </c>
      <c r="AL27" s="113">
        <v>30</v>
      </c>
      <c r="AM27" s="113">
        <v>18</v>
      </c>
      <c r="AN27" s="113">
        <v>19</v>
      </c>
      <c r="AO27" s="113"/>
      <c r="AP27" s="113"/>
      <c r="AQ27" s="113"/>
      <c r="AR27" s="113"/>
      <c r="AS27" s="110">
        <f t="shared" si="4"/>
        <v>67</v>
      </c>
    </row>
    <row r="28" spans="1:45">
      <c r="A28" s="111">
        <v>19</v>
      </c>
      <c r="B28" s="112" t="s">
        <v>23</v>
      </c>
      <c r="C28" s="112" t="s">
        <v>107</v>
      </c>
      <c r="D28" s="112" t="s">
        <v>145</v>
      </c>
      <c r="E28" s="112" t="s">
        <v>146</v>
      </c>
      <c r="F28" s="113">
        <v>40</v>
      </c>
      <c r="G28" s="113">
        <v>60</v>
      </c>
      <c r="H28" s="113"/>
      <c r="I28" s="113"/>
      <c r="J28" s="113"/>
      <c r="K28" s="113"/>
      <c r="L28" s="113"/>
      <c r="M28" s="110">
        <f t="shared" si="0"/>
        <v>100</v>
      </c>
      <c r="N28" s="113"/>
      <c r="O28" s="113"/>
      <c r="P28" s="113"/>
      <c r="Q28" s="113">
        <v>82</v>
      </c>
      <c r="R28" s="113"/>
      <c r="S28" s="113"/>
      <c r="T28" s="113"/>
      <c r="U28" s="110">
        <f t="shared" si="1"/>
        <v>82</v>
      </c>
      <c r="V28" s="113"/>
      <c r="W28" s="113"/>
      <c r="X28" s="113"/>
      <c r="Y28" s="113"/>
      <c r="Z28" s="113"/>
      <c r="AA28" s="113"/>
      <c r="AB28" s="113"/>
      <c r="AC28" s="110">
        <f t="shared" si="2"/>
        <v>0</v>
      </c>
      <c r="AD28" s="113"/>
      <c r="AE28" s="113"/>
      <c r="AF28" s="113"/>
      <c r="AG28" s="113"/>
      <c r="AH28" s="113"/>
      <c r="AI28" s="113"/>
      <c r="AJ28" s="113"/>
      <c r="AK28" s="110">
        <f t="shared" si="3"/>
        <v>0</v>
      </c>
      <c r="AL28" s="113">
        <v>30</v>
      </c>
      <c r="AM28" s="113">
        <v>23</v>
      </c>
      <c r="AN28" s="113">
        <v>17</v>
      </c>
      <c r="AO28" s="113"/>
      <c r="AP28" s="113"/>
      <c r="AQ28" s="113"/>
      <c r="AR28" s="113"/>
      <c r="AS28" s="110">
        <f t="shared" si="4"/>
        <v>70</v>
      </c>
    </row>
    <row r="29" spans="1:45">
      <c r="A29" s="111">
        <v>20</v>
      </c>
      <c r="B29" s="112" t="s">
        <v>23</v>
      </c>
      <c r="C29" s="112" t="s">
        <v>107</v>
      </c>
      <c r="D29" s="112" t="s">
        <v>147</v>
      </c>
      <c r="E29" s="112" t="s">
        <v>148</v>
      </c>
      <c r="F29" s="113">
        <v>40</v>
      </c>
      <c r="G29" s="113">
        <v>60</v>
      </c>
      <c r="H29" s="113"/>
      <c r="I29" s="113"/>
      <c r="J29" s="113"/>
      <c r="K29" s="113"/>
      <c r="L29" s="113"/>
      <c r="M29" s="110">
        <f t="shared" si="0"/>
        <v>100</v>
      </c>
      <c r="N29" s="113"/>
      <c r="O29" s="113"/>
      <c r="P29" s="113"/>
      <c r="Q29" s="113">
        <v>77</v>
      </c>
      <c r="R29" s="113"/>
      <c r="S29" s="113"/>
      <c r="T29" s="113"/>
      <c r="U29" s="110">
        <f t="shared" si="1"/>
        <v>77</v>
      </c>
      <c r="V29" s="113"/>
      <c r="W29" s="113"/>
      <c r="X29" s="113"/>
      <c r="Y29" s="113"/>
      <c r="Z29" s="113"/>
      <c r="AA29" s="113"/>
      <c r="AB29" s="113"/>
      <c r="AC29" s="110">
        <f t="shared" si="2"/>
        <v>0</v>
      </c>
      <c r="AD29" s="113"/>
      <c r="AE29" s="113"/>
      <c r="AF29" s="113"/>
      <c r="AG29" s="113"/>
      <c r="AH29" s="113"/>
      <c r="AI29" s="113"/>
      <c r="AJ29" s="113"/>
      <c r="AK29" s="110">
        <f t="shared" si="3"/>
        <v>0</v>
      </c>
      <c r="AL29" s="113">
        <v>36</v>
      </c>
      <c r="AM29" s="113">
        <v>23</v>
      </c>
      <c r="AN29" s="113">
        <v>27</v>
      </c>
      <c r="AO29" s="113"/>
      <c r="AP29" s="113"/>
      <c r="AQ29" s="113"/>
      <c r="AR29" s="113"/>
      <c r="AS29" s="110">
        <f t="shared" si="4"/>
        <v>86</v>
      </c>
    </row>
    <row r="30" spans="1:45">
      <c r="A30" s="111">
        <v>21</v>
      </c>
      <c r="B30" s="112" t="s">
        <v>23</v>
      </c>
      <c r="C30" s="112" t="s">
        <v>107</v>
      </c>
      <c r="D30" s="112" t="s">
        <v>149</v>
      </c>
      <c r="E30" s="112" t="s">
        <v>150</v>
      </c>
      <c r="F30" s="113">
        <v>40</v>
      </c>
      <c r="G30" s="113">
        <v>60</v>
      </c>
      <c r="H30" s="113"/>
      <c r="I30" s="113"/>
      <c r="J30" s="113"/>
      <c r="K30" s="113"/>
      <c r="L30" s="113"/>
      <c r="M30" s="110">
        <f t="shared" si="0"/>
        <v>100</v>
      </c>
      <c r="N30" s="113"/>
      <c r="O30" s="113"/>
      <c r="P30" s="113"/>
      <c r="Q30" s="113">
        <v>83</v>
      </c>
      <c r="R30" s="113"/>
      <c r="S30" s="113"/>
      <c r="T30" s="113"/>
      <c r="U30" s="110">
        <f t="shared" si="1"/>
        <v>83</v>
      </c>
      <c r="V30" s="113"/>
      <c r="W30" s="113"/>
      <c r="X30" s="113"/>
      <c r="Y30" s="113"/>
      <c r="Z30" s="113"/>
      <c r="AA30" s="113"/>
      <c r="AB30" s="113"/>
      <c r="AC30" s="110">
        <f t="shared" si="2"/>
        <v>0</v>
      </c>
      <c r="AD30" s="113"/>
      <c r="AE30" s="113"/>
      <c r="AF30" s="113"/>
      <c r="AG30" s="113"/>
      <c r="AH30" s="113"/>
      <c r="AI30" s="113"/>
      <c r="AJ30" s="113"/>
      <c r="AK30" s="110">
        <f t="shared" si="3"/>
        <v>0</v>
      </c>
      <c r="AL30" s="113">
        <v>28</v>
      </c>
      <c r="AM30" s="113">
        <v>16</v>
      </c>
      <c r="AN30" s="113">
        <v>21</v>
      </c>
      <c r="AO30" s="113"/>
      <c r="AP30" s="113"/>
      <c r="AQ30" s="113"/>
      <c r="AR30" s="113"/>
      <c r="AS30" s="110">
        <f t="shared" si="4"/>
        <v>65</v>
      </c>
    </row>
    <row r="31" spans="1:45">
      <c r="A31" s="111">
        <v>22</v>
      </c>
      <c r="B31" s="112" t="s">
        <v>23</v>
      </c>
      <c r="C31" s="112" t="s">
        <v>107</v>
      </c>
      <c r="D31" s="112" t="s">
        <v>151</v>
      </c>
      <c r="E31" s="112" t="s">
        <v>152</v>
      </c>
      <c r="F31" s="113">
        <v>40</v>
      </c>
      <c r="G31" s="113">
        <v>60</v>
      </c>
      <c r="H31" s="113"/>
      <c r="I31" s="113"/>
      <c r="J31" s="113"/>
      <c r="K31" s="113"/>
      <c r="L31" s="113"/>
      <c r="M31" s="110">
        <f t="shared" si="0"/>
        <v>100</v>
      </c>
      <c r="N31" s="113"/>
      <c r="O31" s="113"/>
      <c r="P31" s="113"/>
      <c r="Q31" s="113">
        <v>72</v>
      </c>
      <c r="R31" s="113"/>
      <c r="S31" s="113"/>
      <c r="T31" s="113"/>
      <c r="U31" s="110">
        <f t="shared" si="1"/>
        <v>72</v>
      </c>
      <c r="V31" s="113"/>
      <c r="W31" s="113"/>
      <c r="X31" s="113"/>
      <c r="Y31" s="113"/>
      <c r="Z31" s="113"/>
      <c r="AA31" s="113"/>
      <c r="AB31" s="113"/>
      <c r="AC31" s="110">
        <f t="shared" si="2"/>
        <v>0</v>
      </c>
      <c r="AD31" s="113"/>
      <c r="AE31" s="113"/>
      <c r="AF31" s="113"/>
      <c r="AG31" s="113"/>
      <c r="AH31" s="113"/>
      <c r="AI31" s="113"/>
      <c r="AJ31" s="113"/>
      <c r="AK31" s="110">
        <f t="shared" si="3"/>
        <v>0</v>
      </c>
      <c r="AL31" s="113">
        <v>32</v>
      </c>
      <c r="AM31" s="113">
        <v>22</v>
      </c>
      <c r="AN31" s="113">
        <v>19</v>
      </c>
      <c r="AO31" s="113"/>
      <c r="AP31" s="113"/>
      <c r="AQ31" s="113"/>
      <c r="AR31" s="113"/>
      <c r="AS31" s="110">
        <f t="shared" si="4"/>
        <v>73</v>
      </c>
    </row>
    <row r="32" spans="1:45">
      <c r="A32" s="111">
        <v>23</v>
      </c>
      <c r="B32" s="112" t="s">
        <v>23</v>
      </c>
      <c r="C32" s="112" t="s">
        <v>107</v>
      </c>
      <c r="D32" s="112" t="s">
        <v>153</v>
      </c>
      <c r="E32" s="112" t="s">
        <v>154</v>
      </c>
      <c r="F32" s="113">
        <v>40</v>
      </c>
      <c r="G32" s="113">
        <v>60</v>
      </c>
      <c r="H32" s="113"/>
      <c r="I32" s="113"/>
      <c r="J32" s="113"/>
      <c r="K32" s="113"/>
      <c r="L32" s="113"/>
      <c r="M32" s="110">
        <f t="shared" si="0"/>
        <v>100</v>
      </c>
      <c r="N32" s="113"/>
      <c r="O32" s="113"/>
      <c r="P32" s="113"/>
      <c r="Q32" s="113">
        <v>83</v>
      </c>
      <c r="R32" s="113"/>
      <c r="S32" s="113"/>
      <c r="T32" s="113"/>
      <c r="U32" s="110">
        <f t="shared" si="1"/>
        <v>83</v>
      </c>
      <c r="V32" s="113"/>
      <c r="W32" s="113"/>
      <c r="X32" s="113"/>
      <c r="Y32" s="113"/>
      <c r="Z32" s="113"/>
      <c r="AA32" s="113"/>
      <c r="AB32" s="113"/>
      <c r="AC32" s="110">
        <f t="shared" si="2"/>
        <v>0</v>
      </c>
      <c r="AD32" s="113"/>
      <c r="AE32" s="113"/>
      <c r="AF32" s="113"/>
      <c r="AG32" s="113"/>
      <c r="AH32" s="113"/>
      <c r="AI32" s="113"/>
      <c r="AJ32" s="113"/>
      <c r="AK32" s="110">
        <f t="shared" si="3"/>
        <v>0</v>
      </c>
      <c r="AL32" s="113">
        <v>26</v>
      </c>
      <c r="AM32" s="113">
        <v>19</v>
      </c>
      <c r="AN32" s="113">
        <v>16</v>
      </c>
      <c r="AO32" s="113"/>
      <c r="AP32" s="113"/>
      <c r="AQ32" s="113"/>
      <c r="AR32" s="113"/>
      <c r="AS32" s="110">
        <f t="shared" si="4"/>
        <v>61</v>
      </c>
    </row>
    <row r="33" spans="1:45">
      <c r="A33" s="111">
        <v>24</v>
      </c>
      <c r="B33" s="112" t="s">
        <v>23</v>
      </c>
      <c r="C33" s="112" t="s">
        <v>107</v>
      </c>
      <c r="D33" s="112" t="s">
        <v>155</v>
      </c>
      <c r="E33" s="112" t="s">
        <v>156</v>
      </c>
      <c r="F33" s="113">
        <v>40</v>
      </c>
      <c r="G33" s="113">
        <v>60</v>
      </c>
      <c r="H33" s="113"/>
      <c r="I33" s="113"/>
      <c r="J33" s="113"/>
      <c r="K33" s="113"/>
      <c r="L33" s="113"/>
      <c r="M33" s="110">
        <f t="shared" si="0"/>
        <v>100</v>
      </c>
      <c r="N33" s="113"/>
      <c r="O33" s="113"/>
      <c r="P33" s="113"/>
      <c r="Q33" s="113">
        <v>73</v>
      </c>
      <c r="R33" s="113"/>
      <c r="S33" s="113"/>
      <c r="T33" s="113"/>
      <c r="U33" s="110">
        <f t="shared" si="1"/>
        <v>73</v>
      </c>
      <c r="V33" s="113"/>
      <c r="W33" s="113"/>
      <c r="X33" s="113"/>
      <c r="Y33" s="113"/>
      <c r="Z33" s="113"/>
      <c r="AA33" s="113"/>
      <c r="AB33" s="113"/>
      <c r="AC33" s="110">
        <f t="shared" si="2"/>
        <v>0</v>
      </c>
      <c r="AD33" s="113"/>
      <c r="AE33" s="113"/>
      <c r="AF33" s="113"/>
      <c r="AG33" s="113"/>
      <c r="AH33" s="113"/>
      <c r="AI33" s="113"/>
      <c r="AJ33" s="113"/>
      <c r="AK33" s="110">
        <f t="shared" si="3"/>
        <v>0</v>
      </c>
      <c r="AL33" s="113">
        <v>6</v>
      </c>
      <c r="AM33" s="113">
        <v>7</v>
      </c>
      <c r="AN33" s="113">
        <v>15</v>
      </c>
      <c r="AO33" s="113"/>
      <c r="AP33" s="113"/>
      <c r="AQ33" s="113"/>
      <c r="AR33" s="113"/>
      <c r="AS33" s="110">
        <f t="shared" si="4"/>
        <v>28</v>
      </c>
    </row>
    <row r="34" spans="1:45">
      <c r="A34" s="111">
        <v>25</v>
      </c>
      <c r="B34" s="112" t="s">
        <v>23</v>
      </c>
      <c r="C34" s="112" t="s">
        <v>107</v>
      </c>
      <c r="D34" s="112" t="s">
        <v>157</v>
      </c>
      <c r="E34" s="112" t="s">
        <v>158</v>
      </c>
      <c r="F34" s="113">
        <v>40</v>
      </c>
      <c r="G34" s="113">
        <v>60</v>
      </c>
      <c r="H34" s="113"/>
      <c r="I34" s="113"/>
      <c r="J34" s="113"/>
      <c r="K34" s="113"/>
      <c r="L34" s="113"/>
      <c r="M34" s="110">
        <f t="shared" si="0"/>
        <v>100</v>
      </c>
      <c r="N34" s="113"/>
      <c r="O34" s="113"/>
      <c r="P34" s="113"/>
      <c r="Q34" s="113">
        <v>88</v>
      </c>
      <c r="R34" s="113"/>
      <c r="S34" s="113"/>
      <c r="T34" s="113"/>
      <c r="U34" s="110">
        <f t="shared" si="1"/>
        <v>88</v>
      </c>
      <c r="V34" s="113"/>
      <c r="W34" s="113"/>
      <c r="X34" s="113"/>
      <c r="Y34" s="113"/>
      <c r="Z34" s="113"/>
      <c r="AA34" s="113"/>
      <c r="AB34" s="113"/>
      <c r="AC34" s="110">
        <f t="shared" si="2"/>
        <v>0</v>
      </c>
      <c r="AD34" s="113"/>
      <c r="AE34" s="113"/>
      <c r="AF34" s="113"/>
      <c r="AG34" s="113"/>
      <c r="AH34" s="113"/>
      <c r="AI34" s="113"/>
      <c r="AJ34" s="113"/>
      <c r="AK34" s="110">
        <f t="shared" si="3"/>
        <v>0</v>
      </c>
      <c r="AL34" s="113">
        <v>20</v>
      </c>
      <c r="AM34" s="113">
        <v>7</v>
      </c>
      <c r="AN34" s="113">
        <v>16</v>
      </c>
      <c r="AO34" s="113"/>
      <c r="AP34" s="113"/>
      <c r="AQ34" s="113"/>
      <c r="AR34" s="113"/>
      <c r="AS34" s="110">
        <f t="shared" si="4"/>
        <v>43</v>
      </c>
    </row>
    <row r="35" spans="1:45">
      <c r="A35" s="111">
        <v>26</v>
      </c>
      <c r="B35" s="112" t="s">
        <v>23</v>
      </c>
      <c r="C35" s="112" t="s">
        <v>107</v>
      </c>
      <c r="D35" s="112" t="s">
        <v>159</v>
      </c>
      <c r="E35" s="112" t="s">
        <v>160</v>
      </c>
      <c r="F35" s="113">
        <v>40</v>
      </c>
      <c r="G35" s="113">
        <v>60</v>
      </c>
      <c r="H35" s="113"/>
      <c r="I35" s="113"/>
      <c r="J35" s="113"/>
      <c r="K35" s="113"/>
      <c r="L35" s="113"/>
      <c r="M35" s="110">
        <f t="shared" si="0"/>
        <v>100</v>
      </c>
      <c r="N35" s="113"/>
      <c r="O35" s="113"/>
      <c r="P35" s="113"/>
      <c r="Q35" s="113">
        <v>78</v>
      </c>
      <c r="R35" s="113"/>
      <c r="S35" s="113"/>
      <c r="T35" s="113"/>
      <c r="U35" s="110">
        <f t="shared" si="1"/>
        <v>78</v>
      </c>
      <c r="V35" s="113"/>
      <c r="W35" s="113"/>
      <c r="X35" s="113"/>
      <c r="Y35" s="113"/>
      <c r="Z35" s="113"/>
      <c r="AA35" s="113"/>
      <c r="AB35" s="113"/>
      <c r="AC35" s="110">
        <f t="shared" si="2"/>
        <v>0</v>
      </c>
      <c r="AD35" s="113"/>
      <c r="AE35" s="113"/>
      <c r="AF35" s="113"/>
      <c r="AG35" s="113"/>
      <c r="AH35" s="113"/>
      <c r="AI35" s="113"/>
      <c r="AJ35" s="113"/>
      <c r="AK35" s="110">
        <f t="shared" si="3"/>
        <v>0</v>
      </c>
      <c r="AL35" s="113">
        <v>34</v>
      </c>
      <c r="AM35" s="113">
        <v>21</v>
      </c>
      <c r="AN35" s="113">
        <v>21</v>
      </c>
      <c r="AO35" s="113"/>
      <c r="AP35" s="113"/>
      <c r="AQ35" s="113"/>
      <c r="AR35" s="113"/>
      <c r="AS35" s="110">
        <f t="shared" si="4"/>
        <v>76</v>
      </c>
    </row>
    <row r="36" spans="1:45">
      <c r="A36" s="111">
        <v>27</v>
      </c>
      <c r="B36" s="112" t="s">
        <v>23</v>
      </c>
      <c r="C36" s="112" t="s">
        <v>107</v>
      </c>
      <c r="D36" s="112" t="s">
        <v>161</v>
      </c>
      <c r="E36" s="112" t="s">
        <v>162</v>
      </c>
      <c r="F36" s="113">
        <v>40</v>
      </c>
      <c r="G36" s="113">
        <v>60</v>
      </c>
      <c r="H36" s="113"/>
      <c r="I36" s="113"/>
      <c r="J36" s="113"/>
      <c r="K36" s="113"/>
      <c r="L36" s="113"/>
      <c r="M36" s="110">
        <f t="shared" si="0"/>
        <v>100</v>
      </c>
      <c r="N36" s="113"/>
      <c r="O36" s="113"/>
      <c r="P36" s="113"/>
      <c r="Q36" s="113">
        <v>77</v>
      </c>
      <c r="R36" s="113"/>
      <c r="S36" s="113"/>
      <c r="T36" s="113"/>
      <c r="U36" s="110">
        <f t="shared" si="1"/>
        <v>77</v>
      </c>
      <c r="V36" s="113"/>
      <c r="W36" s="113"/>
      <c r="X36" s="113"/>
      <c r="Y36" s="113"/>
      <c r="Z36" s="113"/>
      <c r="AA36" s="113"/>
      <c r="AB36" s="113"/>
      <c r="AC36" s="110">
        <f t="shared" si="2"/>
        <v>0</v>
      </c>
      <c r="AD36" s="113"/>
      <c r="AE36" s="113"/>
      <c r="AF36" s="113"/>
      <c r="AG36" s="113"/>
      <c r="AH36" s="113"/>
      <c r="AI36" s="113"/>
      <c r="AJ36" s="113"/>
      <c r="AK36" s="110">
        <f t="shared" si="3"/>
        <v>0</v>
      </c>
      <c r="AL36" s="113">
        <v>26</v>
      </c>
      <c r="AM36" s="113">
        <v>23</v>
      </c>
      <c r="AN36" s="113">
        <v>22</v>
      </c>
      <c r="AO36" s="113"/>
      <c r="AP36" s="113"/>
      <c r="AQ36" s="113"/>
      <c r="AR36" s="113"/>
      <c r="AS36" s="110">
        <f t="shared" si="4"/>
        <v>71</v>
      </c>
    </row>
    <row r="37" spans="1:45">
      <c r="A37" s="111">
        <v>28</v>
      </c>
      <c r="B37" s="112" t="s">
        <v>23</v>
      </c>
      <c r="C37" s="112" t="s">
        <v>107</v>
      </c>
      <c r="D37" s="112" t="s">
        <v>163</v>
      </c>
      <c r="E37" s="112" t="s">
        <v>164</v>
      </c>
      <c r="F37" s="113">
        <v>35</v>
      </c>
      <c r="G37" s="113">
        <v>55</v>
      </c>
      <c r="H37" s="113"/>
      <c r="I37" s="113"/>
      <c r="J37" s="113"/>
      <c r="K37" s="113"/>
      <c r="L37" s="113"/>
      <c r="M37" s="110">
        <f t="shared" si="0"/>
        <v>90</v>
      </c>
      <c r="N37" s="113"/>
      <c r="O37" s="113"/>
      <c r="P37" s="113"/>
      <c r="Q37" s="113">
        <v>70</v>
      </c>
      <c r="R37" s="113"/>
      <c r="S37" s="113"/>
      <c r="T37" s="113"/>
      <c r="U37" s="110">
        <f t="shared" si="1"/>
        <v>70</v>
      </c>
      <c r="V37" s="113"/>
      <c r="W37" s="113"/>
      <c r="X37" s="113"/>
      <c r="Y37" s="113"/>
      <c r="Z37" s="113"/>
      <c r="AA37" s="113"/>
      <c r="AB37" s="113"/>
      <c r="AC37" s="110">
        <f t="shared" si="2"/>
        <v>0</v>
      </c>
      <c r="AD37" s="113"/>
      <c r="AE37" s="113"/>
      <c r="AF37" s="113"/>
      <c r="AG37" s="113"/>
      <c r="AH37" s="113"/>
      <c r="AI37" s="113"/>
      <c r="AJ37" s="113"/>
      <c r="AK37" s="110">
        <f t="shared" si="3"/>
        <v>0</v>
      </c>
      <c r="AL37" s="113">
        <v>25</v>
      </c>
      <c r="AM37" s="113">
        <v>12</v>
      </c>
      <c r="AN37" s="113">
        <v>21</v>
      </c>
      <c r="AO37" s="113"/>
      <c r="AP37" s="113"/>
      <c r="AQ37" s="113"/>
      <c r="AR37" s="113"/>
      <c r="AS37" s="110">
        <f t="shared" si="4"/>
        <v>58</v>
      </c>
    </row>
    <row r="38" spans="1:45">
      <c r="A38" s="111">
        <v>29</v>
      </c>
      <c r="B38" s="112" t="s">
        <v>23</v>
      </c>
      <c r="C38" s="112" t="s">
        <v>107</v>
      </c>
      <c r="D38" s="112" t="s">
        <v>165</v>
      </c>
      <c r="E38" s="112" t="s">
        <v>166</v>
      </c>
      <c r="F38" s="113">
        <v>30</v>
      </c>
      <c r="G38" s="113">
        <v>60</v>
      </c>
      <c r="H38" s="113"/>
      <c r="I38" s="113"/>
      <c r="J38" s="113"/>
      <c r="K38" s="113"/>
      <c r="L38" s="113"/>
      <c r="M38" s="110">
        <f t="shared" si="0"/>
        <v>90</v>
      </c>
      <c r="N38" s="113"/>
      <c r="O38" s="113"/>
      <c r="P38" s="113"/>
      <c r="Q38" s="113">
        <v>0</v>
      </c>
      <c r="R38" s="113"/>
      <c r="S38" s="113"/>
      <c r="T38" s="113"/>
      <c r="U38" s="110">
        <f t="shared" si="1"/>
        <v>0</v>
      </c>
      <c r="V38" s="113"/>
      <c r="W38" s="113"/>
      <c r="X38" s="113"/>
      <c r="Y38" s="113"/>
      <c r="Z38" s="113"/>
      <c r="AA38" s="113"/>
      <c r="AB38" s="113"/>
      <c r="AC38" s="110">
        <f t="shared" si="2"/>
        <v>0</v>
      </c>
      <c r="AD38" s="113"/>
      <c r="AE38" s="113"/>
      <c r="AF38" s="113"/>
      <c r="AG38" s="113"/>
      <c r="AH38" s="113"/>
      <c r="AI38" s="113"/>
      <c r="AJ38" s="113"/>
      <c r="AK38" s="110">
        <f t="shared" si="3"/>
        <v>0</v>
      </c>
      <c r="AL38" s="113">
        <v>24</v>
      </c>
      <c r="AM38" s="113">
        <v>17</v>
      </c>
      <c r="AN38" s="113">
        <v>17</v>
      </c>
      <c r="AO38" s="113"/>
      <c r="AP38" s="113"/>
      <c r="AQ38" s="113"/>
      <c r="AR38" s="113"/>
      <c r="AS38" s="110">
        <f t="shared" si="4"/>
        <v>58</v>
      </c>
    </row>
    <row r="39" spans="1:45">
      <c r="A39" s="111">
        <v>30</v>
      </c>
      <c r="B39" s="112" t="s">
        <v>23</v>
      </c>
      <c r="C39" s="112" t="s">
        <v>107</v>
      </c>
      <c r="D39" s="112" t="s">
        <v>167</v>
      </c>
      <c r="E39" s="112" t="s">
        <v>168</v>
      </c>
      <c r="F39" s="113">
        <v>40</v>
      </c>
      <c r="G39" s="113">
        <v>60</v>
      </c>
      <c r="H39" s="113"/>
      <c r="I39" s="113"/>
      <c r="J39" s="113"/>
      <c r="K39" s="113"/>
      <c r="L39" s="113"/>
      <c r="M39" s="110">
        <f t="shared" si="0"/>
        <v>100</v>
      </c>
      <c r="N39" s="113"/>
      <c r="O39" s="113"/>
      <c r="P39" s="113"/>
      <c r="Q39" s="113">
        <v>83</v>
      </c>
      <c r="R39" s="113"/>
      <c r="S39" s="113"/>
      <c r="T39" s="113"/>
      <c r="U39" s="110">
        <f t="shared" si="1"/>
        <v>83</v>
      </c>
      <c r="V39" s="113"/>
      <c r="W39" s="113"/>
      <c r="X39" s="113"/>
      <c r="Y39" s="113"/>
      <c r="Z39" s="113"/>
      <c r="AA39" s="113"/>
      <c r="AB39" s="113"/>
      <c r="AC39" s="110">
        <f t="shared" si="2"/>
        <v>0</v>
      </c>
      <c r="AD39" s="113"/>
      <c r="AE39" s="113"/>
      <c r="AF39" s="113"/>
      <c r="AG39" s="113"/>
      <c r="AH39" s="113"/>
      <c r="AI39" s="113"/>
      <c r="AJ39" s="113"/>
      <c r="AK39" s="110">
        <f t="shared" si="3"/>
        <v>0</v>
      </c>
      <c r="AL39" s="113">
        <v>28</v>
      </c>
      <c r="AM39" s="113">
        <v>18</v>
      </c>
      <c r="AN39" s="113">
        <v>22</v>
      </c>
      <c r="AO39" s="113"/>
      <c r="AP39" s="113"/>
      <c r="AQ39" s="113"/>
      <c r="AR39" s="113"/>
      <c r="AS39" s="110">
        <f t="shared" si="4"/>
        <v>68</v>
      </c>
    </row>
    <row r="40" spans="1:45">
      <c r="A40" s="111">
        <v>31</v>
      </c>
      <c r="B40" s="112" t="s">
        <v>23</v>
      </c>
      <c r="C40" s="112" t="s">
        <v>107</v>
      </c>
      <c r="D40" s="112" t="s">
        <v>169</v>
      </c>
      <c r="E40" s="112" t="s">
        <v>170</v>
      </c>
      <c r="F40" s="113">
        <v>40</v>
      </c>
      <c r="G40" s="113">
        <v>60</v>
      </c>
      <c r="H40" s="113"/>
      <c r="I40" s="113"/>
      <c r="J40" s="113"/>
      <c r="K40" s="113"/>
      <c r="L40" s="113"/>
      <c r="M40" s="110">
        <f t="shared" si="0"/>
        <v>100</v>
      </c>
      <c r="N40" s="113"/>
      <c r="O40" s="113"/>
      <c r="P40" s="113"/>
      <c r="Q40" s="113">
        <v>73</v>
      </c>
      <c r="R40" s="113"/>
      <c r="S40" s="113"/>
      <c r="T40" s="113"/>
      <c r="U40" s="110">
        <f t="shared" si="1"/>
        <v>73</v>
      </c>
      <c r="V40" s="113"/>
      <c r="W40" s="113"/>
      <c r="X40" s="113"/>
      <c r="Y40" s="113"/>
      <c r="Z40" s="113"/>
      <c r="AA40" s="113"/>
      <c r="AB40" s="113"/>
      <c r="AC40" s="110">
        <f t="shared" si="2"/>
        <v>0</v>
      </c>
      <c r="AD40" s="113"/>
      <c r="AE40" s="113"/>
      <c r="AF40" s="113"/>
      <c r="AG40" s="113"/>
      <c r="AH40" s="113"/>
      <c r="AI40" s="113"/>
      <c r="AJ40" s="113"/>
      <c r="AK40" s="110">
        <f t="shared" si="3"/>
        <v>0</v>
      </c>
      <c r="AL40" s="113">
        <v>34</v>
      </c>
      <c r="AM40" s="113">
        <v>30</v>
      </c>
      <c r="AN40" s="113">
        <v>27</v>
      </c>
      <c r="AO40" s="113"/>
      <c r="AP40" s="113"/>
      <c r="AQ40" s="113"/>
      <c r="AR40" s="113"/>
      <c r="AS40" s="110">
        <f t="shared" si="4"/>
        <v>91</v>
      </c>
    </row>
    <row r="41" spans="1:45">
      <c r="A41" s="111">
        <v>32</v>
      </c>
      <c r="B41" s="112" t="s">
        <v>23</v>
      </c>
      <c r="C41" s="112" t="s">
        <v>107</v>
      </c>
      <c r="D41" s="112" t="s">
        <v>171</v>
      </c>
      <c r="E41" s="112" t="s">
        <v>172</v>
      </c>
      <c r="F41" s="113">
        <v>40</v>
      </c>
      <c r="G41" s="113">
        <v>60</v>
      </c>
      <c r="H41" s="113"/>
      <c r="I41" s="113"/>
      <c r="J41" s="113"/>
      <c r="K41" s="113"/>
      <c r="L41" s="113"/>
      <c r="M41" s="110">
        <f t="shared" si="0"/>
        <v>100</v>
      </c>
      <c r="N41" s="113"/>
      <c r="O41" s="113"/>
      <c r="P41" s="113"/>
      <c r="Q41" s="113">
        <v>83</v>
      </c>
      <c r="R41" s="113"/>
      <c r="S41" s="113"/>
      <c r="T41" s="113"/>
      <c r="U41" s="110">
        <f t="shared" si="1"/>
        <v>83</v>
      </c>
      <c r="V41" s="113"/>
      <c r="W41" s="113"/>
      <c r="X41" s="113"/>
      <c r="Y41" s="113"/>
      <c r="Z41" s="113"/>
      <c r="AA41" s="113"/>
      <c r="AB41" s="113"/>
      <c r="AC41" s="110">
        <f t="shared" si="2"/>
        <v>0</v>
      </c>
      <c r="AD41" s="113"/>
      <c r="AE41" s="113"/>
      <c r="AF41" s="113"/>
      <c r="AG41" s="113"/>
      <c r="AH41" s="113"/>
      <c r="AI41" s="113"/>
      <c r="AJ41" s="113"/>
      <c r="AK41" s="110">
        <f t="shared" si="3"/>
        <v>0</v>
      </c>
      <c r="AL41" s="113">
        <v>32</v>
      </c>
      <c r="AM41" s="113">
        <v>27</v>
      </c>
      <c r="AN41" s="113">
        <v>18</v>
      </c>
      <c r="AO41" s="113"/>
      <c r="AP41" s="113"/>
      <c r="AQ41" s="113"/>
      <c r="AR41" s="113"/>
      <c r="AS41" s="110">
        <f t="shared" si="4"/>
        <v>77</v>
      </c>
    </row>
    <row r="42" spans="1:45">
      <c r="A42" s="111">
        <v>33</v>
      </c>
      <c r="B42" s="112" t="s">
        <v>23</v>
      </c>
      <c r="C42" s="112" t="s">
        <v>107</v>
      </c>
      <c r="D42" s="112" t="s">
        <v>173</v>
      </c>
      <c r="E42" s="112" t="s">
        <v>174</v>
      </c>
      <c r="F42" s="113">
        <v>40</v>
      </c>
      <c r="G42" s="113">
        <v>60</v>
      </c>
      <c r="H42" s="113"/>
      <c r="I42" s="113"/>
      <c r="J42" s="113"/>
      <c r="K42" s="113"/>
      <c r="L42" s="113"/>
      <c r="M42" s="110">
        <f t="shared" si="0"/>
        <v>100</v>
      </c>
      <c r="N42" s="113"/>
      <c r="O42" s="113"/>
      <c r="P42" s="113"/>
      <c r="Q42" s="113">
        <v>50</v>
      </c>
      <c r="R42" s="113"/>
      <c r="S42" s="113"/>
      <c r="T42" s="113"/>
      <c r="U42" s="110">
        <f t="shared" si="1"/>
        <v>50</v>
      </c>
      <c r="V42" s="113"/>
      <c r="W42" s="113"/>
      <c r="X42" s="113"/>
      <c r="Y42" s="113"/>
      <c r="Z42" s="113"/>
      <c r="AA42" s="113"/>
      <c r="AB42" s="113"/>
      <c r="AC42" s="110">
        <f t="shared" si="2"/>
        <v>0</v>
      </c>
      <c r="AD42" s="113"/>
      <c r="AE42" s="113"/>
      <c r="AF42" s="113"/>
      <c r="AG42" s="113"/>
      <c r="AH42" s="113"/>
      <c r="AI42" s="113"/>
      <c r="AJ42" s="113"/>
      <c r="AK42" s="110">
        <f t="shared" si="3"/>
        <v>0</v>
      </c>
      <c r="AL42" s="113">
        <v>22</v>
      </c>
      <c r="AM42" s="113">
        <v>11</v>
      </c>
      <c r="AN42" s="113">
        <v>9</v>
      </c>
      <c r="AO42" s="113"/>
      <c r="AP42" s="113"/>
      <c r="AQ42" s="113"/>
      <c r="AR42" s="113"/>
      <c r="AS42" s="110">
        <f t="shared" si="4"/>
        <v>42</v>
      </c>
    </row>
    <row r="43" spans="1:45">
      <c r="A43" s="111">
        <v>34</v>
      </c>
      <c r="B43" s="112" t="s">
        <v>23</v>
      </c>
      <c r="C43" s="112" t="s">
        <v>107</v>
      </c>
      <c r="D43" s="112" t="s">
        <v>175</v>
      </c>
      <c r="E43" s="112" t="s">
        <v>176</v>
      </c>
      <c r="F43" s="113">
        <v>40</v>
      </c>
      <c r="G43" s="113">
        <v>60</v>
      </c>
      <c r="H43" s="113"/>
      <c r="I43" s="113"/>
      <c r="J43" s="113"/>
      <c r="K43" s="113"/>
      <c r="L43" s="113"/>
      <c r="M43" s="110">
        <f t="shared" si="0"/>
        <v>100</v>
      </c>
      <c r="N43" s="113"/>
      <c r="O43" s="113"/>
      <c r="P43" s="113"/>
      <c r="Q43" s="113">
        <v>88</v>
      </c>
      <c r="R43" s="113"/>
      <c r="S43" s="113"/>
      <c r="T43" s="113"/>
      <c r="U43" s="110">
        <f t="shared" si="1"/>
        <v>88</v>
      </c>
      <c r="V43" s="113"/>
      <c r="W43" s="113"/>
      <c r="X43" s="113"/>
      <c r="Y43" s="113"/>
      <c r="Z43" s="113"/>
      <c r="AA43" s="113"/>
      <c r="AB43" s="113"/>
      <c r="AC43" s="110">
        <f t="shared" si="2"/>
        <v>0</v>
      </c>
      <c r="AD43" s="113"/>
      <c r="AE43" s="113"/>
      <c r="AF43" s="113"/>
      <c r="AG43" s="113"/>
      <c r="AH43" s="113"/>
      <c r="AI43" s="113"/>
      <c r="AJ43" s="113"/>
      <c r="AK43" s="110">
        <f t="shared" si="3"/>
        <v>0</v>
      </c>
      <c r="AL43" s="113">
        <v>30</v>
      </c>
      <c r="AM43" s="113">
        <v>15</v>
      </c>
      <c r="AN43" s="113">
        <v>17</v>
      </c>
      <c r="AO43" s="113"/>
      <c r="AP43" s="113"/>
      <c r="AQ43" s="113"/>
      <c r="AR43" s="113"/>
      <c r="AS43" s="110">
        <f t="shared" si="4"/>
        <v>62</v>
      </c>
    </row>
    <row r="44" spans="1:45">
      <c r="A44" s="111">
        <v>35</v>
      </c>
      <c r="B44" s="112" t="s">
        <v>23</v>
      </c>
      <c r="C44" s="112" t="s">
        <v>107</v>
      </c>
      <c r="D44" s="112" t="s">
        <v>177</v>
      </c>
      <c r="E44" s="112" t="s">
        <v>178</v>
      </c>
      <c r="F44" s="113">
        <v>40</v>
      </c>
      <c r="G44" s="113">
        <v>60</v>
      </c>
      <c r="H44" s="113"/>
      <c r="I44" s="113"/>
      <c r="J44" s="113"/>
      <c r="K44" s="113"/>
      <c r="L44" s="113"/>
      <c r="M44" s="110">
        <f t="shared" si="0"/>
        <v>100</v>
      </c>
      <c r="N44" s="113"/>
      <c r="O44" s="113"/>
      <c r="P44" s="113"/>
      <c r="Q44" s="113">
        <v>70</v>
      </c>
      <c r="R44" s="113"/>
      <c r="S44" s="113"/>
      <c r="T44" s="113"/>
      <c r="U44" s="110">
        <f t="shared" si="1"/>
        <v>70</v>
      </c>
      <c r="V44" s="113"/>
      <c r="W44" s="113"/>
      <c r="X44" s="113"/>
      <c r="Y44" s="113"/>
      <c r="Z44" s="113"/>
      <c r="AA44" s="113"/>
      <c r="AB44" s="113"/>
      <c r="AC44" s="110">
        <f t="shared" si="2"/>
        <v>0</v>
      </c>
      <c r="AD44" s="113"/>
      <c r="AE44" s="113"/>
      <c r="AF44" s="113"/>
      <c r="AG44" s="113"/>
      <c r="AH44" s="113"/>
      <c r="AI44" s="113"/>
      <c r="AJ44" s="113"/>
      <c r="AK44" s="110">
        <f t="shared" si="3"/>
        <v>0</v>
      </c>
      <c r="AL44" s="113">
        <v>34</v>
      </c>
      <c r="AM44" s="113">
        <v>27</v>
      </c>
      <c r="AN44" s="113">
        <v>26</v>
      </c>
      <c r="AO44" s="113"/>
      <c r="AP44" s="113"/>
      <c r="AQ44" s="113"/>
      <c r="AR44" s="113"/>
      <c r="AS44" s="110">
        <f t="shared" si="4"/>
        <v>87</v>
      </c>
    </row>
    <row r="45" spans="1:45">
      <c r="A45" s="111">
        <v>36</v>
      </c>
      <c r="B45" s="112" t="s">
        <v>23</v>
      </c>
      <c r="C45" s="112" t="s">
        <v>107</v>
      </c>
      <c r="D45" s="112" t="s">
        <v>179</v>
      </c>
      <c r="E45" s="112" t="s">
        <v>180</v>
      </c>
      <c r="F45" s="113">
        <v>40</v>
      </c>
      <c r="G45" s="113">
        <v>60</v>
      </c>
      <c r="H45" s="113"/>
      <c r="I45" s="113"/>
      <c r="J45" s="113"/>
      <c r="K45" s="113"/>
      <c r="L45" s="113"/>
      <c r="M45" s="110">
        <f t="shared" si="0"/>
        <v>100</v>
      </c>
      <c r="N45" s="113"/>
      <c r="O45" s="113"/>
      <c r="P45" s="113"/>
      <c r="Q45" s="113">
        <v>77</v>
      </c>
      <c r="R45" s="113"/>
      <c r="S45" s="113"/>
      <c r="T45" s="113"/>
      <c r="U45" s="110">
        <f t="shared" si="1"/>
        <v>77</v>
      </c>
      <c r="V45" s="113"/>
      <c r="W45" s="113"/>
      <c r="X45" s="113"/>
      <c r="Y45" s="113"/>
      <c r="Z45" s="113"/>
      <c r="AA45" s="113"/>
      <c r="AB45" s="113"/>
      <c r="AC45" s="110">
        <f t="shared" si="2"/>
        <v>0</v>
      </c>
      <c r="AD45" s="113"/>
      <c r="AE45" s="113"/>
      <c r="AF45" s="113"/>
      <c r="AG45" s="113"/>
      <c r="AH45" s="113"/>
      <c r="AI45" s="113"/>
      <c r="AJ45" s="113"/>
      <c r="AK45" s="110">
        <f t="shared" si="3"/>
        <v>0</v>
      </c>
      <c r="AL45" s="113">
        <v>36</v>
      </c>
      <c r="AM45" s="113">
        <v>24</v>
      </c>
      <c r="AN45" s="113">
        <v>26</v>
      </c>
      <c r="AO45" s="113"/>
      <c r="AP45" s="113"/>
      <c r="AQ45" s="113"/>
      <c r="AR45" s="113"/>
      <c r="AS45" s="110">
        <f t="shared" si="4"/>
        <v>86</v>
      </c>
    </row>
    <row r="46" spans="1:45">
      <c r="A46" s="111">
        <v>37</v>
      </c>
      <c r="B46" s="112" t="s">
        <v>23</v>
      </c>
      <c r="C46" s="112" t="s">
        <v>107</v>
      </c>
      <c r="D46" s="112" t="s">
        <v>181</v>
      </c>
      <c r="E46" s="112" t="s">
        <v>182</v>
      </c>
      <c r="F46" s="113">
        <v>40</v>
      </c>
      <c r="G46" s="113">
        <v>60</v>
      </c>
      <c r="H46" s="113"/>
      <c r="I46" s="113"/>
      <c r="J46" s="113"/>
      <c r="K46" s="113"/>
      <c r="L46" s="113"/>
      <c r="M46" s="110">
        <f t="shared" si="0"/>
        <v>100</v>
      </c>
      <c r="N46" s="113"/>
      <c r="O46" s="113"/>
      <c r="P46" s="113"/>
      <c r="Q46" s="113">
        <v>77</v>
      </c>
      <c r="R46" s="113"/>
      <c r="S46" s="113"/>
      <c r="T46" s="113"/>
      <c r="U46" s="110">
        <f t="shared" si="1"/>
        <v>77</v>
      </c>
      <c r="V46" s="113"/>
      <c r="W46" s="113"/>
      <c r="X46" s="113"/>
      <c r="Y46" s="113"/>
      <c r="Z46" s="113"/>
      <c r="AA46" s="113"/>
      <c r="AB46" s="113"/>
      <c r="AC46" s="110">
        <f t="shared" si="2"/>
        <v>0</v>
      </c>
      <c r="AD46" s="113"/>
      <c r="AE46" s="113"/>
      <c r="AF46" s="113"/>
      <c r="AG46" s="113"/>
      <c r="AH46" s="113"/>
      <c r="AI46" s="113"/>
      <c r="AJ46" s="113"/>
      <c r="AK46" s="110">
        <f t="shared" si="3"/>
        <v>0</v>
      </c>
      <c r="AL46" s="113">
        <v>34</v>
      </c>
      <c r="AM46" s="113">
        <v>29</v>
      </c>
      <c r="AN46" s="113">
        <v>24</v>
      </c>
      <c r="AO46" s="113"/>
      <c r="AP46" s="113"/>
      <c r="AQ46" s="113"/>
      <c r="AR46" s="113"/>
      <c r="AS46" s="110">
        <f t="shared" si="4"/>
        <v>87</v>
      </c>
    </row>
    <row r="47" spans="1:45">
      <c r="A47" s="111">
        <v>38</v>
      </c>
      <c r="B47" s="112" t="s">
        <v>23</v>
      </c>
      <c r="C47" s="112" t="s">
        <v>107</v>
      </c>
      <c r="D47" s="112" t="s">
        <v>183</v>
      </c>
      <c r="E47" s="112" t="s">
        <v>184</v>
      </c>
      <c r="F47" s="113">
        <v>40</v>
      </c>
      <c r="G47" s="113">
        <v>60</v>
      </c>
      <c r="H47" s="113"/>
      <c r="I47" s="113"/>
      <c r="J47" s="113"/>
      <c r="K47" s="113"/>
      <c r="L47" s="113"/>
      <c r="M47" s="110">
        <f t="shared" si="0"/>
        <v>100</v>
      </c>
      <c r="N47" s="113"/>
      <c r="O47" s="113"/>
      <c r="P47" s="113"/>
      <c r="Q47" s="113">
        <v>87</v>
      </c>
      <c r="R47" s="113"/>
      <c r="S47" s="113"/>
      <c r="T47" s="113"/>
      <c r="U47" s="110">
        <f t="shared" si="1"/>
        <v>87</v>
      </c>
      <c r="V47" s="113"/>
      <c r="W47" s="113"/>
      <c r="X47" s="113"/>
      <c r="Y47" s="113"/>
      <c r="Z47" s="113"/>
      <c r="AA47" s="113"/>
      <c r="AB47" s="113"/>
      <c r="AC47" s="110">
        <f t="shared" si="2"/>
        <v>0</v>
      </c>
      <c r="AD47" s="113"/>
      <c r="AE47" s="113"/>
      <c r="AF47" s="113"/>
      <c r="AG47" s="113"/>
      <c r="AH47" s="113"/>
      <c r="AI47" s="113"/>
      <c r="AJ47" s="113"/>
      <c r="AK47" s="110">
        <f t="shared" si="3"/>
        <v>0</v>
      </c>
      <c r="AL47" s="113">
        <v>36</v>
      </c>
      <c r="AM47" s="113">
        <v>29</v>
      </c>
      <c r="AN47" s="113">
        <v>28</v>
      </c>
      <c r="AO47" s="113"/>
      <c r="AP47" s="113"/>
      <c r="AQ47" s="113"/>
      <c r="AR47" s="113"/>
      <c r="AS47" s="110">
        <f t="shared" si="4"/>
        <v>93</v>
      </c>
    </row>
    <row r="48" spans="1:45">
      <c r="A48" s="111">
        <v>39</v>
      </c>
      <c r="B48" s="112" t="s">
        <v>23</v>
      </c>
      <c r="C48" s="112" t="s">
        <v>107</v>
      </c>
      <c r="D48" s="112" t="s">
        <v>185</v>
      </c>
      <c r="E48" s="112" t="s">
        <v>186</v>
      </c>
      <c r="F48" s="113">
        <v>40</v>
      </c>
      <c r="G48" s="113">
        <v>60</v>
      </c>
      <c r="H48" s="113"/>
      <c r="I48" s="113"/>
      <c r="J48" s="113"/>
      <c r="K48" s="113"/>
      <c r="L48" s="113"/>
      <c r="M48" s="110">
        <f t="shared" si="0"/>
        <v>100</v>
      </c>
      <c r="N48" s="113"/>
      <c r="O48" s="113"/>
      <c r="P48" s="113"/>
      <c r="Q48" s="113">
        <v>90</v>
      </c>
      <c r="R48" s="113"/>
      <c r="S48" s="113"/>
      <c r="T48" s="113"/>
      <c r="U48" s="110">
        <f t="shared" si="1"/>
        <v>90</v>
      </c>
      <c r="V48" s="113"/>
      <c r="W48" s="113"/>
      <c r="X48" s="113"/>
      <c r="Y48" s="113"/>
      <c r="Z48" s="113"/>
      <c r="AA48" s="113"/>
      <c r="AB48" s="113"/>
      <c r="AC48" s="110">
        <f t="shared" si="2"/>
        <v>0</v>
      </c>
      <c r="AD48" s="113"/>
      <c r="AE48" s="113"/>
      <c r="AF48" s="113"/>
      <c r="AG48" s="113"/>
      <c r="AH48" s="113"/>
      <c r="AI48" s="113"/>
      <c r="AJ48" s="113"/>
      <c r="AK48" s="110">
        <f t="shared" si="3"/>
        <v>0</v>
      </c>
      <c r="AL48" s="113">
        <v>34</v>
      </c>
      <c r="AM48" s="113">
        <v>27</v>
      </c>
      <c r="AN48" s="113">
        <v>24</v>
      </c>
      <c r="AO48" s="113"/>
      <c r="AP48" s="113"/>
      <c r="AQ48" s="113"/>
      <c r="AR48" s="113"/>
      <c r="AS48" s="110">
        <f t="shared" si="4"/>
        <v>85</v>
      </c>
    </row>
    <row r="49" spans="1:45">
      <c r="A49" s="111">
        <v>40</v>
      </c>
      <c r="B49" s="112" t="s">
        <v>23</v>
      </c>
      <c r="C49" s="112" t="s">
        <v>107</v>
      </c>
      <c r="D49" s="112" t="s">
        <v>187</v>
      </c>
      <c r="E49" s="112" t="s">
        <v>188</v>
      </c>
      <c r="F49" s="113">
        <v>40</v>
      </c>
      <c r="G49" s="113">
        <v>60</v>
      </c>
      <c r="H49" s="113"/>
      <c r="I49" s="113"/>
      <c r="J49" s="113"/>
      <c r="K49" s="113"/>
      <c r="L49" s="113"/>
      <c r="M49" s="110">
        <f t="shared" si="0"/>
        <v>100</v>
      </c>
      <c r="N49" s="113"/>
      <c r="O49" s="113"/>
      <c r="P49" s="113"/>
      <c r="Q49" s="113">
        <v>83</v>
      </c>
      <c r="R49" s="113"/>
      <c r="S49" s="113"/>
      <c r="T49" s="113"/>
      <c r="U49" s="110">
        <f t="shared" si="1"/>
        <v>83</v>
      </c>
      <c r="V49" s="113"/>
      <c r="W49" s="113"/>
      <c r="X49" s="113"/>
      <c r="Y49" s="113"/>
      <c r="Z49" s="113"/>
      <c r="AA49" s="113"/>
      <c r="AB49" s="113"/>
      <c r="AC49" s="110">
        <f t="shared" si="2"/>
        <v>0</v>
      </c>
      <c r="AD49" s="113"/>
      <c r="AE49" s="113"/>
      <c r="AF49" s="113"/>
      <c r="AG49" s="113"/>
      <c r="AH49" s="113"/>
      <c r="AI49" s="113"/>
      <c r="AJ49" s="113"/>
      <c r="AK49" s="110">
        <f t="shared" si="3"/>
        <v>0</v>
      </c>
      <c r="AL49" s="113">
        <v>28</v>
      </c>
      <c r="AM49" s="113">
        <v>18</v>
      </c>
      <c r="AN49" s="113">
        <v>19</v>
      </c>
      <c r="AO49" s="113"/>
      <c r="AP49" s="113"/>
      <c r="AQ49" s="113"/>
      <c r="AR49" s="113"/>
      <c r="AS49" s="110">
        <f t="shared" si="4"/>
        <v>65</v>
      </c>
    </row>
    <row r="50" spans="1:45">
      <c r="A50" s="111">
        <v>41</v>
      </c>
      <c r="B50" s="112" t="s">
        <v>23</v>
      </c>
      <c r="C50" s="112" t="s">
        <v>107</v>
      </c>
      <c r="D50" s="112" t="s">
        <v>189</v>
      </c>
      <c r="E50" s="112" t="s">
        <v>190</v>
      </c>
      <c r="F50" s="113">
        <v>40</v>
      </c>
      <c r="G50" s="113">
        <v>60</v>
      </c>
      <c r="H50" s="113"/>
      <c r="I50" s="113"/>
      <c r="J50" s="113"/>
      <c r="K50" s="113"/>
      <c r="L50" s="113"/>
      <c r="M50" s="110">
        <f t="shared" si="0"/>
        <v>100</v>
      </c>
      <c r="N50" s="113"/>
      <c r="O50" s="113"/>
      <c r="P50" s="113"/>
      <c r="Q50" s="113">
        <v>77</v>
      </c>
      <c r="R50" s="113"/>
      <c r="S50" s="113"/>
      <c r="T50" s="113"/>
      <c r="U50" s="110">
        <f t="shared" si="1"/>
        <v>77</v>
      </c>
      <c r="V50" s="113"/>
      <c r="W50" s="113"/>
      <c r="X50" s="113"/>
      <c r="Y50" s="113"/>
      <c r="Z50" s="113"/>
      <c r="AA50" s="113"/>
      <c r="AB50" s="113"/>
      <c r="AC50" s="110">
        <f t="shared" si="2"/>
        <v>0</v>
      </c>
      <c r="AD50" s="113"/>
      <c r="AE50" s="113"/>
      <c r="AF50" s="113"/>
      <c r="AG50" s="113"/>
      <c r="AH50" s="113"/>
      <c r="AI50" s="113"/>
      <c r="AJ50" s="113"/>
      <c r="AK50" s="110">
        <f t="shared" si="3"/>
        <v>0</v>
      </c>
      <c r="AL50" s="113">
        <v>26</v>
      </c>
      <c r="AM50" s="113">
        <v>14</v>
      </c>
      <c r="AN50" s="113">
        <v>12</v>
      </c>
      <c r="AO50" s="113"/>
      <c r="AP50" s="113"/>
      <c r="AQ50" s="113"/>
      <c r="AR50" s="113"/>
      <c r="AS50" s="110">
        <f t="shared" si="4"/>
        <v>52</v>
      </c>
    </row>
    <row r="51" spans="1:45">
      <c r="A51" s="111">
        <v>42</v>
      </c>
      <c r="B51" s="112" t="s">
        <v>23</v>
      </c>
      <c r="C51" s="112" t="s">
        <v>107</v>
      </c>
      <c r="D51" s="112" t="s">
        <v>191</v>
      </c>
      <c r="E51" s="112" t="s">
        <v>192</v>
      </c>
      <c r="F51" s="113">
        <v>40</v>
      </c>
      <c r="G51" s="113">
        <v>60</v>
      </c>
      <c r="H51" s="113"/>
      <c r="I51" s="113"/>
      <c r="J51" s="113"/>
      <c r="K51" s="113"/>
      <c r="L51" s="113"/>
      <c r="M51" s="110">
        <f t="shared" si="0"/>
        <v>100</v>
      </c>
      <c r="N51" s="113"/>
      <c r="O51" s="113"/>
      <c r="P51" s="113"/>
      <c r="Q51" s="113">
        <v>88</v>
      </c>
      <c r="R51" s="113"/>
      <c r="S51" s="113"/>
      <c r="T51" s="113"/>
      <c r="U51" s="110">
        <f t="shared" si="1"/>
        <v>88</v>
      </c>
      <c r="V51" s="113"/>
      <c r="W51" s="113"/>
      <c r="X51" s="113"/>
      <c r="Y51" s="113"/>
      <c r="Z51" s="113"/>
      <c r="AA51" s="113"/>
      <c r="AB51" s="113"/>
      <c r="AC51" s="110">
        <f t="shared" si="2"/>
        <v>0</v>
      </c>
      <c r="AD51" s="113"/>
      <c r="AE51" s="113"/>
      <c r="AF51" s="113"/>
      <c r="AG51" s="113"/>
      <c r="AH51" s="113"/>
      <c r="AI51" s="113"/>
      <c r="AJ51" s="113"/>
      <c r="AK51" s="110">
        <f t="shared" si="3"/>
        <v>0</v>
      </c>
      <c r="AL51" s="113">
        <v>28</v>
      </c>
      <c r="AM51" s="113">
        <v>16</v>
      </c>
      <c r="AN51" s="113">
        <v>21</v>
      </c>
      <c r="AO51" s="113"/>
      <c r="AP51" s="113"/>
      <c r="AQ51" s="113"/>
      <c r="AR51" s="113"/>
      <c r="AS51" s="110">
        <f t="shared" si="4"/>
        <v>65</v>
      </c>
    </row>
    <row r="52" spans="1:45">
      <c r="A52" s="111">
        <v>43</v>
      </c>
      <c r="B52" s="112" t="s">
        <v>23</v>
      </c>
      <c r="C52" s="112" t="s">
        <v>107</v>
      </c>
      <c r="D52" s="112" t="s">
        <v>193</v>
      </c>
      <c r="E52" s="112" t="s">
        <v>194</v>
      </c>
      <c r="F52" s="113">
        <v>40</v>
      </c>
      <c r="G52" s="113">
        <v>60</v>
      </c>
      <c r="H52" s="113"/>
      <c r="I52" s="113"/>
      <c r="J52" s="113"/>
      <c r="K52" s="113"/>
      <c r="L52" s="113"/>
      <c r="M52" s="110">
        <f t="shared" si="0"/>
        <v>100</v>
      </c>
      <c r="N52" s="113"/>
      <c r="O52" s="113"/>
      <c r="P52" s="113"/>
      <c r="Q52" s="113">
        <v>67</v>
      </c>
      <c r="R52" s="113"/>
      <c r="S52" s="113"/>
      <c r="T52" s="113"/>
      <c r="U52" s="110">
        <f t="shared" si="1"/>
        <v>67</v>
      </c>
      <c r="V52" s="113"/>
      <c r="W52" s="113"/>
      <c r="X52" s="113"/>
      <c r="Y52" s="113"/>
      <c r="Z52" s="113"/>
      <c r="AA52" s="113"/>
      <c r="AB52" s="113"/>
      <c r="AC52" s="110">
        <f t="shared" si="2"/>
        <v>0</v>
      </c>
      <c r="AD52" s="113"/>
      <c r="AE52" s="113"/>
      <c r="AF52" s="113"/>
      <c r="AG52" s="113"/>
      <c r="AH52" s="113"/>
      <c r="AI52" s="113"/>
      <c r="AJ52" s="113"/>
      <c r="AK52" s="110">
        <f t="shared" si="3"/>
        <v>0</v>
      </c>
      <c r="AL52" s="113">
        <v>28</v>
      </c>
      <c r="AM52" s="113">
        <v>22</v>
      </c>
      <c r="AN52" s="113">
        <v>16</v>
      </c>
      <c r="AO52" s="113"/>
      <c r="AP52" s="113"/>
      <c r="AQ52" s="113"/>
      <c r="AR52" s="113"/>
      <c r="AS52" s="110">
        <f t="shared" si="4"/>
        <v>66</v>
      </c>
    </row>
    <row r="53" spans="1:45">
      <c r="A53" s="111">
        <v>44</v>
      </c>
      <c r="B53" s="112" t="s">
        <v>23</v>
      </c>
      <c r="C53" s="112" t="s">
        <v>107</v>
      </c>
      <c r="D53" s="112" t="s">
        <v>195</v>
      </c>
      <c r="E53" s="112" t="s">
        <v>196</v>
      </c>
      <c r="F53" s="113">
        <v>40</v>
      </c>
      <c r="G53" s="113">
        <v>60</v>
      </c>
      <c r="H53" s="113"/>
      <c r="I53" s="113"/>
      <c r="J53" s="113"/>
      <c r="K53" s="113"/>
      <c r="L53" s="113"/>
      <c r="M53" s="110">
        <f t="shared" si="0"/>
        <v>100</v>
      </c>
      <c r="N53" s="113"/>
      <c r="O53" s="113"/>
      <c r="P53" s="113"/>
      <c r="Q53" s="113">
        <v>85</v>
      </c>
      <c r="R53" s="113"/>
      <c r="S53" s="113"/>
      <c r="T53" s="113"/>
      <c r="U53" s="110">
        <f t="shared" si="1"/>
        <v>85</v>
      </c>
      <c r="V53" s="113"/>
      <c r="W53" s="113"/>
      <c r="X53" s="113"/>
      <c r="Y53" s="113"/>
      <c r="Z53" s="113"/>
      <c r="AA53" s="113"/>
      <c r="AB53" s="113"/>
      <c r="AC53" s="110">
        <f t="shared" si="2"/>
        <v>0</v>
      </c>
      <c r="AD53" s="113"/>
      <c r="AE53" s="113"/>
      <c r="AF53" s="113"/>
      <c r="AG53" s="113"/>
      <c r="AH53" s="113"/>
      <c r="AI53" s="113"/>
      <c r="AJ53" s="113"/>
      <c r="AK53" s="110">
        <f t="shared" si="3"/>
        <v>0</v>
      </c>
      <c r="AL53" s="113">
        <v>20</v>
      </c>
      <c r="AM53" s="113">
        <v>18</v>
      </c>
      <c r="AN53" s="113">
        <v>15</v>
      </c>
      <c r="AO53" s="113"/>
      <c r="AP53" s="113"/>
      <c r="AQ53" s="113"/>
      <c r="AR53" s="113"/>
      <c r="AS53" s="110">
        <f t="shared" si="4"/>
        <v>53</v>
      </c>
    </row>
    <row r="54" spans="1:45">
      <c r="A54" s="111">
        <v>45</v>
      </c>
      <c r="B54" s="112" t="s">
        <v>23</v>
      </c>
      <c r="C54" s="112" t="s">
        <v>107</v>
      </c>
      <c r="D54" s="112" t="s">
        <v>197</v>
      </c>
      <c r="E54" s="112" t="s">
        <v>198</v>
      </c>
      <c r="F54" s="113">
        <v>40</v>
      </c>
      <c r="G54" s="113">
        <v>60</v>
      </c>
      <c r="H54" s="113"/>
      <c r="I54" s="113"/>
      <c r="J54" s="113"/>
      <c r="K54" s="113"/>
      <c r="L54" s="113"/>
      <c r="M54" s="110">
        <f t="shared" si="0"/>
        <v>100</v>
      </c>
      <c r="N54" s="113"/>
      <c r="O54" s="113"/>
      <c r="P54" s="113"/>
      <c r="Q54" s="113">
        <v>85</v>
      </c>
      <c r="R54" s="113"/>
      <c r="S54" s="113"/>
      <c r="T54" s="113"/>
      <c r="U54" s="110">
        <f t="shared" si="1"/>
        <v>85</v>
      </c>
      <c r="V54" s="113"/>
      <c r="W54" s="113"/>
      <c r="X54" s="113"/>
      <c r="Y54" s="113"/>
      <c r="Z54" s="113"/>
      <c r="AA54" s="113"/>
      <c r="AB54" s="113"/>
      <c r="AC54" s="110">
        <f t="shared" si="2"/>
        <v>0</v>
      </c>
      <c r="AD54" s="113"/>
      <c r="AE54" s="113"/>
      <c r="AF54" s="113"/>
      <c r="AG54" s="113"/>
      <c r="AH54" s="113"/>
      <c r="AI54" s="113"/>
      <c r="AJ54" s="113"/>
      <c r="AK54" s="110">
        <f t="shared" si="3"/>
        <v>0</v>
      </c>
      <c r="AL54" s="113">
        <v>27</v>
      </c>
      <c r="AM54" s="113">
        <v>14</v>
      </c>
      <c r="AN54" s="113">
        <v>16</v>
      </c>
      <c r="AO54" s="113"/>
      <c r="AP54" s="113"/>
      <c r="AQ54" s="113"/>
      <c r="AR54" s="113"/>
      <c r="AS54" s="110">
        <f t="shared" si="4"/>
        <v>57</v>
      </c>
    </row>
    <row r="55" spans="1:45">
      <c r="A55" s="111">
        <v>46</v>
      </c>
      <c r="B55" s="112" t="s">
        <v>23</v>
      </c>
      <c r="C55" s="112" t="s">
        <v>107</v>
      </c>
      <c r="D55" s="112" t="s">
        <v>199</v>
      </c>
      <c r="E55" s="112" t="s">
        <v>200</v>
      </c>
      <c r="F55" s="113">
        <v>40</v>
      </c>
      <c r="G55" s="113">
        <v>60</v>
      </c>
      <c r="H55" s="113"/>
      <c r="I55" s="113"/>
      <c r="J55" s="113"/>
      <c r="K55" s="113"/>
      <c r="L55" s="113"/>
      <c r="M55" s="110">
        <f t="shared" si="0"/>
        <v>100</v>
      </c>
      <c r="N55" s="113"/>
      <c r="O55" s="113"/>
      <c r="P55" s="113"/>
      <c r="Q55" s="113">
        <v>82</v>
      </c>
      <c r="R55" s="113"/>
      <c r="S55" s="113"/>
      <c r="T55" s="113"/>
      <c r="U55" s="110">
        <f t="shared" si="1"/>
        <v>82</v>
      </c>
      <c r="V55" s="113"/>
      <c r="W55" s="113"/>
      <c r="X55" s="113"/>
      <c r="Y55" s="113"/>
      <c r="Z55" s="113"/>
      <c r="AA55" s="113"/>
      <c r="AB55" s="113"/>
      <c r="AC55" s="110">
        <f t="shared" si="2"/>
        <v>0</v>
      </c>
      <c r="AD55" s="113"/>
      <c r="AE55" s="113"/>
      <c r="AF55" s="113"/>
      <c r="AG55" s="113"/>
      <c r="AH55" s="113"/>
      <c r="AI55" s="113"/>
      <c r="AJ55" s="113"/>
      <c r="AK55" s="110">
        <f t="shared" si="3"/>
        <v>0</v>
      </c>
      <c r="AL55" s="113">
        <v>13</v>
      </c>
      <c r="AM55" s="113">
        <v>20</v>
      </c>
      <c r="AN55" s="113">
        <v>20</v>
      </c>
      <c r="AO55" s="113"/>
      <c r="AP55" s="113"/>
      <c r="AQ55" s="113"/>
      <c r="AR55" s="113"/>
      <c r="AS55" s="110">
        <f t="shared" si="4"/>
        <v>53</v>
      </c>
    </row>
    <row r="56" spans="1:45">
      <c r="A56" s="111">
        <v>47</v>
      </c>
      <c r="B56" s="112" t="s">
        <v>23</v>
      </c>
      <c r="C56" s="112" t="s">
        <v>107</v>
      </c>
      <c r="D56" s="112" t="s">
        <v>201</v>
      </c>
      <c r="E56" s="112" t="s">
        <v>202</v>
      </c>
      <c r="F56" s="113">
        <v>40</v>
      </c>
      <c r="G56" s="113">
        <v>60</v>
      </c>
      <c r="H56" s="113"/>
      <c r="I56" s="113"/>
      <c r="J56" s="113"/>
      <c r="K56" s="113"/>
      <c r="L56" s="113"/>
      <c r="M56" s="110">
        <f t="shared" si="0"/>
        <v>100</v>
      </c>
      <c r="N56" s="113"/>
      <c r="O56" s="113"/>
      <c r="P56" s="113"/>
      <c r="Q56" s="113">
        <v>80</v>
      </c>
      <c r="R56" s="113"/>
      <c r="S56" s="113"/>
      <c r="T56" s="113"/>
      <c r="U56" s="110">
        <f t="shared" si="1"/>
        <v>80</v>
      </c>
      <c r="V56" s="113"/>
      <c r="W56" s="113"/>
      <c r="X56" s="113"/>
      <c r="Y56" s="113"/>
      <c r="Z56" s="113"/>
      <c r="AA56" s="113"/>
      <c r="AB56" s="113"/>
      <c r="AC56" s="110">
        <f t="shared" si="2"/>
        <v>0</v>
      </c>
      <c r="AD56" s="113"/>
      <c r="AE56" s="113"/>
      <c r="AF56" s="113"/>
      <c r="AG56" s="113"/>
      <c r="AH56" s="113"/>
      <c r="AI56" s="113"/>
      <c r="AJ56" s="113"/>
      <c r="AK56" s="110">
        <f t="shared" si="3"/>
        <v>0</v>
      </c>
      <c r="AL56" s="113">
        <v>24</v>
      </c>
      <c r="AM56" s="113">
        <v>19</v>
      </c>
      <c r="AN56" s="113">
        <v>20</v>
      </c>
      <c r="AO56" s="113"/>
      <c r="AP56" s="113"/>
      <c r="AQ56" s="113"/>
      <c r="AR56" s="113"/>
      <c r="AS56" s="110">
        <f t="shared" si="4"/>
        <v>63</v>
      </c>
    </row>
    <row r="57" spans="1:45">
      <c r="A57" s="111">
        <v>48</v>
      </c>
      <c r="B57" s="112" t="s">
        <v>23</v>
      </c>
      <c r="C57" s="112" t="s">
        <v>107</v>
      </c>
      <c r="D57" s="112" t="s">
        <v>203</v>
      </c>
      <c r="E57" s="112" t="s">
        <v>204</v>
      </c>
      <c r="F57" s="113">
        <v>40</v>
      </c>
      <c r="G57" s="113">
        <v>60</v>
      </c>
      <c r="H57" s="113"/>
      <c r="I57" s="113"/>
      <c r="J57" s="113"/>
      <c r="K57" s="113"/>
      <c r="L57" s="113"/>
      <c r="M57" s="110">
        <f t="shared" si="0"/>
        <v>100</v>
      </c>
      <c r="N57" s="113"/>
      <c r="O57" s="113"/>
      <c r="P57" s="113"/>
      <c r="Q57" s="113">
        <v>88</v>
      </c>
      <c r="R57" s="113"/>
      <c r="S57" s="113"/>
      <c r="T57" s="113"/>
      <c r="U57" s="110">
        <f t="shared" si="1"/>
        <v>88</v>
      </c>
      <c r="V57" s="113"/>
      <c r="W57" s="113"/>
      <c r="X57" s="113"/>
      <c r="Y57" s="113"/>
      <c r="Z57" s="113"/>
      <c r="AA57" s="113"/>
      <c r="AB57" s="113"/>
      <c r="AC57" s="110">
        <f t="shared" si="2"/>
        <v>0</v>
      </c>
      <c r="AD57" s="113"/>
      <c r="AE57" s="113"/>
      <c r="AF57" s="113"/>
      <c r="AG57" s="113"/>
      <c r="AH57" s="113"/>
      <c r="AI57" s="113"/>
      <c r="AJ57" s="113"/>
      <c r="AK57" s="110">
        <f t="shared" si="3"/>
        <v>0</v>
      </c>
      <c r="AL57" s="113">
        <v>30</v>
      </c>
      <c r="AM57" s="113">
        <v>30</v>
      </c>
      <c r="AN57" s="113">
        <v>26</v>
      </c>
      <c r="AO57" s="113"/>
      <c r="AP57" s="113"/>
      <c r="AQ57" s="113"/>
      <c r="AR57" s="113"/>
      <c r="AS57" s="110">
        <f t="shared" si="4"/>
        <v>86</v>
      </c>
    </row>
    <row r="58" spans="1:45">
      <c r="A58" s="111">
        <v>49</v>
      </c>
      <c r="B58" s="112" t="s">
        <v>23</v>
      </c>
      <c r="C58" s="112" t="s">
        <v>107</v>
      </c>
      <c r="D58" s="112" t="s">
        <v>205</v>
      </c>
      <c r="E58" s="112" t="s">
        <v>206</v>
      </c>
      <c r="F58" s="113">
        <v>40</v>
      </c>
      <c r="G58" s="113">
        <v>60</v>
      </c>
      <c r="H58" s="113"/>
      <c r="I58" s="113"/>
      <c r="J58" s="113"/>
      <c r="K58" s="113"/>
      <c r="L58" s="113"/>
      <c r="M58" s="110">
        <f t="shared" si="0"/>
        <v>100</v>
      </c>
      <c r="N58" s="113"/>
      <c r="O58" s="113"/>
      <c r="P58" s="113"/>
      <c r="Q58" s="113">
        <v>87</v>
      </c>
      <c r="R58" s="113"/>
      <c r="S58" s="113"/>
      <c r="T58" s="113"/>
      <c r="U58" s="110">
        <f t="shared" si="1"/>
        <v>87</v>
      </c>
      <c r="V58" s="113"/>
      <c r="W58" s="113"/>
      <c r="X58" s="113"/>
      <c r="Y58" s="113"/>
      <c r="Z58" s="113"/>
      <c r="AA58" s="113"/>
      <c r="AB58" s="113"/>
      <c r="AC58" s="110">
        <f t="shared" si="2"/>
        <v>0</v>
      </c>
      <c r="AD58" s="113"/>
      <c r="AE58" s="113"/>
      <c r="AF58" s="113"/>
      <c r="AG58" s="113"/>
      <c r="AH58" s="113"/>
      <c r="AI58" s="113"/>
      <c r="AJ58" s="113"/>
      <c r="AK58" s="110">
        <f t="shared" si="3"/>
        <v>0</v>
      </c>
      <c r="AL58" s="113">
        <v>32</v>
      </c>
      <c r="AM58" s="113">
        <v>26</v>
      </c>
      <c r="AN58" s="113">
        <v>22</v>
      </c>
      <c r="AO58" s="113"/>
      <c r="AP58" s="113"/>
      <c r="AQ58" s="113"/>
      <c r="AR58" s="113"/>
      <c r="AS58" s="110">
        <f t="shared" si="4"/>
        <v>80</v>
      </c>
    </row>
    <row r="59" spans="1:45">
      <c r="A59" s="111">
        <v>50</v>
      </c>
      <c r="B59" s="112" t="s">
        <v>23</v>
      </c>
      <c r="C59" s="112" t="s">
        <v>107</v>
      </c>
      <c r="D59" s="112" t="s">
        <v>207</v>
      </c>
      <c r="E59" s="112" t="s">
        <v>208</v>
      </c>
      <c r="F59" s="113">
        <v>40</v>
      </c>
      <c r="G59" s="113">
        <v>60</v>
      </c>
      <c r="H59" s="113"/>
      <c r="I59" s="113"/>
      <c r="J59" s="113"/>
      <c r="K59" s="113"/>
      <c r="L59" s="113"/>
      <c r="M59" s="110">
        <f t="shared" si="0"/>
        <v>100</v>
      </c>
      <c r="N59" s="113"/>
      <c r="O59" s="113"/>
      <c r="P59" s="113"/>
      <c r="Q59" s="113">
        <v>73</v>
      </c>
      <c r="R59" s="113"/>
      <c r="S59" s="113"/>
      <c r="T59" s="113"/>
      <c r="U59" s="110">
        <f t="shared" si="1"/>
        <v>73</v>
      </c>
      <c r="V59" s="113"/>
      <c r="W59" s="113"/>
      <c r="X59" s="113"/>
      <c r="Y59" s="113"/>
      <c r="Z59" s="113"/>
      <c r="AA59" s="113"/>
      <c r="AB59" s="113"/>
      <c r="AC59" s="110">
        <f t="shared" si="2"/>
        <v>0</v>
      </c>
      <c r="AD59" s="113"/>
      <c r="AE59" s="113"/>
      <c r="AF59" s="113"/>
      <c r="AG59" s="113"/>
      <c r="AH59" s="113"/>
      <c r="AI59" s="113"/>
      <c r="AJ59" s="113"/>
      <c r="AK59" s="110">
        <f t="shared" si="3"/>
        <v>0</v>
      </c>
      <c r="AL59" s="113">
        <v>28</v>
      </c>
      <c r="AM59" s="113">
        <v>21</v>
      </c>
      <c r="AN59" s="113">
        <v>17</v>
      </c>
      <c r="AO59" s="113"/>
      <c r="AP59" s="113"/>
      <c r="AQ59" s="113"/>
      <c r="AR59" s="113"/>
      <c r="AS59" s="110">
        <f t="shared" si="4"/>
        <v>66</v>
      </c>
    </row>
    <row r="60" spans="1:45">
      <c r="A60" s="111">
        <v>51</v>
      </c>
      <c r="B60" s="112" t="s">
        <v>23</v>
      </c>
      <c r="C60" s="112" t="s">
        <v>107</v>
      </c>
      <c r="D60" s="112" t="s">
        <v>209</v>
      </c>
      <c r="E60" s="112" t="s">
        <v>210</v>
      </c>
      <c r="F60" s="113">
        <v>40</v>
      </c>
      <c r="G60" s="113">
        <v>60</v>
      </c>
      <c r="H60" s="113"/>
      <c r="I60" s="113"/>
      <c r="J60" s="113"/>
      <c r="K60" s="113"/>
      <c r="L60" s="113"/>
      <c r="M60" s="110">
        <f t="shared" si="0"/>
        <v>100</v>
      </c>
      <c r="N60" s="113"/>
      <c r="O60" s="113"/>
      <c r="P60" s="113"/>
      <c r="Q60" s="113">
        <v>80</v>
      </c>
      <c r="R60" s="113"/>
      <c r="S60" s="113"/>
      <c r="T60" s="113"/>
      <c r="U60" s="110">
        <f t="shared" si="1"/>
        <v>80</v>
      </c>
      <c r="V60" s="113"/>
      <c r="W60" s="113"/>
      <c r="X60" s="113"/>
      <c r="Y60" s="113"/>
      <c r="Z60" s="113"/>
      <c r="AA60" s="113"/>
      <c r="AB60" s="113"/>
      <c r="AC60" s="110">
        <f t="shared" si="2"/>
        <v>0</v>
      </c>
      <c r="AD60" s="113"/>
      <c r="AE60" s="113"/>
      <c r="AF60" s="113"/>
      <c r="AG60" s="113"/>
      <c r="AH60" s="113"/>
      <c r="AI60" s="113"/>
      <c r="AJ60" s="113"/>
      <c r="AK60" s="110">
        <f t="shared" si="3"/>
        <v>0</v>
      </c>
      <c r="AL60" s="113">
        <v>25</v>
      </c>
      <c r="AM60" s="113">
        <v>23</v>
      </c>
      <c r="AN60" s="113">
        <v>21</v>
      </c>
      <c r="AO60" s="113"/>
      <c r="AP60" s="113"/>
      <c r="AQ60" s="113"/>
      <c r="AR60" s="113"/>
      <c r="AS60" s="110">
        <f t="shared" si="4"/>
        <v>69</v>
      </c>
    </row>
    <row r="61" spans="1:45">
      <c r="A61" s="111">
        <v>52</v>
      </c>
      <c r="B61" s="112" t="s">
        <v>23</v>
      </c>
      <c r="C61" s="112" t="s">
        <v>107</v>
      </c>
      <c r="D61" s="112" t="s">
        <v>211</v>
      </c>
      <c r="E61" s="112" t="s">
        <v>212</v>
      </c>
      <c r="F61" s="113">
        <v>40</v>
      </c>
      <c r="G61" s="113">
        <v>60</v>
      </c>
      <c r="H61" s="113"/>
      <c r="I61" s="113"/>
      <c r="J61" s="113"/>
      <c r="K61" s="113"/>
      <c r="L61" s="113"/>
      <c r="M61" s="110">
        <f t="shared" si="0"/>
        <v>100</v>
      </c>
      <c r="N61" s="113"/>
      <c r="O61" s="113"/>
      <c r="P61" s="113"/>
      <c r="Q61" s="113">
        <v>83</v>
      </c>
      <c r="R61" s="113"/>
      <c r="S61" s="113"/>
      <c r="T61" s="113"/>
      <c r="U61" s="110">
        <f t="shared" si="1"/>
        <v>83</v>
      </c>
      <c r="V61" s="113"/>
      <c r="W61" s="113"/>
      <c r="X61" s="113"/>
      <c r="Y61" s="113"/>
      <c r="Z61" s="113"/>
      <c r="AA61" s="113"/>
      <c r="AB61" s="113"/>
      <c r="AC61" s="110">
        <f t="shared" si="2"/>
        <v>0</v>
      </c>
      <c r="AD61" s="113"/>
      <c r="AE61" s="113"/>
      <c r="AF61" s="113"/>
      <c r="AG61" s="113"/>
      <c r="AH61" s="113"/>
      <c r="AI61" s="113"/>
      <c r="AJ61" s="113"/>
      <c r="AK61" s="110">
        <f t="shared" si="3"/>
        <v>0</v>
      </c>
      <c r="AL61" s="113">
        <v>31</v>
      </c>
      <c r="AM61" s="113">
        <v>16</v>
      </c>
      <c r="AN61" s="113">
        <v>15</v>
      </c>
      <c r="AO61" s="113"/>
      <c r="AP61" s="113"/>
      <c r="AQ61" s="113"/>
      <c r="AR61" s="113"/>
      <c r="AS61" s="110">
        <f t="shared" si="4"/>
        <v>62</v>
      </c>
    </row>
    <row r="62" spans="1:45">
      <c r="A62" s="111">
        <v>53</v>
      </c>
      <c r="B62" s="112" t="s">
        <v>23</v>
      </c>
      <c r="C62" s="112" t="s">
        <v>107</v>
      </c>
      <c r="D62" s="112" t="s">
        <v>213</v>
      </c>
      <c r="E62" s="112" t="s">
        <v>214</v>
      </c>
      <c r="F62" s="113">
        <v>40</v>
      </c>
      <c r="G62" s="113">
        <v>60</v>
      </c>
      <c r="H62" s="113"/>
      <c r="I62" s="113"/>
      <c r="J62" s="113"/>
      <c r="K62" s="113"/>
      <c r="L62" s="113"/>
      <c r="M62" s="110">
        <f t="shared" si="0"/>
        <v>100</v>
      </c>
      <c r="N62" s="113"/>
      <c r="O62" s="113"/>
      <c r="P62" s="113"/>
      <c r="Q62" s="113">
        <v>85</v>
      </c>
      <c r="R62" s="113"/>
      <c r="S62" s="113"/>
      <c r="T62" s="113"/>
      <c r="U62" s="110">
        <f t="shared" si="1"/>
        <v>85</v>
      </c>
      <c r="V62" s="113"/>
      <c r="W62" s="113"/>
      <c r="X62" s="113"/>
      <c r="Y62" s="113"/>
      <c r="Z62" s="113"/>
      <c r="AA62" s="113"/>
      <c r="AB62" s="113"/>
      <c r="AC62" s="110">
        <f t="shared" si="2"/>
        <v>0</v>
      </c>
      <c r="AD62" s="113"/>
      <c r="AE62" s="113"/>
      <c r="AF62" s="113"/>
      <c r="AG62" s="113"/>
      <c r="AH62" s="113"/>
      <c r="AI62" s="113"/>
      <c r="AJ62" s="113"/>
      <c r="AK62" s="110">
        <f t="shared" si="3"/>
        <v>0</v>
      </c>
      <c r="AL62" s="113">
        <v>34</v>
      </c>
      <c r="AM62" s="113">
        <v>21</v>
      </c>
      <c r="AN62" s="113">
        <v>17</v>
      </c>
      <c r="AO62" s="113"/>
      <c r="AP62" s="113"/>
      <c r="AQ62" s="113"/>
      <c r="AR62" s="113"/>
      <c r="AS62" s="110">
        <f t="shared" si="4"/>
        <v>72</v>
      </c>
    </row>
    <row r="63" spans="1:45">
      <c r="A63" s="111">
        <v>54</v>
      </c>
      <c r="B63" s="112" t="s">
        <v>23</v>
      </c>
      <c r="C63" s="112" t="s">
        <v>107</v>
      </c>
      <c r="D63" s="112" t="s">
        <v>215</v>
      </c>
      <c r="E63" s="112" t="s">
        <v>216</v>
      </c>
      <c r="F63" s="113">
        <v>40</v>
      </c>
      <c r="G63" s="113">
        <v>60</v>
      </c>
      <c r="H63" s="113"/>
      <c r="I63" s="113"/>
      <c r="J63" s="113"/>
      <c r="K63" s="113"/>
      <c r="L63" s="113"/>
      <c r="M63" s="110">
        <f t="shared" si="0"/>
        <v>100</v>
      </c>
      <c r="N63" s="113"/>
      <c r="O63" s="113"/>
      <c r="P63" s="113"/>
      <c r="Q63" s="113">
        <v>80</v>
      </c>
      <c r="R63" s="113"/>
      <c r="S63" s="113"/>
      <c r="T63" s="113"/>
      <c r="U63" s="110">
        <f t="shared" si="1"/>
        <v>80</v>
      </c>
      <c r="V63" s="113"/>
      <c r="W63" s="113"/>
      <c r="X63" s="113"/>
      <c r="Y63" s="113"/>
      <c r="Z63" s="113"/>
      <c r="AA63" s="113"/>
      <c r="AB63" s="113"/>
      <c r="AC63" s="110">
        <f t="shared" si="2"/>
        <v>0</v>
      </c>
      <c r="AD63" s="113"/>
      <c r="AE63" s="113"/>
      <c r="AF63" s="113"/>
      <c r="AG63" s="113"/>
      <c r="AH63" s="113"/>
      <c r="AI63" s="113"/>
      <c r="AJ63" s="113"/>
      <c r="AK63" s="110">
        <f t="shared" si="3"/>
        <v>0</v>
      </c>
      <c r="AL63" s="113">
        <v>24</v>
      </c>
      <c r="AM63" s="113">
        <v>21</v>
      </c>
      <c r="AN63" s="113">
        <v>16</v>
      </c>
      <c r="AO63" s="113"/>
      <c r="AP63" s="113"/>
      <c r="AQ63" s="113"/>
      <c r="AR63" s="113"/>
      <c r="AS63" s="110">
        <f t="shared" si="4"/>
        <v>61</v>
      </c>
    </row>
    <row r="64" spans="1:45">
      <c r="A64" s="111">
        <v>55</v>
      </c>
      <c r="B64" s="112" t="s">
        <v>23</v>
      </c>
      <c r="C64" s="112" t="s">
        <v>107</v>
      </c>
      <c r="D64" s="112" t="s">
        <v>217</v>
      </c>
      <c r="E64" s="112" t="s">
        <v>218</v>
      </c>
      <c r="F64" s="113">
        <v>40</v>
      </c>
      <c r="G64" s="113">
        <v>60</v>
      </c>
      <c r="H64" s="113"/>
      <c r="I64" s="113"/>
      <c r="J64" s="113"/>
      <c r="K64" s="113"/>
      <c r="L64" s="113"/>
      <c r="M64" s="110">
        <f t="shared" si="0"/>
        <v>100</v>
      </c>
      <c r="N64" s="113"/>
      <c r="O64" s="113"/>
      <c r="P64" s="113"/>
      <c r="Q64" s="113">
        <v>82</v>
      </c>
      <c r="R64" s="113"/>
      <c r="S64" s="113"/>
      <c r="T64" s="113"/>
      <c r="U64" s="110">
        <f t="shared" si="1"/>
        <v>82</v>
      </c>
      <c r="V64" s="113"/>
      <c r="W64" s="113"/>
      <c r="X64" s="113"/>
      <c r="Y64" s="113"/>
      <c r="Z64" s="113"/>
      <c r="AA64" s="113"/>
      <c r="AB64" s="113"/>
      <c r="AC64" s="110">
        <f t="shared" si="2"/>
        <v>0</v>
      </c>
      <c r="AD64" s="113"/>
      <c r="AE64" s="113"/>
      <c r="AF64" s="113"/>
      <c r="AG64" s="113"/>
      <c r="AH64" s="113"/>
      <c r="AI64" s="113"/>
      <c r="AJ64" s="113"/>
      <c r="AK64" s="110">
        <f t="shared" si="3"/>
        <v>0</v>
      </c>
      <c r="AL64" s="113">
        <v>30</v>
      </c>
      <c r="AM64" s="113">
        <v>20</v>
      </c>
      <c r="AN64" s="113">
        <v>18</v>
      </c>
      <c r="AO64" s="113"/>
      <c r="AP64" s="113"/>
      <c r="AQ64" s="113"/>
      <c r="AR64" s="113"/>
      <c r="AS64" s="110">
        <f t="shared" si="4"/>
        <v>68</v>
      </c>
    </row>
    <row r="65" spans="1:45">
      <c r="A65" s="111">
        <v>56</v>
      </c>
      <c r="B65" s="112" t="s">
        <v>23</v>
      </c>
      <c r="C65" s="112" t="s">
        <v>107</v>
      </c>
      <c r="D65" s="112" t="s">
        <v>219</v>
      </c>
      <c r="E65" s="112" t="s">
        <v>220</v>
      </c>
      <c r="F65" s="113">
        <v>40</v>
      </c>
      <c r="G65" s="113">
        <v>60</v>
      </c>
      <c r="H65" s="113"/>
      <c r="I65" s="113"/>
      <c r="J65" s="113"/>
      <c r="K65" s="113"/>
      <c r="L65" s="113"/>
      <c r="M65" s="110">
        <f t="shared" si="0"/>
        <v>100</v>
      </c>
      <c r="N65" s="113"/>
      <c r="O65" s="113"/>
      <c r="P65" s="113"/>
      <c r="Q65" s="113">
        <v>88</v>
      </c>
      <c r="R65" s="113"/>
      <c r="S65" s="113"/>
      <c r="T65" s="113"/>
      <c r="U65" s="110">
        <f t="shared" si="1"/>
        <v>88</v>
      </c>
      <c r="V65" s="113"/>
      <c r="W65" s="113"/>
      <c r="X65" s="113"/>
      <c r="Y65" s="113"/>
      <c r="Z65" s="113"/>
      <c r="AA65" s="113"/>
      <c r="AB65" s="113"/>
      <c r="AC65" s="110">
        <f t="shared" si="2"/>
        <v>0</v>
      </c>
      <c r="AD65" s="113"/>
      <c r="AE65" s="113"/>
      <c r="AF65" s="113"/>
      <c r="AG65" s="113"/>
      <c r="AH65" s="113"/>
      <c r="AI65" s="113"/>
      <c r="AJ65" s="113"/>
      <c r="AK65" s="110">
        <f t="shared" si="3"/>
        <v>0</v>
      </c>
      <c r="AL65" s="113">
        <v>29</v>
      </c>
      <c r="AM65" s="113">
        <v>15</v>
      </c>
      <c r="AN65" s="113">
        <v>17</v>
      </c>
      <c r="AO65" s="113"/>
      <c r="AP65" s="113"/>
      <c r="AQ65" s="113"/>
      <c r="AR65" s="113"/>
      <c r="AS65" s="110">
        <f t="shared" si="4"/>
        <v>61</v>
      </c>
    </row>
    <row r="66" spans="1:45">
      <c r="A66" s="111">
        <v>57</v>
      </c>
      <c r="B66" s="112" t="s">
        <v>23</v>
      </c>
      <c r="C66" s="112" t="s">
        <v>107</v>
      </c>
      <c r="D66" s="112" t="s">
        <v>221</v>
      </c>
      <c r="E66" s="112" t="s">
        <v>222</v>
      </c>
      <c r="F66" s="113">
        <v>40</v>
      </c>
      <c r="G66" s="113">
        <v>60</v>
      </c>
      <c r="H66" s="113"/>
      <c r="I66" s="113"/>
      <c r="J66" s="113"/>
      <c r="K66" s="113"/>
      <c r="L66" s="113"/>
      <c r="M66" s="110">
        <f t="shared" si="0"/>
        <v>100</v>
      </c>
      <c r="N66" s="113"/>
      <c r="O66" s="113"/>
      <c r="P66" s="113"/>
      <c r="Q66" s="113">
        <v>87</v>
      </c>
      <c r="R66" s="113"/>
      <c r="S66" s="113"/>
      <c r="T66" s="113"/>
      <c r="U66" s="110">
        <f t="shared" si="1"/>
        <v>87</v>
      </c>
      <c r="V66" s="113"/>
      <c r="W66" s="113"/>
      <c r="X66" s="113"/>
      <c r="Y66" s="113"/>
      <c r="Z66" s="113"/>
      <c r="AA66" s="113"/>
      <c r="AB66" s="113"/>
      <c r="AC66" s="110">
        <f t="shared" si="2"/>
        <v>0</v>
      </c>
      <c r="AD66" s="113"/>
      <c r="AE66" s="113"/>
      <c r="AF66" s="113"/>
      <c r="AG66" s="113"/>
      <c r="AH66" s="113"/>
      <c r="AI66" s="113"/>
      <c r="AJ66" s="113"/>
      <c r="AK66" s="110">
        <f t="shared" si="3"/>
        <v>0</v>
      </c>
      <c r="AL66" s="113">
        <v>28</v>
      </c>
      <c r="AM66" s="113">
        <v>22</v>
      </c>
      <c r="AN66" s="113">
        <v>26</v>
      </c>
      <c r="AO66" s="113"/>
      <c r="AP66" s="113"/>
      <c r="AQ66" s="113"/>
      <c r="AR66" s="113"/>
      <c r="AS66" s="110">
        <f t="shared" si="4"/>
        <v>76</v>
      </c>
    </row>
    <row r="67" spans="1:45">
      <c r="A67" s="111">
        <v>58</v>
      </c>
      <c r="B67" s="112" t="s">
        <v>23</v>
      </c>
      <c r="C67" s="112" t="s">
        <v>107</v>
      </c>
      <c r="D67" s="112" t="s">
        <v>223</v>
      </c>
      <c r="E67" s="112" t="s">
        <v>224</v>
      </c>
      <c r="F67" s="113">
        <v>40</v>
      </c>
      <c r="G67" s="113">
        <v>60</v>
      </c>
      <c r="H67" s="113"/>
      <c r="I67" s="113"/>
      <c r="J67" s="113"/>
      <c r="K67" s="113"/>
      <c r="L67" s="113"/>
      <c r="M67" s="110">
        <f t="shared" si="0"/>
        <v>100</v>
      </c>
      <c r="N67" s="113"/>
      <c r="O67" s="113"/>
      <c r="P67" s="113"/>
      <c r="Q67" s="113">
        <v>80</v>
      </c>
      <c r="R67" s="113"/>
      <c r="S67" s="113"/>
      <c r="T67" s="113"/>
      <c r="U67" s="110">
        <f t="shared" si="1"/>
        <v>80</v>
      </c>
      <c r="V67" s="113"/>
      <c r="W67" s="113"/>
      <c r="X67" s="113"/>
      <c r="Y67" s="113"/>
      <c r="Z67" s="113"/>
      <c r="AA67" s="113"/>
      <c r="AB67" s="113"/>
      <c r="AC67" s="110">
        <f t="shared" si="2"/>
        <v>0</v>
      </c>
      <c r="AD67" s="113"/>
      <c r="AE67" s="113"/>
      <c r="AF67" s="113"/>
      <c r="AG67" s="113"/>
      <c r="AH67" s="113"/>
      <c r="AI67" s="113"/>
      <c r="AJ67" s="113"/>
      <c r="AK67" s="110">
        <f t="shared" si="3"/>
        <v>0</v>
      </c>
      <c r="AL67" s="113">
        <v>34</v>
      </c>
      <c r="AM67" s="113">
        <v>24</v>
      </c>
      <c r="AN67" s="113">
        <v>24</v>
      </c>
      <c r="AO67" s="113"/>
      <c r="AP67" s="113"/>
      <c r="AQ67" s="113"/>
      <c r="AR67" s="113"/>
      <c r="AS67" s="110">
        <f t="shared" si="4"/>
        <v>82</v>
      </c>
    </row>
    <row r="68" spans="1:45">
      <c r="A68" s="111">
        <v>59</v>
      </c>
      <c r="B68" s="112" t="s">
        <v>23</v>
      </c>
      <c r="C68" s="112" t="s">
        <v>107</v>
      </c>
      <c r="D68" s="112" t="s">
        <v>225</v>
      </c>
      <c r="E68" s="112" t="s">
        <v>226</v>
      </c>
      <c r="F68" s="113">
        <v>40</v>
      </c>
      <c r="G68" s="113">
        <v>60</v>
      </c>
      <c r="H68" s="113"/>
      <c r="I68" s="113"/>
      <c r="J68" s="113"/>
      <c r="K68" s="113"/>
      <c r="L68" s="113"/>
      <c r="M68" s="110">
        <f t="shared" si="0"/>
        <v>100</v>
      </c>
      <c r="N68" s="113"/>
      <c r="O68" s="113"/>
      <c r="P68" s="113"/>
      <c r="Q68" s="113">
        <v>87</v>
      </c>
      <c r="R68" s="113"/>
      <c r="S68" s="113"/>
      <c r="T68" s="113"/>
      <c r="U68" s="110">
        <f t="shared" si="1"/>
        <v>87</v>
      </c>
      <c r="V68" s="113"/>
      <c r="W68" s="113"/>
      <c r="X68" s="113"/>
      <c r="Y68" s="113"/>
      <c r="Z68" s="113"/>
      <c r="AA68" s="113"/>
      <c r="AB68" s="113"/>
      <c r="AC68" s="110">
        <f t="shared" si="2"/>
        <v>0</v>
      </c>
      <c r="AD68" s="113"/>
      <c r="AE68" s="113"/>
      <c r="AF68" s="113"/>
      <c r="AG68" s="113"/>
      <c r="AH68" s="113"/>
      <c r="AI68" s="113"/>
      <c r="AJ68" s="113"/>
      <c r="AK68" s="110">
        <f t="shared" si="3"/>
        <v>0</v>
      </c>
      <c r="AL68" s="113">
        <v>32</v>
      </c>
      <c r="AM68" s="113">
        <v>28</v>
      </c>
      <c r="AN68" s="113">
        <v>26</v>
      </c>
      <c r="AO68" s="113"/>
      <c r="AP68" s="113"/>
      <c r="AQ68" s="113"/>
      <c r="AR68" s="113"/>
      <c r="AS68" s="110">
        <f t="shared" si="4"/>
        <v>86</v>
      </c>
    </row>
    <row r="69" spans="1:45">
      <c r="A69" s="111">
        <v>60</v>
      </c>
      <c r="B69" s="112" t="s">
        <v>23</v>
      </c>
      <c r="C69" s="112" t="s">
        <v>107</v>
      </c>
      <c r="D69" s="112" t="s">
        <v>227</v>
      </c>
      <c r="E69" s="112" t="s">
        <v>228</v>
      </c>
      <c r="F69" s="113">
        <v>40</v>
      </c>
      <c r="G69" s="113">
        <v>60</v>
      </c>
      <c r="H69" s="113"/>
      <c r="I69" s="113"/>
      <c r="J69" s="113"/>
      <c r="K69" s="113"/>
      <c r="L69" s="113"/>
      <c r="M69" s="110">
        <f t="shared" si="0"/>
        <v>100</v>
      </c>
      <c r="N69" s="113"/>
      <c r="O69" s="113"/>
      <c r="P69" s="113"/>
      <c r="Q69" s="113">
        <v>87</v>
      </c>
      <c r="R69" s="113"/>
      <c r="S69" s="113"/>
      <c r="T69" s="113"/>
      <c r="U69" s="110">
        <f t="shared" si="1"/>
        <v>87</v>
      </c>
      <c r="V69" s="113"/>
      <c r="W69" s="113"/>
      <c r="X69" s="113"/>
      <c r="Y69" s="113"/>
      <c r="Z69" s="113"/>
      <c r="AA69" s="113"/>
      <c r="AB69" s="113"/>
      <c r="AC69" s="110">
        <f t="shared" si="2"/>
        <v>0</v>
      </c>
      <c r="AD69" s="113"/>
      <c r="AE69" s="113"/>
      <c r="AF69" s="113"/>
      <c r="AG69" s="113"/>
      <c r="AH69" s="113"/>
      <c r="AI69" s="113"/>
      <c r="AJ69" s="113"/>
      <c r="AK69" s="110">
        <f t="shared" si="3"/>
        <v>0</v>
      </c>
      <c r="AL69" s="113">
        <v>28</v>
      </c>
      <c r="AM69" s="113">
        <v>24</v>
      </c>
      <c r="AN69" s="113">
        <v>18</v>
      </c>
      <c r="AO69" s="113"/>
      <c r="AP69" s="113"/>
      <c r="AQ69" s="113"/>
      <c r="AR69" s="113"/>
      <c r="AS69" s="110">
        <f t="shared" si="4"/>
        <v>70</v>
      </c>
    </row>
    <row r="70" spans="1:45">
      <c r="A70" s="111">
        <v>61</v>
      </c>
      <c r="B70" s="112" t="s">
        <v>23</v>
      </c>
      <c r="C70" s="112" t="s">
        <v>107</v>
      </c>
      <c r="D70" s="112" t="s">
        <v>229</v>
      </c>
      <c r="E70" s="112" t="s">
        <v>230</v>
      </c>
      <c r="F70" s="113">
        <v>40</v>
      </c>
      <c r="G70" s="113">
        <v>60</v>
      </c>
      <c r="H70" s="113"/>
      <c r="I70" s="113"/>
      <c r="J70" s="113"/>
      <c r="K70" s="113"/>
      <c r="L70" s="113"/>
      <c r="M70" s="110">
        <f t="shared" si="0"/>
        <v>100</v>
      </c>
      <c r="N70" s="113"/>
      <c r="O70" s="113"/>
      <c r="P70" s="113"/>
      <c r="Q70" s="113">
        <v>78</v>
      </c>
      <c r="R70" s="113"/>
      <c r="S70" s="113"/>
      <c r="T70" s="113"/>
      <c r="U70" s="110">
        <f t="shared" si="1"/>
        <v>78</v>
      </c>
      <c r="V70" s="113"/>
      <c r="W70" s="113"/>
      <c r="X70" s="113"/>
      <c r="Y70" s="113"/>
      <c r="Z70" s="113"/>
      <c r="AA70" s="113"/>
      <c r="AB70" s="113"/>
      <c r="AC70" s="110">
        <f t="shared" si="2"/>
        <v>0</v>
      </c>
      <c r="AD70" s="113"/>
      <c r="AE70" s="113"/>
      <c r="AF70" s="113"/>
      <c r="AG70" s="113"/>
      <c r="AH70" s="113"/>
      <c r="AI70" s="113"/>
      <c r="AJ70" s="113"/>
      <c r="AK70" s="110">
        <f t="shared" si="3"/>
        <v>0</v>
      </c>
      <c r="AL70" s="113">
        <v>28</v>
      </c>
      <c r="AM70" s="113">
        <v>24</v>
      </c>
      <c r="AN70" s="113">
        <v>18</v>
      </c>
      <c r="AO70" s="113"/>
      <c r="AP70" s="113"/>
      <c r="AQ70" s="113"/>
      <c r="AR70" s="113"/>
      <c r="AS70" s="110">
        <f t="shared" si="4"/>
        <v>70</v>
      </c>
    </row>
    <row r="71" spans="1:45">
      <c r="A71" s="111">
        <v>62</v>
      </c>
      <c r="B71" s="112" t="s">
        <v>23</v>
      </c>
      <c r="C71" s="112" t="s">
        <v>107</v>
      </c>
      <c r="D71" s="112" t="s">
        <v>231</v>
      </c>
      <c r="E71" s="112" t="s">
        <v>232</v>
      </c>
      <c r="F71" s="113">
        <v>40</v>
      </c>
      <c r="G71" s="113">
        <v>60</v>
      </c>
      <c r="H71" s="113"/>
      <c r="I71" s="113"/>
      <c r="J71" s="113"/>
      <c r="K71" s="113"/>
      <c r="L71" s="113"/>
      <c r="M71" s="110">
        <f t="shared" si="0"/>
        <v>100</v>
      </c>
      <c r="N71" s="113"/>
      <c r="O71" s="113"/>
      <c r="P71" s="113"/>
      <c r="Q71" s="113">
        <v>83</v>
      </c>
      <c r="R71" s="113"/>
      <c r="S71" s="113"/>
      <c r="T71" s="113"/>
      <c r="U71" s="110">
        <f t="shared" si="1"/>
        <v>83</v>
      </c>
      <c r="V71" s="113"/>
      <c r="W71" s="113"/>
      <c r="X71" s="113"/>
      <c r="Y71" s="113"/>
      <c r="Z71" s="113"/>
      <c r="AA71" s="113"/>
      <c r="AB71" s="113"/>
      <c r="AC71" s="110">
        <f t="shared" si="2"/>
        <v>0</v>
      </c>
      <c r="AD71" s="113"/>
      <c r="AE71" s="113"/>
      <c r="AF71" s="113"/>
      <c r="AG71" s="113"/>
      <c r="AH71" s="113"/>
      <c r="AI71" s="113"/>
      <c r="AJ71" s="113"/>
      <c r="AK71" s="110">
        <f t="shared" si="3"/>
        <v>0</v>
      </c>
      <c r="AL71" s="113">
        <v>34</v>
      </c>
      <c r="AM71" s="113">
        <v>27</v>
      </c>
      <c r="AN71" s="113">
        <v>32</v>
      </c>
      <c r="AO71" s="113"/>
      <c r="AP71" s="113"/>
      <c r="AQ71" s="113"/>
      <c r="AR71" s="113"/>
      <c r="AS71" s="110">
        <f t="shared" si="4"/>
        <v>93</v>
      </c>
    </row>
    <row r="72" spans="1:45">
      <c r="A72" s="111">
        <v>63</v>
      </c>
      <c r="B72" s="112" t="s">
        <v>23</v>
      </c>
      <c r="C72" s="112" t="s">
        <v>107</v>
      </c>
      <c r="D72" s="112" t="s">
        <v>233</v>
      </c>
      <c r="E72" s="112" t="s">
        <v>234</v>
      </c>
      <c r="F72" s="113">
        <v>35</v>
      </c>
      <c r="G72" s="113">
        <v>55</v>
      </c>
      <c r="H72" s="113"/>
      <c r="I72" s="113"/>
      <c r="J72" s="113"/>
      <c r="K72" s="113"/>
      <c r="L72" s="113"/>
      <c r="M72" s="110">
        <f t="shared" si="0"/>
        <v>90</v>
      </c>
      <c r="N72" s="113"/>
      <c r="O72" s="113"/>
      <c r="P72" s="113"/>
      <c r="Q72" s="113">
        <v>83</v>
      </c>
      <c r="R72" s="113"/>
      <c r="S72" s="113"/>
      <c r="T72" s="113"/>
      <c r="U72" s="110">
        <f t="shared" si="1"/>
        <v>83</v>
      </c>
      <c r="V72" s="113"/>
      <c r="W72" s="113"/>
      <c r="X72" s="113"/>
      <c r="Y72" s="113"/>
      <c r="Z72" s="113"/>
      <c r="AA72" s="113"/>
      <c r="AB72" s="113"/>
      <c r="AC72" s="110">
        <f t="shared" si="2"/>
        <v>0</v>
      </c>
      <c r="AD72" s="113"/>
      <c r="AE72" s="113"/>
      <c r="AF72" s="113"/>
      <c r="AG72" s="113"/>
      <c r="AH72" s="113"/>
      <c r="AI72" s="113"/>
      <c r="AJ72" s="113"/>
      <c r="AK72" s="110">
        <f t="shared" si="3"/>
        <v>0</v>
      </c>
      <c r="AL72" s="113">
        <v>32</v>
      </c>
      <c r="AM72" s="113">
        <v>18</v>
      </c>
      <c r="AN72" s="113">
        <v>20</v>
      </c>
      <c r="AO72" s="113"/>
      <c r="AP72" s="113"/>
      <c r="AQ72" s="113"/>
      <c r="AR72" s="113"/>
      <c r="AS72" s="110">
        <f t="shared" si="4"/>
        <v>70</v>
      </c>
    </row>
    <row r="73" spans="1:45">
      <c r="A73" s="111">
        <v>64</v>
      </c>
      <c r="B73" s="112" t="s">
        <v>23</v>
      </c>
      <c r="C73" s="112" t="s">
        <v>107</v>
      </c>
      <c r="D73" s="112" t="s">
        <v>235</v>
      </c>
      <c r="E73" s="112" t="s">
        <v>236</v>
      </c>
      <c r="F73" s="113">
        <v>35</v>
      </c>
      <c r="G73" s="113">
        <v>45</v>
      </c>
      <c r="H73" s="113"/>
      <c r="I73" s="113"/>
      <c r="J73" s="113"/>
      <c r="K73" s="113"/>
      <c r="L73" s="113"/>
      <c r="M73" s="110">
        <f t="shared" ref="M73:M82" si="5">SUM(F73:L73)</f>
        <v>80</v>
      </c>
      <c r="N73" s="113"/>
      <c r="O73" s="113"/>
      <c r="P73" s="113"/>
      <c r="Q73" s="113">
        <v>75</v>
      </c>
      <c r="R73" s="113"/>
      <c r="S73" s="113"/>
      <c r="T73" s="113"/>
      <c r="U73" s="110">
        <f t="shared" ref="U73:U82" si="6">SUM(N73:T73)</f>
        <v>75</v>
      </c>
      <c r="V73" s="113"/>
      <c r="W73" s="113"/>
      <c r="X73" s="113"/>
      <c r="Y73" s="113"/>
      <c r="Z73" s="113"/>
      <c r="AA73" s="113"/>
      <c r="AB73" s="113"/>
      <c r="AC73" s="110">
        <f t="shared" ref="AC73:AC81" si="7">SUM(V73:AB73)</f>
        <v>0</v>
      </c>
      <c r="AD73" s="113"/>
      <c r="AE73" s="113"/>
      <c r="AF73" s="113"/>
      <c r="AG73" s="113"/>
      <c r="AH73" s="113"/>
      <c r="AI73" s="113"/>
      <c r="AJ73" s="113"/>
      <c r="AK73" s="110">
        <f t="shared" ref="AK73:AK81" si="8">SUM(AD73:AJ73)</f>
        <v>0</v>
      </c>
      <c r="AL73" s="113">
        <v>34</v>
      </c>
      <c r="AM73" s="113">
        <v>22</v>
      </c>
      <c r="AN73" s="113">
        <v>21</v>
      </c>
      <c r="AO73" s="113"/>
      <c r="AP73" s="113"/>
      <c r="AQ73" s="113"/>
      <c r="AR73" s="113"/>
      <c r="AS73" s="110">
        <f t="shared" ref="AS73:AS82" si="9">SUM(AL73:AR73)</f>
        <v>77</v>
      </c>
    </row>
    <row r="74" spans="1:45">
      <c r="A74" s="111">
        <v>65</v>
      </c>
      <c r="B74" s="112" t="s">
        <v>23</v>
      </c>
      <c r="C74" s="112" t="s">
        <v>107</v>
      </c>
      <c r="D74" s="112" t="s">
        <v>237</v>
      </c>
      <c r="E74" s="112" t="s">
        <v>238</v>
      </c>
      <c r="F74" s="113">
        <v>35</v>
      </c>
      <c r="G74" s="113">
        <v>55</v>
      </c>
      <c r="H74" s="113"/>
      <c r="I74" s="113"/>
      <c r="J74" s="113"/>
      <c r="K74" s="113"/>
      <c r="L74" s="113"/>
      <c r="M74" s="110">
        <f t="shared" si="5"/>
        <v>90</v>
      </c>
      <c r="N74" s="113"/>
      <c r="O74" s="113"/>
      <c r="P74" s="113"/>
      <c r="Q74" s="113">
        <v>63</v>
      </c>
      <c r="R74" s="113"/>
      <c r="S74" s="113"/>
      <c r="T74" s="113"/>
      <c r="U74" s="110">
        <f t="shared" si="6"/>
        <v>63</v>
      </c>
      <c r="V74" s="113"/>
      <c r="W74" s="113"/>
      <c r="X74" s="113"/>
      <c r="Y74" s="113"/>
      <c r="Z74" s="113"/>
      <c r="AA74" s="113"/>
      <c r="AB74" s="113"/>
      <c r="AC74" s="110">
        <f t="shared" si="7"/>
        <v>0</v>
      </c>
      <c r="AD74" s="113"/>
      <c r="AE74" s="113"/>
      <c r="AF74" s="113"/>
      <c r="AG74" s="113"/>
      <c r="AH74" s="113"/>
      <c r="AI74" s="113"/>
      <c r="AJ74" s="113"/>
      <c r="AK74" s="110">
        <f t="shared" si="8"/>
        <v>0</v>
      </c>
      <c r="AL74" s="113">
        <v>34</v>
      </c>
      <c r="AM74" s="113">
        <v>24</v>
      </c>
      <c r="AN74" s="113">
        <v>20</v>
      </c>
      <c r="AO74" s="113"/>
      <c r="AP74" s="113"/>
      <c r="AQ74" s="113"/>
      <c r="AR74" s="113"/>
      <c r="AS74" s="110">
        <f t="shared" si="9"/>
        <v>78</v>
      </c>
    </row>
    <row r="75" spans="1:45">
      <c r="A75" s="111">
        <v>66</v>
      </c>
      <c r="B75" s="112" t="s">
        <v>23</v>
      </c>
      <c r="C75" s="112" t="s">
        <v>107</v>
      </c>
      <c r="D75" s="112" t="s">
        <v>239</v>
      </c>
      <c r="E75" s="112" t="s">
        <v>240</v>
      </c>
      <c r="F75" s="113">
        <v>40</v>
      </c>
      <c r="G75" s="113">
        <v>60</v>
      </c>
      <c r="H75" s="113"/>
      <c r="I75" s="113"/>
      <c r="J75" s="113"/>
      <c r="K75" s="113"/>
      <c r="L75" s="113"/>
      <c r="M75" s="110">
        <f t="shared" si="5"/>
        <v>100</v>
      </c>
      <c r="N75" s="113"/>
      <c r="O75" s="113"/>
      <c r="P75" s="113"/>
      <c r="Q75" s="113">
        <v>80</v>
      </c>
      <c r="R75" s="113"/>
      <c r="S75" s="113"/>
      <c r="T75" s="113"/>
      <c r="U75" s="110">
        <f t="shared" si="6"/>
        <v>80</v>
      </c>
      <c r="V75" s="113"/>
      <c r="W75" s="113"/>
      <c r="X75" s="113"/>
      <c r="Y75" s="113"/>
      <c r="Z75" s="113"/>
      <c r="AA75" s="113"/>
      <c r="AB75" s="113"/>
      <c r="AC75" s="110">
        <f t="shared" si="7"/>
        <v>0</v>
      </c>
      <c r="AD75" s="113"/>
      <c r="AE75" s="113"/>
      <c r="AF75" s="113"/>
      <c r="AG75" s="113"/>
      <c r="AH75" s="113"/>
      <c r="AI75" s="113"/>
      <c r="AJ75" s="113"/>
      <c r="AK75" s="110">
        <f t="shared" si="8"/>
        <v>0</v>
      </c>
      <c r="AL75" s="113">
        <v>30</v>
      </c>
      <c r="AM75" s="113">
        <v>16</v>
      </c>
      <c r="AN75" s="113">
        <v>24</v>
      </c>
      <c r="AO75" s="113"/>
      <c r="AP75" s="113"/>
      <c r="AQ75" s="113"/>
      <c r="AR75" s="113"/>
      <c r="AS75" s="110">
        <f t="shared" si="9"/>
        <v>70</v>
      </c>
    </row>
    <row r="76" spans="1:45">
      <c r="A76" s="111">
        <v>67</v>
      </c>
      <c r="B76" s="112" t="s">
        <v>23</v>
      </c>
      <c r="C76" s="112" t="s">
        <v>107</v>
      </c>
      <c r="D76" s="112" t="s">
        <v>241</v>
      </c>
      <c r="E76" s="112" t="s">
        <v>242</v>
      </c>
      <c r="F76" s="113">
        <v>40</v>
      </c>
      <c r="G76" s="113">
        <v>60</v>
      </c>
      <c r="H76" s="113"/>
      <c r="I76" s="113"/>
      <c r="J76" s="113"/>
      <c r="K76" s="113"/>
      <c r="L76" s="113"/>
      <c r="M76" s="110">
        <f t="shared" si="5"/>
        <v>100</v>
      </c>
      <c r="N76" s="113"/>
      <c r="O76" s="113"/>
      <c r="P76" s="113"/>
      <c r="Q76" s="113">
        <v>78</v>
      </c>
      <c r="R76" s="113"/>
      <c r="S76" s="113"/>
      <c r="T76" s="113"/>
      <c r="U76" s="110">
        <f t="shared" si="6"/>
        <v>78</v>
      </c>
      <c r="V76" s="113"/>
      <c r="W76" s="113"/>
      <c r="X76" s="113"/>
      <c r="Y76" s="113"/>
      <c r="Z76" s="113"/>
      <c r="AA76" s="113"/>
      <c r="AB76" s="113"/>
      <c r="AC76" s="110">
        <f t="shared" si="7"/>
        <v>0</v>
      </c>
      <c r="AD76" s="113"/>
      <c r="AE76" s="113"/>
      <c r="AF76" s="113"/>
      <c r="AG76" s="113"/>
      <c r="AH76" s="113"/>
      <c r="AI76" s="113"/>
      <c r="AJ76" s="113"/>
      <c r="AK76" s="110">
        <f t="shared" si="8"/>
        <v>0</v>
      </c>
      <c r="AL76" s="113">
        <v>30</v>
      </c>
      <c r="AM76" s="113">
        <v>26</v>
      </c>
      <c r="AN76" s="113">
        <v>26</v>
      </c>
      <c r="AO76" s="113"/>
      <c r="AP76" s="113"/>
      <c r="AQ76" s="113"/>
      <c r="AR76" s="113"/>
      <c r="AS76" s="110">
        <f t="shared" si="9"/>
        <v>82</v>
      </c>
    </row>
    <row r="77" spans="1:45">
      <c r="A77" s="111">
        <v>68</v>
      </c>
      <c r="B77" s="112" t="s">
        <v>23</v>
      </c>
      <c r="C77" s="112" t="s">
        <v>107</v>
      </c>
      <c r="D77" s="112" t="s">
        <v>243</v>
      </c>
      <c r="E77" s="112" t="s">
        <v>244</v>
      </c>
      <c r="F77" s="113">
        <v>30</v>
      </c>
      <c r="G77" s="113">
        <v>60</v>
      </c>
      <c r="H77" s="113"/>
      <c r="I77" s="113"/>
      <c r="J77" s="113"/>
      <c r="K77" s="113"/>
      <c r="L77" s="113"/>
      <c r="M77" s="110">
        <f t="shared" si="5"/>
        <v>90</v>
      </c>
      <c r="N77" s="113"/>
      <c r="O77" s="113"/>
      <c r="P77" s="113"/>
      <c r="Q77" s="113">
        <v>80</v>
      </c>
      <c r="R77" s="113"/>
      <c r="S77" s="113"/>
      <c r="T77" s="113"/>
      <c r="U77" s="110">
        <f t="shared" si="6"/>
        <v>80</v>
      </c>
      <c r="V77" s="113"/>
      <c r="W77" s="113"/>
      <c r="X77" s="113"/>
      <c r="Y77" s="113"/>
      <c r="Z77" s="113"/>
      <c r="AA77" s="113"/>
      <c r="AB77" s="113"/>
      <c r="AC77" s="110">
        <f t="shared" si="7"/>
        <v>0</v>
      </c>
      <c r="AD77" s="113"/>
      <c r="AE77" s="113"/>
      <c r="AF77" s="113"/>
      <c r="AG77" s="113"/>
      <c r="AH77" s="113"/>
      <c r="AI77" s="113"/>
      <c r="AJ77" s="113"/>
      <c r="AK77" s="110">
        <f t="shared" si="8"/>
        <v>0</v>
      </c>
      <c r="AL77" s="113">
        <v>32</v>
      </c>
      <c r="AM77" s="113">
        <v>20</v>
      </c>
      <c r="AN77" s="113">
        <v>17</v>
      </c>
      <c r="AO77" s="113"/>
      <c r="AP77" s="113"/>
      <c r="AQ77" s="113"/>
      <c r="AR77" s="113"/>
      <c r="AS77" s="110">
        <f t="shared" si="9"/>
        <v>69</v>
      </c>
    </row>
    <row r="78" spans="1:45">
      <c r="A78" s="111">
        <v>69</v>
      </c>
      <c r="B78" s="112" t="s">
        <v>23</v>
      </c>
      <c r="C78" s="112" t="s">
        <v>107</v>
      </c>
      <c r="D78" s="112" t="s">
        <v>245</v>
      </c>
      <c r="E78" s="112" t="s">
        <v>246</v>
      </c>
      <c r="F78" s="113">
        <v>40</v>
      </c>
      <c r="G78" s="113">
        <v>60</v>
      </c>
      <c r="H78" s="113"/>
      <c r="I78" s="113"/>
      <c r="J78" s="113"/>
      <c r="K78" s="113"/>
      <c r="L78" s="113"/>
      <c r="M78" s="110">
        <f t="shared" si="5"/>
        <v>100</v>
      </c>
      <c r="N78" s="113"/>
      <c r="O78" s="113"/>
      <c r="P78" s="113"/>
      <c r="Q78" s="113">
        <v>93</v>
      </c>
      <c r="R78" s="113"/>
      <c r="S78" s="113"/>
      <c r="T78" s="113"/>
      <c r="U78" s="110">
        <f t="shared" si="6"/>
        <v>93</v>
      </c>
      <c r="V78" s="113"/>
      <c r="W78" s="113"/>
      <c r="X78" s="113"/>
      <c r="Y78" s="113"/>
      <c r="Z78" s="113"/>
      <c r="AA78" s="113"/>
      <c r="AB78" s="113"/>
      <c r="AC78" s="110">
        <f t="shared" si="7"/>
        <v>0</v>
      </c>
      <c r="AD78" s="113"/>
      <c r="AE78" s="113"/>
      <c r="AF78" s="113"/>
      <c r="AG78" s="113"/>
      <c r="AH78" s="113"/>
      <c r="AI78" s="113"/>
      <c r="AJ78" s="113"/>
      <c r="AK78" s="110">
        <f t="shared" si="8"/>
        <v>0</v>
      </c>
      <c r="AL78" s="113">
        <v>32</v>
      </c>
      <c r="AM78" s="113">
        <v>30</v>
      </c>
      <c r="AN78" s="113">
        <v>28</v>
      </c>
      <c r="AO78" s="113"/>
      <c r="AP78" s="113"/>
      <c r="AQ78" s="113"/>
      <c r="AR78" s="113"/>
      <c r="AS78" s="110">
        <f t="shared" si="9"/>
        <v>90</v>
      </c>
    </row>
    <row r="79" spans="1:45">
      <c r="A79" s="111">
        <v>70</v>
      </c>
      <c r="B79" s="112" t="s">
        <v>23</v>
      </c>
      <c r="C79" s="112" t="s">
        <v>107</v>
      </c>
      <c r="D79" s="112" t="s">
        <v>247</v>
      </c>
      <c r="E79" s="112" t="s">
        <v>248</v>
      </c>
      <c r="F79" s="113">
        <v>40</v>
      </c>
      <c r="G79" s="113">
        <v>60</v>
      </c>
      <c r="H79" s="113"/>
      <c r="I79" s="113"/>
      <c r="J79" s="113"/>
      <c r="K79" s="113"/>
      <c r="L79" s="113"/>
      <c r="M79" s="110">
        <f t="shared" si="5"/>
        <v>100</v>
      </c>
      <c r="N79" s="113"/>
      <c r="O79" s="113"/>
      <c r="P79" s="113"/>
      <c r="Q79" s="113">
        <v>67</v>
      </c>
      <c r="R79" s="113"/>
      <c r="S79" s="113"/>
      <c r="T79" s="113"/>
      <c r="U79" s="110">
        <f t="shared" si="6"/>
        <v>67</v>
      </c>
      <c r="V79" s="113"/>
      <c r="W79" s="113"/>
      <c r="X79" s="113"/>
      <c r="Y79" s="113"/>
      <c r="Z79" s="113"/>
      <c r="AA79" s="113"/>
      <c r="AB79" s="113"/>
      <c r="AC79" s="110">
        <f t="shared" si="7"/>
        <v>0</v>
      </c>
      <c r="AD79" s="113"/>
      <c r="AE79" s="113"/>
      <c r="AF79" s="113"/>
      <c r="AG79" s="113"/>
      <c r="AH79" s="113"/>
      <c r="AI79" s="113"/>
      <c r="AJ79" s="113"/>
      <c r="AK79" s="110">
        <f t="shared" si="8"/>
        <v>0</v>
      </c>
      <c r="AL79" s="113">
        <v>14</v>
      </c>
      <c r="AM79" s="113">
        <v>7</v>
      </c>
      <c r="AN79" s="113">
        <v>8</v>
      </c>
      <c r="AO79" s="113"/>
      <c r="AP79" s="113"/>
      <c r="AQ79" s="113"/>
      <c r="AR79" s="113"/>
      <c r="AS79" s="110">
        <f t="shared" si="9"/>
        <v>29</v>
      </c>
    </row>
    <row r="80" spans="1:45">
      <c r="A80" s="111">
        <v>71</v>
      </c>
      <c r="B80" s="112" t="s">
        <v>23</v>
      </c>
      <c r="C80" s="112" t="s">
        <v>107</v>
      </c>
      <c r="D80" s="112" t="s">
        <v>249</v>
      </c>
      <c r="E80" s="112" t="s">
        <v>250</v>
      </c>
      <c r="F80" s="113">
        <v>40</v>
      </c>
      <c r="G80" s="113">
        <v>60</v>
      </c>
      <c r="H80" s="113"/>
      <c r="I80" s="113"/>
      <c r="J80" s="113"/>
      <c r="K80" s="113"/>
      <c r="L80" s="113"/>
      <c r="M80" s="110">
        <f t="shared" si="5"/>
        <v>100</v>
      </c>
      <c r="N80" s="113"/>
      <c r="O80" s="113"/>
      <c r="P80" s="113"/>
      <c r="Q80" s="113">
        <v>87</v>
      </c>
      <c r="R80" s="113"/>
      <c r="S80" s="113"/>
      <c r="T80" s="113"/>
      <c r="U80" s="110">
        <f t="shared" si="6"/>
        <v>87</v>
      </c>
      <c r="V80" s="113"/>
      <c r="W80" s="113"/>
      <c r="X80" s="113"/>
      <c r="Y80" s="113"/>
      <c r="Z80" s="113"/>
      <c r="AA80" s="113"/>
      <c r="AB80" s="113"/>
      <c r="AC80" s="110">
        <f t="shared" si="7"/>
        <v>0</v>
      </c>
      <c r="AD80" s="113"/>
      <c r="AE80" s="113"/>
      <c r="AF80" s="113"/>
      <c r="AG80" s="113"/>
      <c r="AH80" s="113"/>
      <c r="AI80" s="113"/>
      <c r="AJ80" s="113"/>
      <c r="AK80" s="110">
        <f t="shared" si="8"/>
        <v>0</v>
      </c>
      <c r="AL80" s="113">
        <v>26</v>
      </c>
      <c r="AM80" s="113">
        <v>30</v>
      </c>
      <c r="AN80" s="113">
        <v>24</v>
      </c>
      <c r="AO80" s="113"/>
      <c r="AP80" s="113"/>
      <c r="AQ80" s="113"/>
      <c r="AR80" s="113"/>
      <c r="AS80" s="110">
        <f t="shared" si="9"/>
        <v>80</v>
      </c>
    </row>
    <row r="81" spans="1:45">
      <c r="A81" s="111">
        <v>72</v>
      </c>
      <c r="B81" s="116" t="s">
        <v>23</v>
      </c>
      <c r="C81" s="116" t="s">
        <v>107</v>
      </c>
      <c r="D81" s="112" t="s">
        <v>251</v>
      </c>
      <c r="E81" s="116" t="s">
        <v>252</v>
      </c>
      <c r="F81" s="113">
        <v>40</v>
      </c>
      <c r="G81" s="113">
        <v>60</v>
      </c>
      <c r="H81" s="113"/>
      <c r="I81" s="113"/>
      <c r="J81" s="113"/>
      <c r="K81" s="113"/>
      <c r="L81" s="113"/>
      <c r="M81" s="110">
        <f t="shared" si="5"/>
        <v>100</v>
      </c>
      <c r="N81" s="113"/>
      <c r="O81" s="113"/>
      <c r="P81" s="113"/>
      <c r="Q81" s="113">
        <v>82</v>
      </c>
      <c r="R81" s="113"/>
      <c r="S81" s="113"/>
      <c r="T81" s="113"/>
      <c r="U81" s="110">
        <f t="shared" si="6"/>
        <v>82</v>
      </c>
      <c r="V81" s="113"/>
      <c r="W81" s="113"/>
      <c r="X81" s="113"/>
      <c r="Y81" s="113"/>
      <c r="Z81" s="113"/>
      <c r="AA81" s="113"/>
      <c r="AB81" s="113"/>
      <c r="AC81" s="110">
        <f t="shared" si="7"/>
        <v>0</v>
      </c>
      <c r="AD81" s="113"/>
      <c r="AE81" s="113"/>
      <c r="AF81" s="113"/>
      <c r="AG81" s="113"/>
      <c r="AH81" s="113"/>
      <c r="AI81" s="113"/>
      <c r="AJ81" s="113"/>
      <c r="AK81" s="110">
        <f t="shared" si="8"/>
        <v>0</v>
      </c>
      <c r="AL81" s="118">
        <v>25</v>
      </c>
      <c r="AM81" s="118">
        <v>22</v>
      </c>
      <c r="AN81" s="119">
        <v>18</v>
      </c>
      <c r="AO81" s="113"/>
      <c r="AP81" s="113"/>
      <c r="AQ81" s="113"/>
      <c r="AR81" s="113"/>
      <c r="AS81" s="110">
        <f t="shared" si="9"/>
        <v>65</v>
      </c>
    </row>
    <row r="82" spans="1:45">
      <c r="A82" s="111">
        <v>73</v>
      </c>
      <c r="B82" s="117" t="s">
        <v>23</v>
      </c>
      <c r="C82" s="117" t="s">
        <v>107</v>
      </c>
      <c r="D82" s="112" t="s">
        <v>253</v>
      </c>
      <c r="E82" s="117" t="s">
        <v>254</v>
      </c>
      <c r="F82" s="113">
        <v>40</v>
      </c>
      <c r="G82" s="113">
        <v>60</v>
      </c>
      <c r="H82" s="7"/>
      <c r="I82" s="7"/>
      <c r="J82" s="7"/>
      <c r="K82" s="7"/>
      <c r="L82" s="7"/>
      <c r="M82" s="110">
        <f t="shared" si="5"/>
        <v>100</v>
      </c>
      <c r="N82" s="113"/>
      <c r="O82" s="113"/>
      <c r="P82" s="113"/>
      <c r="Q82" s="113">
        <v>87</v>
      </c>
      <c r="R82" s="113"/>
      <c r="S82" s="113"/>
      <c r="T82" s="113"/>
      <c r="U82" s="110">
        <f t="shared" si="6"/>
        <v>87</v>
      </c>
      <c r="V82" s="7"/>
      <c r="W82" s="7"/>
      <c r="X82" s="7"/>
      <c r="Y82" s="7"/>
      <c r="Z82" s="7"/>
      <c r="AA82" s="7"/>
      <c r="AB82" s="7"/>
      <c r="AC82" s="7"/>
      <c r="AD82" s="7"/>
      <c r="AE82" s="7"/>
      <c r="AF82" s="7"/>
      <c r="AG82" s="7"/>
      <c r="AH82" s="7"/>
      <c r="AI82" s="7"/>
      <c r="AJ82" s="7"/>
      <c r="AK82" s="7"/>
      <c r="AL82" s="113">
        <v>26</v>
      </c>
      <c r="AM82" s="120">
        <v>18</v>
      </c>
      <c r="AN82" s="120">
        <v>14</v>
      </c>
      <c r="AO82" s="7"/>
      <c r="AP82" s="7"/>
      <c r="AQ82" s="7"/>
      <c r="AR82" s="7"/>
      <c r="AS82" s="110">
        <f t="shared" si="9"/>
        <v>58</v>
      </c>
    </row>
    <row r="83" spans="1:45">
      <c r="A83" s="111">
        <v>74</v>
      </c>
      <c r="B83" s="112" t="s">
        <v>23</v>
      </c>
      <c r="C83" s="112" t="s">
        <v>255</v>
      </c>
      <c r="D83" s="112" t="s">
        <v>256</v>
      </c>
      <c r="E83" s="112" t="s">
        <v>257</v>
      </c>
      <c r="F83" s="113">
        <v>34</v>
      </c>
      <c r="G83" s="113">
        <v>51</v>
      </c>
      <c r="H83" s="7"/>
      <c r="I83" s="7"/>
      <c r="J83" s="7"/>
      <c r="K83" s="7"/>
      <c r="L83" s="7"/>
      <c r="M83" s="110">
        <v>85</v>
      </c>
      <c r="N83" s="113"/>
      <c r="O83" s="113"/>
      <c r="P83" s="113"/>
      <c r="Q83" s="113">
        <v>79</v>
      </c>
      <c r="R83" s="113"/>
      <c r="S83" s="113"/>
      <c r="T83" s="113"/>
      <c r="U83" s="110">
        <v>79</v>
      </c>
      <c r="V83" s="7"/>
      <c r="W83" s="7"/>
      <c r="X83" s="7"/>
      <c r="Y83" s="7"/>
      <c r="Z83" s="7"/>
      <c r="AA83" s="7"/>
      <c r="AB83" s="7"/>
      <c r="AC83" s="7"/>
      <c r="AD83" s="7"/>
      <c r="AE83" s="7"/>
      <c r="AF83" s="7"/>
      <c r="AG83" s="7"/>
      <c r="AH83" s="7"/>
      <c r="AI83" s="7"/>
      <c r="AJ83" s="7"/>
      <c r="AK83" s="7"/>
      <c r="AL83" s="113">
        <v>22</v>
      </c>
      <c r="AM83" s="113">
        <v>17</v>
      </c>
      <c r="AN83" s="113">
        <v>20</v>
      </c>
      <c r="AO83" s="7"/>
      <c r="AP83" s="7"/>
      <c r="AQ83" s="7"/>
      <c r="AR83" s="7"/>
      <c r="AS83" s="110">
        <v>59</v>
      </c>
    </row>
    <row r="84" spans="1:45">
      <c r="A84" s="111">
        <v>75</v>
      </c>
      <c r="B84" s="112" t="s">
        <v>23</v>
      </c>
      <c r="C84" s="112" t="s">
        <v>255</v>
      </c>
      <c r="D84" s="112" t="s">
        <v>258</v>
      </c>
      <c r="E84" s="112" t="s">
        <v>259</v>
      </c>
      <c r="F84" s="113">
        <v>32</v>
      </c>
      <c r="G84" s="113">
        <v>50</v>
      </c>
      <c r="H84" s="7"/>
      <c r="I84" s="7"/>
      <c r="J84" s="7"/>
      <c r="K84" s="7"/>
      <c r="L84" s="7"/>
      <c r="M84" s="110">
        <v>82</v>
      </c>
      <c r="N84" s="113"/>
      <c r="O84" s="113"/>
      <c r="P84" s="113"/>
      <c r="Q84" s="113">
        <v>82</v>
      </c>
      <c r="R84" s="113"/>
      <c r="S84" s="113"/>
      <c r="T84" s="113"/>
      <c r="U84" s="110">
        <v>82</v>
      </c>
      <c r="V84" s="7"/>
      <c r="W84" s="7"/>
      <c r="X84" s="7"/>
      <c r="Y84" s="7"/>
      <c r="Z84" s="7"/>
      <c r="AA84" s="7"/>
      <c r="AB84" s="7"/>
      <c r="AC84" s="7"/>
      <c r="AD84" s="7"/>
      <c r="AE84" s="7"/>
      <c r="AF84" s="7"/>
      <c r="AG84" s="7"/>
      <c r="AH84" s="7"/>
      <c r="AI84" s="7"/>
      <c r="AJ84" s="7"/>
      <c r="AK84" s="7"/>
      <c r="AL84" s="113">
        <v>22</v>
      </c>
      <c r="AM84" s="113">
        <v>11</v>
      </c>
      <c r="AN84" s="113">
        <v>15</v>
      </c>
      <c r="AO84" s="7"/>
      <c r="AP84" s="7"/>
      <c r="AQ84" s="7"/>
      <c r="AR84" s="7"/>
      <c r="AS84" s="110">
        <v>48</v>
      </c>
    </row>
    <row r="85" spans="1:45">
      <c r="A85" s="111">
        <v>76</v>
      </c>
      <c r="B85" s="112" t="s">
        <v>23</v>
      </c>
      <c r="C85" s="112" t="s">
        <v>255</v>
      </c>
      <c r="D85" s="112" t="s">
        <v>260</v>
      </c>
      <c r="E85" s="112" t="s">
        <v>261</v>
      </c>
      <c r="F85" s="113">
        <v>34</v>
      </c>
      <c r="G85" s="113">
        <v>51</v>
      </c>
      <c r="H85" s="7"/>
      <c r="I85" s="7"/>
      <c r="J85" s="7"/>
      <c r="K85" s="7"/>
      <c r="L85" s="7"/>
      <c r="M85" s="110">
        <v>85</v>
      </c>
      <c r="N85" s="113"/>
      <c r="O85" s="113"/>
      <c r="P85" s="113"/>
      <c r="Q85" s="113">
        <v>74</v>
      </c>
      <c r="R85" s="113"/>
      <c r="S85" s="113"/>
      <c r="T85" s="113"/>
      <c r="U85" s="110">
        <v>74</v>
      </c>
      <c r="V85" s="7"/>
      <c r="W85" s="7"/>
      <c r="X85" s="7"/>
      <c r="Y85" s="7"/>
      <c r="Z85" s="7"/>
      <c r="AA85" s="7"/>
      <c r="AB85" s="7"/>
      <c r="AC85" s="7"/>
      <c r="AD85" s="7"/>
      <c r="AE85" s="7"/>
      <c r="AF85" s="7"/>
      <c r="AG85" s="7"/>
      <c r="AH85" s="7"/>
      <c r="AI85" s="7"/>
      <c r="AJ85" s="7"/>
      <c r="AK85" s="7"/>
      <c r="AL85" s="113">
        <v>24</v>
      </c>
      <c r="AM85" s="113">
        <v>17</v>
      </c>
      <c r="AN85" s="113">
        <v>20</v>
      </c>
      <c r="AO85" s="7"/>
      <c r="AP85" s="7"/>
      <c r="AQ85" s="7"/>
      <c r="AR85" s="7"/>
      <c r="AS85" s="110">
        <v>61</v>
      </c>
    </row>
    <row r="86" spans="1:45">
      <c r="A86" s="111">
        <v>77</v>
      </c>
      <c r="B86" s="112" t="s">
        <v>23</v>
      </c>
      <c r="C86" s="112" t="s">
        <v>255</v>
      </c>
      <c r="D86" s="112" t="s">
        <v>262</v>
      </c>
      <c r="E86" s="112" t="s">
        <v>263</v>
      </c>
      <c r="F86" s="113">
        <v>32</v>
      </c>
      <c r="G86" s="113">
        <v>48</v>
      </c>
      <c r="H86" s="7"/>
      <c r="I86" s="7"/>
      <c r="J86" s="7"/>
      <c r="K86" s="7"/>
      <c r="L86" s="7"/>
      <c r="M86" s="110">
        <v>80</v>
      </c>
      <c r="N86" s="113"/>
      <c r="O86" s="113"/>
      <c r="P86" s="113"/>
      <c r="Q86" s="113">
        <v>72</v>
      </c>
      <c r="R86" s="113"/>
      <c r="S86" s="113"/>
      <c r="T86" s="113"/>
      <c r="U86" s="110">
        <v>72</v>
      </c>
      <c r="V86" s="7"/>
      <c r="W86" s="7"/>
      <c r="X86" s="7"/>
      <c r="Y86" s="7"/>
      <c r="Z86" s="7"/>
      <c r="AA86" s="7"/>
      <c r="AB86" s="7"/>
      <c r="AC86" s="7"/>
      <c r="AD86" s="7"/>
      <c r="AE86" s="7"/>
      <c r="AF86" s="7"/>
      <c r="AG86" s="7"/>
      <c r="AH86" s="7"/>
      <c r="AI86" s="7"/>
      <c r="AJ86" s="7"/>
      <c r="AK86" s="7"/>
      <c r="AL86" s="113">
        <v>15</v>
      </c>
      <c r="AM86" s="113">
        <v>13</v>
      </c>
      <c r="AN86" s="113">
        <v>11</v>
      </c>
      <c r="AO86" s="7"/>
      <c r="AP86" s="7"/>
      <c r="AQ86" s="7"/>
      <c r="AR86" s="7"/>
      <c r="AS86" s="110">
        <v>39</v>
      </c>
    </row>
    <row r="87" spans="1:45">
      <c r="A87" s="111">
        <v>78</v>
      </c>
      <c r="B87" s="112" t="s">
        <v>23</v>
      </c>
      <c r="C87" s="112" t="s">
        <v>255</v>
      </c>
      <c r="D87" s="112" t="s">
        <v>264</v>
      </c>
      <c r="E87" s="112" t="s">
        <v>265</v>
      </c>
      <c r="F87" s="113">
        <v>32</v>
      </c>
      <c r="G87" s="113">
        <v>48</v>
      </c>
      <c r="H87" s="7"/>
      <c r="I87" s="7"/>
      <c r="J87" s="7"/>
      <c r="K87" s="7"/>
      <c r="L87" s="7"/>
      <c r="M87" s="110">
        <v>80</v>
      </c>
      <c r="N87" s="113"/>
      <c r="O87" s="113"/>
      <c r="P87" s="113"/>
      <c r="Q87" s="113">
        <v>79</v>
      </c>
      <c r="R87" s="113"/>
      <c r="S87" s="113"/>
      <c r="T87" s="113"/>
      <c r="U87" s="110">
        <v>79</v>
      </c>
      <c r="V87" s="7"/>
      <c r="W87" s="7"/>
      <c r="X87" s="7"/>
      <c r="Y87" s="7"/>
      <c r="Z87" s="7"/>
      <c r="AA87" s="7"/>
      <c r="AB87" s="7"/>
      <c r="AC87" s="7"/>
      <c r="AD87" s="7"/>
      <c r="AE87" s="7"/>
      <c r="AF87" s="7"/>
      <c r="AG87" s="7"/>
      <c r="AH87" s="7"/>
      <c r="AI87" s="7"/>
      <c r="AJ87" s="7"/>
      <c r="AK87" s="7"/>
      <c r="AL87" s="113">
        <v>13</v>
      </c>
      <c r="AM87" s="113">
        <v>19</v>
      </c>
      <c r="AN87" s="113">
        <v>14</v>
      </c>
      <c r="AO87" s="7"/>
      <c r="AP87" s="7"/>
      <c r="AQ87" s="7"/>
      <c r="AR87" s="7"/>
      <c r="AS87" s="110">
        <v>46</v>
      </c>
    </row>
    <row r="88" spans="1:45">
      <c r="A88" s="111">
        <v>79</v>
      </c>
      <c r="B88" s="112" t="s">
        <v>23</v>
      </c>
      <c r="C88" s="112" t="s">
        <v>255</v>
      </c>
      <c r="D88" s="112" t="s">
        <v>266</v>
      </c>
      <c r="E88" s="112" t="s">
        <v>267</v>
      </c>
      <c r="F88" s="113">
        <v>34</v>
      </c>
      <c r="G88" s="113">
        <v>52</v>
      </c>
      <c r="H88" s="7"/>
      <c r="I88" s="7"/>
      <c r="J88" s="7"/>
      <c r="K88" s="7"/>
      <c r="L88" s="7"/>
      <c r="M88" s="110">
        <v>86</v>
      </c>
      <c r="N88" s="113"/>
      <c r="O88" s="113"/>
      <c r="P88" s="113"/>
      <c r="Q88" s="113">
        <v>82</v>
      </c>
      <c r="R88" s="113"/>
      <c r="S88" s="113"/>
      <c r="T88" s="113"/>
      <c r="U88" s="110">
        <v>82</v>
      </c>
      <c r="V88" s="7"/>
      <c r="W88" s="7"/>
      <c r="X88" s="7"/>
      <c r="Y88" s="7"/>
      <c r="Z88" s="7"/>
      <c r="AA88" s="7"/>
      <c r="AB88" s="7"/>
      <c r="AC88" s="7"/>
      <c r="AD88" s="7"/>
      <c r="AE88" s="7"/>
      <c r="AF88" s="7"/>
      <c r="AG88" s="7"/>
      <c r="AH88" s="7"/>
      <c r="AI88" s="7"/>
      <c r="AJ88" s="7"/>
      <c r="AK88" s="7"/>
      <c r="AL88" s="113">
        <v>30</v>
      </c>
      <c r="AM88" s="113">
        <v>23</v>
      </c>
      <c r="AN88" s="113">
        <v>23</v>
      </c>
      <c r="AO88" s="7"/>
      <c r="AP88" s="7"/>
      <c r="AQ88" s="7"/>
      <c r="AR88" s="7"/>
      <c r="AS88" s="110">
        <v>76</v>
      </c>
    </row>
    <row r="89" spans="1:45">
      <c r="A89" s="111">
        <v>80</v>
      </c>
      <c r="B89" s="112" t="s">
        <v>23</v>
      </c>
      <c r="C89" s="112" t="s">
        <v>255</v>
      </c>
      <c r="D89" s="112" t="s">
        <v>268</v>
      </c>
      <c r="E89" s="112" t="s">
        <v>269</v>
      </c>
      <c r="F89" s="113">
        <v>32</v>
      </c>
      <c r="G89" s="113">
        <v>48</v>
      </c>
      <c r="H89" s="7"/>
      <c r="I89" s="7"/>
      <c r="J89" s="7"/>
      <c r="K89" s="7"/>
      <c r="L89" s="7"/>
      <c r="M89" s="110">
        <v>80</v>
      </c>
      <c r="N89" s="113"/>
      <c r="O89" s="113"/>
      <c r="P89" s="113"/>
      <c r="Q89" s="113">
        <v>73</v>
      </c>
      <c r="R89" s="113"/>
      <c r="S89" s="113"/>
      <c r="T89" s="113"/>
      <c r="U89" s="110">
        <v>73</v>
      </c>
      <c r="V89" s="7"/>
      <c r="W89" s="7"/>
      <c r="X89" s="7"/>
      <c r="Y89" s="7"/>
      <c r="Z89" s="7"/>
      <c r="AA89" s="7"/>
      <c r="AB89" s="7"/>
      <c r="AC89" s="7"/>
      <c r="AD89" s="7"/>
      <c r="AE89" s="7"/>
      <c r="AF89" s="7"/>
      <c r="AG89" s="7"/>
      <c r="AH89" s="7"/>
      <c r="AI89" s="7"/>
      <c r="AJ89" s="7"/>
      <c r="AK89" s="7"/>
      <c r="AL89" s="113">
        <v>28</v>
      </c>
      <c r="AM89" s="113">
        <v>17</v>
      </c>
      <c r="AN89" s="113">
        <v>20</v>
      </c>
      <c r="AO89" s="7"/>
      <c r="AP89" s="7"/>
      <c r="AQ89" s="7"/>
      <c r="AR89" s="7"/>
      <c r="AS89" s="110">
        <v>65</v>
      </c>
    </row>
    <row r="90" spans="1:45">
      <c r="A90" s="111">
        <v>81</v>
      </c>
      <c r="B90" s="112" t="s">
        <v>23</v>
      </c>
      <c r="C90" s="112" t="s">
        <v>255</v>
      </c>
      <c r="D90" s="112" t="s">
        <v>270</v>
      </c>
      <c r="E90" s="112" t="s">
        <v>271</v>
      </c>
      <c r="F90" s="113">
        <v>34</v>
      </c>
      <c r="G90" s="113">
        <v>53</v>
      </c>
      <c r="H90" s="7"/>
      <c r="I90" s="7"/>
      <c r="J90" s="7"/>
      <c r="K90" s="7"/>
      <c r="L90" s="7"/>
      <c r="M90" s="110">
        <v>87</v>
      </c>
      <c r="N90" s="113"/>
      <c r="O90" s="113"/>
      <c r="P90" s="113"/>
      <c r="Q90" s="113">
        <v>85</v>
      </c>
      <c r="R90" s="113"/>
      <c r="S90" s="113"/>
      <c r="T90" s="113"/>
      <c r="U90" s="110">
        <v>85</v>
      </c>
      <c r="V90" s="7"/>
      <c r="W90" s="7"/>
      <c r="X90" s="7"/>
      <c r="Y90" s="7"/>
      <c r="Z90" s="7"/>
      <c r="AA90" s="7"/>
      <c r="AB90" s="7"/>
      <c r="AC90" s="7"/>
      <c r="AD90" s="7"/>
      <c r="AE90" s="7"/>
      <c r="AF90" s="7"/>
      <c r="AG90" s="7"/>
      <c r="AH90" s="7"/>
      <c r="AI90" s="7"/>
      <c r="AJ90" s="7"/>
      <c r="AK90" s="7"/>
      <c r="AL90" s="113">
        <v>28</v>
      </c>
      <c r="AM90" s="113">
        <v>22</v>
      </c>
      <c r="AN90" s="113">
        <v>25</v>
      </c>
      <c r="AO90" s="7"/>
      <c r="AP90" s="7"/>
      <c r="AQ90" s="7"/>
      <c r="AR90" s="7"/>
      <c r="AS90" s="110">
        <v>75</v>
      </c>
    </row>
    <row r="91" spans="1:45">
      <c r="A91" s="111">
        <v>82</v>
      </c>
      <c r="B91" s="112" t="s">
        <v>23</v>
      </c>
      <c r="C91" s="112" t="s">
        <v>255</v>
      </c>
      <c r="D91" s="112" t="s">
        <v>272</v>
      </c>
      <c r="E91" s="112" t="s">
        <v>273</v>
      </c>
      <c r="F91" s="113">
        <v>34</v>
      </c>
      <c r="G91" s="113">
        <v>51</v>
      </c>
      <c r="H91" s="7"/>
      <c r="I91" s="7"/>
      <c r="J91" s="7"/>
      <c r="K91" s="7"/>
      <c r="L91" s="7"/>
      <c r="M91" s="110">
        <v>85</v>
      </c>
      <c r="N91" s="113"/>
      <c r="O91" s="113"/>
      <c r="P91" s="113"/>
      <c r="Q91" s="113">
        <v>75</v>
      </c>
      <c r="R91" s="113"/>
      <c r="S91" s="113"/>
      <c r="T91" s="113"/>
      <c r="U91" s="110">
        <v>75</v>
      </c>
      <c r="V91" s="7"/>
      <c r="W91" s="7"/>
      <c r="X91" s="7"/>
      <c r="Y91" s="7"/>
      <c r="Z91" s="7"/>
      <c r="AA91" s="7"/>
      <c r="AB91" s="7"/>
      <c r="AC91" s="7"/>
      <c r="AD91" s="7"/>
      <c r="AE91" s="7"/>
      <c r="AF91" s="7"/>
      <c r="AG91" s="7"/>
      <c r="AH91" s="7"/>
      <c r="AI91" s="7"/>
      <c r="AJ91" s="7"/>
      <c r="AK91" s="7"/>
      <c r="AL91" s="113">
        <v>25</v>
      </c>
      <c r="AM91" s="113">
        <v>12</v>
      </c>
      <c r="AN91" s="113">
        <v>12</v>
      </c>
      <c r="AO91" s="7"/>
      <c r="AP91" s="7"/>
      <c r="AQ91" s="7"/>
      <c r="AR91" s="7"/>
      <c r="AS91" s="110">
        <v>49</v>
      </c>
    </row>
    <row r="92" spans="1:45">
      <c r="A92" s="111">
        <v>83</v>
      </c>
      <c r="B92" s="112" t="s">
        <v>23</v>
      </c>
      <c r="C92" s="112" t="s">
        <v>255</v>
      </c>
      <c r="D92" s="112" t="s">
        <v>274</v>
      </c>
      <c r="E92" s="112" t="s">
        <v>275</v>
      </c>
      <c r="F92" s="113">
        <v>34</v>
      </c>
      <c r="G92" s="113">
        <v>51</v>
      </c>
      <c r="H92" s="7"/>
      <c r="I92" s="7"/>
      <c r="J92" s="7"/>
      <c r="K92" s="7"/>
      <c r="L92" s="7"/>
      <c r="M92" s="110">
        <v>85</v>
      </c>
      <c r="N92" s="113"/>
      <c r="O92" s="113"/>
      <c r="P92" s="113"/>
      <c r="Q92" s="113">
        <v>89</v>
      </c>
      <c r="R92" s="113"/>
      <c r="S92" s="113"/>
      <c r="T92" s="113"/>
      <c r="U92" s="110">
        <v>89</v>
      </c>
      <c r="V92" s="7"/>
      <c r="W92" s="7"/>
      <c r="X92" s="7"/>
      <c r="Y92" s="7"/>
      <c r="Z92" s="7"/>
      <c r="AA92" s="7"/>
      <c r="AB92" s="7"/>
      <c r="AC92" s="7"/>
      <c r="AD92" s="7"/>
      <c r="AE92" s="7"/>
      <c r="AF92" s="7"/>
      <c r="AG92" s="7"/>
      <c r="AH92" s="7"/>
      <c r="AI92" s="7"/>
      <c r="AJ92" s="7"/>
      <c r="AK92" s="7"/>
      <c r="AL92" s="113">
        <v>25</v>
      </c>
      <c r="AM92" s="113">
        <v>13</v>
      </c>
      <c r="AN92" s="113">
        <v>22</v>
      </c>
      <c r="AO92" s="7"/>
      <c r="AP92" s="7"/>
      <c r="AQ92" s="7"/>
      <c r="AR92" s="7"/>
      <c r="AS92" s="110">
        <v>60</v>
      </c>
    </row>
    <row r="93" spans="1:45">
      <c r="A93" s="111">
        <v>84</v>
      </c>
      <c r="B93" s="112" t="s">
        <v>23</v>
      </c>
      <c r="C93" s="112" t="s">
        <v>255</v>
      </c>
      <c r="D93" s="112" t="s">
        <v>276</v>
      </c>
      <c r="E93" s="112" t="s">
        <v>277</v>
      </c>
      <c r="F93" s="113">
        <v>34</v>
      </c>
      <c r="G93" s="113">
        <v>51</v>
      </c>
      <c r="H93" s="7"/>
      <c r="I93" s="7"/>
      <c r="J93" s="7"/>
      <c r="K93" s="7"/>
      <c r="L93" s="7"/>
      <c r="M93" s="110">
        <v>85</v>
      </c>
      <c r="N93" s="113"/>
      <c r="O93" s="113"/>
      <c r="P93" s="113"/>
      <c r="Q93" s="113">
        <v>84</v>
      </c>
      <c r="R93" s="113"/>
      <c r="S93" s="113"/>
      <c r="T93" s="113"/>
      <c r="U93" s="110">
        <v>84</v>
      </c>
      <c r="V93" s="7"/>
      <c r="W93" s="7"/>
      <c r="X93" s="7"/>
      <c r="Y93" s="7"/>
      <c r="Z93" s="7"/>
      <c r="AA93" s="7"/>
      <c r="AB93" s="7"/>
      <c r="AC93" s="7"/>
      <c r="AD93" s="7"/>
      <c r="AE93" s="7"/>
      <c r="AF93" s="7"/>
      <c r="AG93" s="7"/>
      <c r="AH93" s="7"/>
      <c r="AI93" s="7"/>
      <c r="AJ93" s="7"/>
      <c r="AK93" s="7"/>
      <c r="AL93" s="113">
        <v>32</v>
      </c>
      <c r="AM93" s="113">
        <v>22</v>
      </c>
      <c r="AN93" s="113">
        <v>22</v>
      </c>
      <c r="AO93" s="7"/>
      <c r="AP93" s="7"/>
      <c r="AQ93" s="7"/>
      <c r="AR93" s="7"/>
      <c r="AS93" s="110">
        <v>76</v>
      </c>
    </row>
    <row r="94" spans="1:45">
      <c r="A94" s="111">
        <v>85</v>
      </c>
      <c r="B94" s="112" t="s">
        <v>23</v>
      </c>
      <c r="C94" s="112" t="s">
        <v>255</v>
      </c>
      <c r="D94" s="112" t="s">
        <v>278</v>
      </c>
      <c r="E94" s="112" t="s">
        <v>279</v>
      </c>
      <c r="F94" s="113">
        <v>32</v>
      </c>
      <c r="G94" s="113">
        <v>48</v>
      </c>
      <c r="H94" s="7"/>
      <c r="I94" s="7"/>
      <c r="J94" s="7"/>
      <c r="K94" s="7"/>
      <c r="L94" s="7"/>
      <c r="M94" s="110">
        <v>80</v>
      </c>
      <c r="N94" s="113"/>
      <c r="O94" s="113"/>
      <c r="P94" s="113"/>
      <c r="Q94" s="113">
        <v>82</v>
      </c>
      <c r="R94" s="113"/>
      <c r="S94" s="113"/>
      <c r="T94" s="113"/>
      <c r="U94" s="110">
        <v>82</v>
      </c>
      <c r="V94" s="7"/>
      <c r="W94" s="7"/>
      <c r="X94" s="7"/>
      <c r="Y94" s="7"/>
      <c r="Z94" s="7"/>
      <c r="AA94" s="7"/>
      <c r="AB94" s="7"/>
      <c r="AC94" s="7"/>
      <c r="AD94" s="7"/>
      <c r="AE94" s="7"/>
      <c r="AF94" s="7"/>
      <c r="AG94" s="7"/>
      <c r="AH94" s="7"/>
      <c r="AI94" s="7"/>
      <c r="AJ94" s="7"/>
      <c r="AK94" s="7"/>
      <c r="AL94" s="113">
        <v>24</v>
      </c>
      <c r="AM94" s="113">
        <v>21</v>
      </c>
      <c r="AN94" s="113">
        <v>14</v>
      </c>
      <c r="AO94" s="7"/>
      <c r="AP94" s="7"/>
      <c r="AQ94" s="7"/>
      <c r="AR94" s="7"/>
      <c r="AS94" s="110">
        <v>59</v>
      </c>
    </row>
    <row r="95" spans="1:45">
      <c r="A95" s="111">
        <v>86</v>
      </c>
      <c r="B95" s="112" t="s">
        <v>23</v>
      </c>
      <c r="C95" s="112" t="s">
        <v>255</v>
      </c>
      <c r="D95" s="112" t="s">
        <v>280</v>
      </c>
      <c r="E95" s="112" t="s">
        <v>281</v>
      </c>
      <c r="F95" s="113">
        <v>33</v>
      </c>
      <c r="G95" s="113">
        <v>51</v>
      </c>
      <c r="H95" s="7"/>
      <c r="I95" s="7"/>
      <c r="J95" s="7"/>
      <c r="K95" s="7"/>
      <c r="L95" s="7"/>
      <c r="M95" s="110">
        <v>84</v>
      </c>
      <c r="N95" s="113"/>
      <c r="O95" s="113"/>
      <c r="P95" s="113"/>
      <c r="Q95" s="113">
        <v>74</v>
      </c>
      <c r="R95" s="113"/>
      <c r="S95" s="113"/>
      <c r="T95" s="113"/>
      <c r="U95" s="110">
        <v>74</v>
      </c>
      <c r="V95" s="7"/>
      <c r="W95" s="7"/>
      <c r="X95" s="7"/>
      <c r="Y95" s="7"/>
      <c r="Z95" s="7"/>
      <c r="AA95" s="7"/>
      <c r="AB95" s="7"/>
      <c r="AC95" s="7"/>
      <c r="AD95" s="7"/>
      <c r="AE95" s="7"/>
      <c r="AF95" s="7"/>
      <c r="AG95" s="7"/>
      <c r="AH95" s="7"/>
      <c r="AI95" s="7"/>
      <c r="AJ95" s="7"/>
      <c r="AK95" s="7"/>
      <c r="AL95" s="113">
        <v>32</v>
      </c>
      <c r="AM95" s="113">
        <v>14</v>
      </c>
      <c r="AN95" s="113">
        <v>15</v>
      </c>
      <c r="AO95" s="7"/>
      <c r="AP95" s="7"/>
      <c r="AQ95" s="7"/>
      <c r="AR95" s="7"/>
      <c r="AS95" s="110">
        <v>61</v>
      </c>
    </row>
    <row r="96" spans="1:45">
      <c r="A96" s="111">
        <v>87</v>
      </c>
      <c r="B96" s="112" t="s">
        <v>23</v>
      </c>
      <c r="C96" s="112" t="s">
        <v>255</v>
      </c>
      <c r="D96" s="112" t="s">
        <v>282</v>
      </c>
      <c r="E96" s="112" t="s">
        <v>283</v>
      </c>
      <c r="F96" s="113">
        <v>32</v>
      </c>
      <c r="G96" s="113">
        <v>48</v>
      </c>
      <c r="H96" s="7"/>
      <c r="I96" s="7"/>
      <c r="J96" s="7"/>
      <c r="K96" s="7"/>
      <c r="L96" s="7"/>
      <c r="M96" s="110">
        <v>80</v>
      </c>
      <c r="N96" s="113"/>
      <c r="O96" s="113"/>
      <c r="P96" s="113"/>
      <c r="Q96" s="113">
        <v>83</v>
      </c>
      <c r="R96" s="113"/>
      <c r="S96" s="113"/>
      <c r="T96" s="113"/>
      <c r="U96" s="110">
        <v>83</v>
      </c>
      <c r="V96" s="7"/>
      <c r="W96" s="7"/>
      <c r="X96" s="7"/>
      <c r="Y96" s="7"/>
      <c r="Z96" s="7"/>
      <c r="AA96" s="7"/>
      <c r="AB96" s="7"/>
      <c r="AC96" s="7"/>
      <c r="AD96" s="7"/>
      <c r="AE96" s="7"/>
      <c r="AF96" s="7"/>
      <c r="AG96" s="7"/>
      <c r="AH96" s="7"/>
      <c r="AI96" s="7"/>
      <c r="AJ96" s="7"/>
      <c r="AK96" s="7"/>
      <c r="AL96" s="113">
        <v>18</v>
      </c>
      <c r="AM96" s="113">
        <v>19</v>
      </c>
      <c r="AN96" s="113">
        <v>14</v>
      </c>
      <c r="AO96" s="7"/>
      <c r="AP96" s="7"/>
      <c r="AQ96" s="7"/>
      <c r="AR96" s="7"/>
      <c r="AS96" s="110">
        <v>51</v>
      </c>
    </row>
    <row r="97" spans="1:45">
      <c r="A97" s="111">
        <v>88</v>
      </c>
      <c r="B97" s="112" t="s">
        <v>23</v>
      </c>
      <c r="C97" s="112" t="s">
        <v>255</v>
      </c>
      <c r="D97" s="112" t="s">
        <v>284</v>
      </c>
      <c r="E97" s="112" t="s">
        <v>285</v>
      </c>
      <c r="F97" s="113">
        <v>34</v>
      </c>
      <c r="G97" s="113">
        <v>51</v>
      </c>
      <c r="H97" s="7"/>
      <c r="I97" s="7"/>
      <c r="J97" s="7"/>
      <c r="K97" s="7"/>
      <c r="L97" s="7"/>
      <c r="M97" s="110">
        <v>85</v>
      </c>
      <c r="N97" s="113"/>
      <c r="O97" s="113"/>
      <c r="P97" s="113"/>
      <c r="Q97" s="113">
        <v>82</v>
      </c>
      <c r="R97" s="113"/>
      <c r="S97" s="113"/>
      <c r="T97" s="113"/>
      <c r="U97" s="110">
        <v>82</v>
      </c>
      <c r="V97" s="7"/>
      <c r="W97" s="7"/>
      <c r="X97" s="7"/>
      <c r="Y97" s="7"/>
      <c r="Z97" s="7"/>
      <c r="AA97" s="7"/>
      <c r="AB97" s="7"/>
      <c r="AC97" s="7"/>
      <c r="AD97" s="7"/>
      <c r="AE97" s="7"/>
      <c r="AF97" s="7"/>
      <c r="AG97" s="7"/>
      <c r="AH97" s="7"/>
      <c r="AI97" s="7"/>
      <c r="AJ97" s="7"/>
      <c r="AK97" s="7"/>
      <c r="AL97" s="113">
        <v>25</v>
      </c>
      <c r="AM97" s="113">
        <v>24</v>
      </c>
      <c r="AN97" s="113">
        <v>23</v>
      </c>
      <c r="AO97" s="7"/>
      <c r="AP97" s="7"/>
      <c r="AQ97" s="7"/>
      <c r="AR97" s="7"/>
      <c r="AS97" s="110">
        <v>72</v>
      </c>
    </row>
    <row r="98" spans="1:45">
      <c r="A98" s="111">
        <v>89</v>
      </c>
      <c r="B98" s="112" t="s">
        <v>23</v>
      </c>
      <c r="C98" s="112" t="s">
        <v>255</v>
      </c>
      <c r="D98" s="112" t="s">
        <v>286</v>
      </c>
      <c r="E98" s="112" t="s">
        <v>287</v>
      </c>
      <c r="F98" s="113">
        <v>34</v>
      </c>
      <c r="G98" s="113">
        <v>51</v>
      </c>
      <c r="H98" s="7"/>
      <c r="I98" s="7"/>
      <c r="J98" s="7"/>
      <c r="K98" s="7"/>
      <c r="L98" s="7"/>
      <c r="M98" s="110">
        <v>85</v>
      </c>
      <c r="N98" s="113"/>
      <c r="O98" s="113"/>
      <c r="P98" s="113"/>
      <c r="Q98" s="113">
        <v>82</v>
      </c>
      <c r="R98" s="113"/>
      <c r="S98" s="113"/>
      <c r="T98" s="113"/>
      <c r="U98" s="110">
        <v>82</v>
      </c>
      <c r="V98" s="7"/>
      <c r="W98" s="7"/>
      <c r="X98" s="7"/>
      <c r="Y98" s="7"/>
      <c r="Z98" s="7"/>
      <c r="AA98" s="7"/>
      <c r="AB98" s="7"/>
      <c r="AC98" s="7"/>
      <c r="AD98" s="7"/>
      <c r="AE98" s="7"/>
      <c r="AF98" s="7"/>
      <c r="AG98" s="7"/>
      <c r="AH98" s="7"/>
      <c r="AI98" s="7"/>
      <c r="AJ98" s="7"/>
      <c r="AK98" s="7"/>
      <c r="AL98" s="113">
        <v>30</v>
      </c>
      <c r="AM98" s="113">
        <v>17</v>
      </c>
      <c r="AN98" s="113">
        <v>15</v>
      </c>
      <c r="AO98" s="7"/>
      <c r="AP98" s="7"/>
      <c r="AQ98" s="7"/>
      <c r="AR98" s="7"/>
      <c r="AS98" s="110">
        <v>62</v>
      </c>
    </row>
    <row r="99" spans="1:45">
      <c r="A99" s="111">
        <v>90</v>
      </c>
      <c r="B99" s="112" t="s">
        <v>23</v>
      </c>
      <c r="C99" s="112" t="s">
        <v>255</v>
      </c>
      <c r="D99" s="112" t="s">
        <v>288</v>
      </c>
      <c r="E99" s="112" t="s">
        <v>289</v>
      </c>
      <c r="F99" s="113">
        <v>32</v>
      </c>
      <c r="G99" s="113">
        <v>48</v>
      </c>
      <c r="H99" s="7"/>
      <c r="I99" s="7"/>
      <c r="J99" s="7"/>
      <c r="K99" s="7"/>
      <c r="L99" s="7"/>
      <c r="M99" s="110">
        <v>80</v>
      </c>
      <c r="N99" s="113"/>
      <c r="O99" s="113"/>
      <c r="P99" s="113"/>
      <c r="Q99" s="113">
        <v>82</v>
      </c>
      <c r="R99" s="113"/>
      <c r="S99" s="113"/>
      <c r="T99" s="113"/>
      <c r="U99" s="110">
        <v>82</v>
      </c>
      <c r="V99" s="7"/>
      <c r="W99" s="7"/>
      <c r="X99" s="7"/>
      <c r="Y99" s="7"/>
      <c r="Z99" s="7"/>
      <c r="AA99" s="7"/>
      <c r="AB99" s="7"/>
      <c r="AC99" s="7"/>
      <c r="AD99" s="7"/>
      <c r="AE99" s="7"/>
      <c r="AF99" s="7"/>
      <c r="AG99" s="7"/>
      <c r="AH99" s="7"/>
      <c r="AI99" s="7"/>
      <c r="AJ99" s="7"/>
      <c r="AK99" s="7"/>
      <c r="AL99" s="113">
        <v>30</v>
      </c>
      <c r="AM99" s="113">
        <v>22</v>
      </c>
      <c r="AN99" s="113">
        <v>18</v>
      </c>
      <c r="AO99" s="7"/>
      <c r="AP99" s="7"/>
      <c r="AQ99" s="7"/>
      <c r="AR99" s="7"/>
      <c r="AS99" s="110">
        <v>70</v>
      </c>
    </row>
    <row r="100" spans="1:45">
      <c r="A100" s="111">
        <v>91</v>
      </c>
      <c r="B100" s="112" t="s">
        <v>23</v>
      </c>
      <c r="C100" s="112" t="s">
        <v>255</v>
      </c>
      <c r="D100" s="112" t="s">
        <v>290</v>
      </c>
      <c r="E100" s="112" t="s">
        <v>291</v>
      </c>
      <c r="F100" s="113">
        <v>34</v>
      </c>
      <c r="G100" s="113">
        <v>52</v>
      </c>
      <c r="H100" s="7"/>
      <c r="I100" s="7"/>
      <c r="J100" s="7"/>
      <c r="K100" s="7"/>
      <c r="L100" s="7"/>
      <c r="M100" s="110">
        <v>86</v>
      </c>
      <c r="N100" s="113"/>
      <c r="O100" s="113"/>
      <c r="P100" s="113"/>
      <c r="Q100" s="113">
        <v>91</v>
      </c>
      <c r="R100" s="113"/>
      <c r="S100" s="113"/>
      <c r="T100" s="113"/>
      <c r="U100" s="110">
        <v>91</v>
      </c>
      <c r="V100" s="7"/>
      <c r="W100" s="7"/>
      <c r="X100" s="7"/>
      <c r="Y100" s="7"/>
      <c r="Z100" s="7"/>
      <c r="AA100" s="7"/>
      <c r="AB100" s="7"/>
      <c r="AC100" s="7"/>
      <c r="AD100" s="7"/>
      <c r="AE100" s="7"/>
      <c r="AF100" s="7"/>
      <c r="AG100" s="7"/>
      <c r="AH100" s="7"/>
      <c r="AI100" s="7"/>
      <c r="AJ100" s="7"/>
      <c r="AK100" s="7"/>
      <c r="AL100" s="113">
        <v>24</v>
      </c>
      <c r="AM100" s="113">
        <v>28</v>
      </c>
      <c r="AN100" s="113">
        <v>29</v>
      </c>
      <c r="AO100" s="7"/>
      <c r="AP100" s="7"/>
      <c r="AQ100" s="7"/>
      <c r="AR100" s="7"/>
      <c r="AS100" s="110">
        <v>81</v>
      </c>
    </row>
    <row r="101" spans="1:45">
      <c r="A101" s="111">
        <v>92</v>
      </c>
      <c r="B101" s="112" t="s">
        <v>23</v>
      </c>
      <c r="C101" s="112" t="s">
        <v>255</v>
      </c>
      <c r="D101" s="112" t="s">
        <v>292</v>
      </c>
      <c r="E101" s="112" t="s">
        <v>293</v>
      </c>
      <c r="F101" s="113">
        <v>34</v>
      </c>
      <c r="G101" s="113">
        <v>51</v>
      </c>
      <c r="H101" s="7"/>
      <c r="I101" s="7"/>
      <c r="J101" s="7"/>
      <c r="K101" s="7"/>
      <c r="L101" s="7"/>
      <c r="M101" s="110">
        <v>85</v>
      </c>
      <c r="N101" s="113"/>
      <c r="O101" s="113"/>
      <c r="P101" s="113"/>
      <c r="Q101" s="113">
        <v>76</v>
      </c>
      <c r="R101" s="113"/>
      <c r="S101" s="113"/>
      <c r="T101" s="113"/>
      <c r="U101" s="110">
        <v>76</v>
      </c>
      <c r="V101" s="7"/>
      <c r="W101" s="7"/>
      <c r="X101" s="7"/>
      <c r="Y101" s="7"/>
      <c r="Z101" s="7"/>
      <c r="AA101" s="7"/>
      <c r="AB101" s="7"/>
      <c r="AC101" s="7"/>
      <c r="AD101" s="7"/>
      <c r="AE101" s="7"/>
      <c r="AF101" s="7"/>
      <c r="AG101" s="7"/>
      <c r="AH101" s="7"/>
      <c r="AI101" s="7"/>
      <c r="AJ101" s="7"/>
      <c r="AK101" s="7"/>
      <c r="AL101" s="113">
        <v>30</v>
      </c>
      <c r="AM101" s="113">
        <v>20</v>
      </c>
      <c r="AN101" s="113">
        <v>21</v>
      </c>
      <c r="AO101" s="7"/>
      <c r="AP101" s="7"/>
      <c r="AQ101" s="7"/>
      <c r="AR101" s="7"/>
      <c r="AS101" s="110">
        <v>71</v>
      </c>
    </row>
    <row r="102" spans="1:45">
      <c r="A102" s="111">
        <v>93</v>
      </c>
      <c r="B102" s="112" t="s">
        <v>23</v>
      </c>
      <c r="C102" s="112" t="s">
        <v>255</v>
      </c>
      <c r="D102" s="112" t="s">
        <v>294</v>
      </c>
      <c r="E102" s="112" t="s">
        <v>295</v>
      </c>
      <c r="F102" s="113">
        <v>35</v>
      </c>
      <c r="G102" s="113">
        <v>53</v>
      </c>
      <c r="H102" s="7"/>
      <c r="I102" s="7"/>
      <c r="J102" s="7"/>
      <c r="K102" s="7"/>
      <c r="L102" s="7"/>
      <c r="M102" s="110">
        <v>88</v>
      </c>
      <c r="N102" s="113"/>
      <c r="O102" s="113"/>
      <c r="P102" s="113"/>
      <c r="Q102" s="113">
        <v>78</v>
      </c>
      <c r="R102" s="113"/>
      <c r="S102" s="113"/>
      <c r="T102" s="113"/>
      <c r="U102" s="110">
        <v>78</v>
      </c>
      <c r="V102" s="7"/>
      <c r="W102" s="7"/>
      <c r="X102" s="7"/>
      <c r="Y102" s="7"/>
      <c r="Z102" s="7"/>
      <c r="AA102" s="7"/>
      <c r="AB102" s="7"/>
      <c r="AC102" s="7"/>
      <c r="AD102" s="7"/>
      <c r="AE102" s="7"/>
      <c r="AF102" s="7"/>
      <c r="AG102" s="7"/>
      <c r="AH102" s="7"/>
      <c r="AI102" s="7"/>
      <c r="AJ102" s="7"/>
      <c r="AK102" s="7"/>
      <c r="AL102" s="113">
        <v>28</v>
      </c>
      <c r="AM102" s="113">
        <v>17</v>
      </c>
      <c r="AN102" s="113">
        <v>19</v>
      </c>
      <c r="AO102" s="7"/>
      <c r="AP102" s="7"/>
      <c r="AQ102" s="7"/>
      <c r="AR102" s="7"/>
      <c r="AS102" s="110">
        <v>64</v>
      </c>
    </row>
    <row r="103" spans="1:45">
      <c r="A103" s="111">
        <v>94</v>
      </c>
      <c r="B103" s="112" t="s">
        <v>23</v>
      </c>
      <c r="C103" s="112" t="s">
        <v>255</v>
      </c>
      <c r="D103" s="112" t="s">
        <v>296</v>
      </c>
      <c r="E103" s="112" t="s">
        <v>297</v>
      </c>
      <c r="F103" s="113">
        <v>34</v>
      </c>
      <c r="G103" s="113">
        <v>51</v>
      </c>
      <c r="H103" s="7"/>
      <c r="I103" s="7"/>
      <c r="J103" s="7"/>
      <c r="K103" s="7"/>
      <c r="L103" s="7"/>
      <c r="M103" s="110">
        <v>85</v>
      </c>
      <c r="N103" s="113"/>
      <c r="O103" s="113"/>
      <c r="P103" s="113"/>
      <c r="Q103" s="113">
        <v>79</v>
      </c>
      <c r="R103" s="113"/>
      <c r="S103" s="113"/>
      <c r="T103" s="113"/>
      <c r="U103" s="110">
        <v>79</v>
      </c>
      <c r="V103" s="7"/>
      <c r="W103" s="7"/>
      <c r="X103" s="7"/>
      <c r="Y103" s="7"/>
      <c r="Z103" s="7"/>
      <c r="AA103" s="7"/>
      <c r="AB103" s="7"/>
      <c r="AC103" s="7"/>
      <c r="AD103" s="7"/>
      <c r="AE103" s="7"/>
      <c r="AF103" s="7"/>
      <c r="AG103" s="7"/>
      <c r="AH103" s="7"/>
      <c r="AI103" s="7"/>
      <c r="AJ103" s="7"/>
      <c r="AK103" s="7"/>
      <c r="AL103" s="113">
        <v>17</v>
      </c>
      <c r="AM103" s="113">
        <v>15</v>
      </c>
      <c r="AN103" s="113">
        <v>13</v>
      </c>
      <c r="AO103" s="7"/>
      <c r="AP103" s="7"/>
      <c r="AQ103" s="7"/>
      <c r="AR103" s="7"/>
      <c r="AS103" s="110">
        <v>45</v>
      </c>
    </row>
    <row r="104" spans="1:45">
      <c r="A104" s="111">
        <v>95</v>
      </c>
      <c r="B104" s="112" t="s">
        <v>23</v>
      </c>
      <c r="C104" s="112" t="s">
        <v>255</v>
      </c>
      <c r="D104" s="112" t="s">
        <v>298</v>
      </c>
      <c r="E104" s="112" t="s">
        <v>299</v>
      </c>
      <c r="F104" s="113">
        <v>34</v>
      </c>
      <c r="G104" s="113">
        <v>52</v>
      </c>
      <c r="H104" s="7"/>
      <c r="I104" s="7"/>
      <c r="J104" s="7"/>
      <c r="K104" s="7"/>
      <c r="L104" s="7"/>
      <c r="M104" s="110">
        <v>86</v>
      </c>
      <c r="N104" s="113"/>
      <c r="O104" s="113"/>
      <c r="P104" s="113"/>
      <c r="Q104" s="113">
        <v>83</v>
      </c>
      <c r="R104" s="113"/>
      <c r="S104" s="113"/>
      <c r="T104" s="113"/>
      <c r="U104" s="110">
        <v>83</v>
      </c>
      <c r="V104" s="7"/>
      <c r="W104" s="7"/>
      <c r="X104" s="7"/>
      <c r="Y104" s="7"/>
      <c r="Z104" s="7"/>
      <c r="AA104" s="7"/>
      <c r="AB104" s="7"/>
      <c r="AC104" s="7"/>
      <c r="AD104" s="7"/>
      <c r="AE104" s="7"/>
      <c r="AF104" s="7"/>
      <c r="AG104" s="7"/>
      <c r="AH104" s="7"/>
      <c r="AI104" s="7"/>
      <c r="AJ104" s="7"/>
      <c r="AK104" s="7"/>
      <c r="AL104" s="113">
        <v>32</v>
      </c>
      <c r="AM104" s="113">
        <v>23</v>
      </c>
      <c r="AN104" s="113">
        <v>24</v>
      </c>
      <c r="AO104" s="7"/>
      <c r="AP104" s="7"/>
      <c r="AQ104" s="7"/>
      <c r="AR104" s="7"/>
      <c r="AS104" s="110">
        <v>79</v>
      </c>
    </row>
    <row r="105" spans="1:45">
      <c r="A105" s="111">
        <v>96</v>
      </c>
      <c r="B105" s="112" t="s">
        <v>23</v>
      </c>
      <c r="C105" s="112" t="s">
        <v>255</v>
      </c>
      <c r="D105" s="112" t="s">
        <v>300</v>
      </c>
      <c r="E105" s="112" t="s">
        <v>301</v>
      </c>
      <c r="F105" s="113">
        <v>34</v>
      </c>
      <c r="G105" s="113">
        <v>53</v>
      </c>
      <c r="H105" s="7"/>
      <c r="I105" s="7"/>
      <c r="J105" s="7"/>
      <c r="K105" s="7"/>
      <c r="L105" s="7"/>
      <c r="M105" s="110">
        <v>87</v>
      </c>
      <c r="N105" s="113"/>
      <c r="O105" s="113"/>
      <c r="P105" s="113"/>
      <c r="Q105" s="113">
        <v>87</v>
      </c>
      <c r="R105" s="113"/>
      <c r="S105" s="113"/>
      <c r="T105" s="113"/>
      <c r="U105" s="110">
        <v>87</v>
      </c>
      <c r="V105" s="7"/>
      <c r="W105" s="7"/>
      <c r="X105" s="7"/>
      <c r="Y105" s="7"/>
      <c r="Z105" s="7"/>
      <c r="AA105" s="7"/>
      <c r="AB105" s="7"/>
      <c r="AC105" s="7"/>
      <c r="AD105" s="7"/>
      <c r="AE105" s="7"/>
      <c r="AF105" s="7"/>
      <c r="AG105" s="7"/>
      <c r="AH105" s="7"/>
      <c r="AI105" s="7"/>
      <c r="AJ105" s="7"/>
      <c r="AK105" s="7"/>
      <c r="AL105" s="113">
        <v>30</v>
      </c>
      <c r="AM105" s="113">
        <v>24</v>
      </c>
      <c r="AN105" s="113">
        <v>23</v>
      </c>
      <c r="AO105" s="7"/>
      <c r="AP105" s="7"/>
      <c r="AQ105" s="7"/>
      <c r="AR105" s="7"/>
      <c r="AS105" s="110">
        <v>77</v>
      </c>
    </row>
    <row r="106" spans="1:45">
      <c r="A106" s="111">
        <v>97</v>
      </c>
      <c r="B106" s="112" t="s">
        <v>23</v>
      </c>
      <c r="C106" s="112" t="s">
        <v>255</v>
      </c>
      <c r="D106" s="112" t="s">
        <v>302</v>
      </c>
      <c r="E106" s="112" t="s">
        <v>303</v>
      </c>
      <c r="F106" s="113">
        <v>34</v>
      </c>
      <c r="G106" s="113">
        <v>51</v>
      </c>
      <c r="H106" s="7"/>
      <c r="I106" s="7"/>
      <c r="J106" s="7"/>
      <c r="K106" s="7"/>
      <c r="L106" s="7"/>
      <c r="M106" s="110">
        <v>85</v>
      </c>
      <c r="N106" s="113"/>
      <c r="O106" s="113"/>
      <c r="P106" s="113"/>
      <c r="Q106" s="113">
        <v>80</v>
      </c>
      <c r="R106" s="113"/>
      <c r="S106" s="113"/>
      <c r="T106" s="113"/>
      <c r="U106" s="110">
        <v>80</v>
      </c>
      <c r="V106" s="7"/>
      <c r="W106" s="7"/>
      <c r="X106" s="7"/>
      <c r="Y106" s="7"/>
      <c r="Z106" s="7"/>
      <c r="AA106" s="7"/>
      <c r="AB106" s="7"/>
      <c r="AC106" s="7"/>
      <c r="AD106" s="7"/>
      <c r="AE106" s="7"/>
      <c r="AF106" s="7"/>
      <c r="AG106" s="7"/>
      <c r="AH106" s="7"/>
      <c r="AI106" s="7"/>
      <c r="AJ106" s="7"/>
      <c r="AK106" s="7"/>
      <c r="AL106" s="113">
        <v>24</v>
      </c>
      <c r="AM106" s="113">
        <v>16</v>
      </c>
      <c r="AN106" s="113">
        <v>15</v>
      </c>
      <c r="AO106" s="7"/>
      <c r="AP106" s="7"/>
      <c r="AQ106" s="7"/>
      <c r="AR106" s="7"/>
      <c r="AS106" s="110">
        <v>55</v>
      </c>
    </row>
    <row r="107" spans="1:45">
      <c r="A107" s="111">
        <v>98</v>
      </c>
      <c r="B107" s="112" t="s">
        <v>23</v>
      </c>
      <c r="C107" s="112" t="s">
        <v>255</v>
      </c>
      <c r="D107" s="112" t="s">
        <v>304</v>
      </c>
      <c r="E107" s="112" t="s">
        <v>305</v>
      </c>
      <c r="F107" s="113">
        <v>33</v>
      </c>
      <c r="G107" s="113">
        <v>51</v>
      </c>
      <c r="H107" s="7"/>
      <c r="I107" s="7"/>
      <c r="J107" s="7"/>
      <c r="K107" s="7"/>
      <c r="L107" s="7"/>
      <c r="M107" s="110">
        <v>84</v>
      </c>
      <c r="N107" s="113"/>
      <c r="O107" s="113"/>
      <c r="P107" s="113"/>
      <c r="Q107" s="113">
        <v>79</v>
      </c>
      <c r="R107" s="113"/>
      <c r="S107" s="113"/>
      <c r="T107" s="113"/>
      <c r="U107" s="110">
        <v>79</v>
      </c>
      <c r="V107" s="7"/>
      <c r="W107" s="7"/>
      <c r="X107" s="7"/>
      <c r="Y107" s="7"/>
      <c r="Z107" s="7"/>
      <c r="AA107" s="7"/>
      <c r="AB107" s="7"/>
      <c r="AC107" s="7"/>
      <c r="AD107" s="7"/>
      <c r="AE107" s="7"/>
      <c r="AF107" s="7"/>
      <c r="AG107" s="7"/>
      <c r="AH107" s="7"/>
      <c r="AI107" s="7"/>
      <c r="AJ107" s="7"/>
      <c r="AK107" s="7"/>
      <c r="AL107" s="113">
        <v>23</v>
      </c>
      <c r="AM107" s="113">
        <v>12</v>
      </c>
      <c r="AN107" s="113">
        <v>13</v>
      </c>
      <c r="AO107" s="7"/>
      <c r="AP107" s="7"/>
      <c r="AQ107" s="7"/>
      <c r="AR107" s="7"/>
      <c r="AS107" s="110">
        <v>48</v>
      </c>
    </row>
    <row r="108" spans="1:45">
      <c r="A108" s="111">
        <v>99</v>
      </c>
      <c r="B108" s="112" t="s">
        <v>23</v>
      </c>
      <c r="C108" s="112" t="s">
        <v>255</v>
      </c>
      <c r="D108" s="112" t="s">
        <v>306</v>
      </c>
      <c r="E108" s="112" t="s">
        <v>307</v>
      </c>
      <c r="F108" s="113">
        <v>34</v>
      </c>
      <c r="G108" s="113">
        <v>51</v>
      </c>
      <c r="H108" s="7"/>
      <c r="I108" s="7"/>
      <c r="J108" s="7"/>
      <c r="K108" s="7"/>
      <c r="L108" s="7"/>
      <c r="M108" s="110">
        <v>85</v>
      </c>
      <c r="N108" s="113"/>
      <c r="O108" s="113"/>
      <c r="P108" s="113"/>
      <c r="Q108" s="113">
        <v>84</v>
      </c>
      <c r="R108" s="113"/>
      <c r="S108" s="113"/>
      <c r="T108" s="113"/>
      <c r="U108" s="110">
        <v>84</v>
      </c>
      <c r="V108" s="7"/>
      <c r="W108" s="7"/>
      <c r="X108" s="7"/>
      <c r="Y108" s="7"/>
      <c r="Z108" s="7"/>
      <c r="AA108" s="7"/>
      <c r="AB108" s="7"/>
      <c r="AC108" s="7"/>
      <c r="AD108" s="7"/>
      <c r="AE108" s="7"/>
      <c r="AF108" s="7"/>
      <c r="AG108" s="7"/>
      <c r="AH108" s="7"/>
      <c r="AI108" s="7"/>
      <c r="AJ108" s="7"/>
      <c r="AK108" s="7"/>
      <c r="AL108" s="113">
        <v>21</v>
      </c>
      <c r="AM108" s="113">
        <v>18</v>
      </c>
      <c r="AN108" s="113">
        <v>18</v>
      </c>
      <c r="AO108" s="7"/>
      <c r="AP108" s="7"/>
      <c r="AQ108" s="7"/>
      <c r="AR108" s="7"/>
      <c r="AS108" s="110">
        <v>57</v>
      </c>
    </row>
    <row r="109" spans="1:45">
      <c r="A109" s="111">
        <v>100</v>
      </c>
      <c r="B109" s="112" t="s">
        <v>23</v>
      </c>
      <c r="C109" s="112" t="s">
        <v>255</v>
      </c>
      <c r="D109" s="112" t="s">
        <v>308</v>
      </c>
      <c r="E109" s="112" t="s">
        <v>309</v>
      </c>
      <c r="F109" s="113">
        <v>33</v>
      </c>
      <c r="G109" s="113">
        <v>50</v>
      </c>
      <c r="H109" s="7"/>
      <c r="I109" s="7"/>
      <c r="J109" s="7"/>
      <c r="K109" s="7"/>
      <c r="L109" s="7"/>
      <c r="M109" s="110">
        <v>83</v>
      </c>
      <c r="N109" s="113"/>
      <c r="O109" s="113"/>
      <c r="P109" s="113"/>
      <c r="Q109" s="113">
        <v>83</v>
      </c>
      <c r="R109" s="113"/>
      <c r="S109" s="113"/>
      <c r="T109" s="113"/>
      <c r="U109" s="110">
        <v>83</v>
      </c>
      <c r="V109" s="7"/>
      <c r="W109" s="7"/>
      <c r="X109" s="7"/>
      <c r="Y109" s="7"/>
      <c r="Z109" s="7"/>
      <c r="AA109" s="7"/>
      <c r="AB109" s="7"/>
      <c r="AC109" s="7"/>
      <c r="AD109" s="7"/>
      <c r="AE109" s="7"/>
      <c r="AF109" s="7"/>
      <c r="AG109" s="7"/>
      <c r="AH109" s="7"/>
      <c r="AI109" s="7"/>
      <c r="AJ109" s="7"/>
      <c r="AK109" s="7"/>
      <c r="AL109" s="113">
        <v>18</v>
      </c>
      <c r="AM109" s="113">
        <v>19</v>
      </c>
      <c r="AN109" s="113">
        <v>16</v>
      </c>
      <c r="AO109" s="7"/>
      <c r="AP109" s="7"/>
      <c r="AQ109" s="7"/>
      <c r="AR109" s="7"/>
      <c r="AS109" s="110">
        <v>53</v>
      </c>
    </row>
    <row r="110" spans="1:45">
      <c r="A110" s="111">
        <v>101</v>
      </c>
      <c r="B110" s="112" t="s">
        <v>23</v>
      </c>
      <c r="C110" s="112" t="s">
        <v>255</v>
      </c>
      <c r="D110" s="112" t="s">
        <v>310</v>
      </c>
      <c r="E110" s="112" t="s">
        <v>311</v>
      </c>
      <c r="F110" s="113">
        <v>34</v>
      </c>
      <c r="G110" s="113">
        <v>51</v>
      </c>
      <c r="H110" s="7"/>
      <c r="I110" s="7"/>
      <c r="J110" s="7"/>
      <c r="K110" s="7"/>
      <c r="L110" s="7"/>
      <c r="M110" s="110">
        <v>85</v>
      </c>
      <c r="N110" s="113"/>
      <c r="O110" s="113"/>
      <c r="P110" s="113"/>
      <c r="Q110" s="113">
        <v>85</v>
      </c>
      <c r="R110" s="113"/>
      <c r="S110" s="113"/>
      <c r="T110" s="113"/>
      <c r="U110" s="110">
        <v>85</v>
      </c>
      <c r="V110" s="7"/>
      <c r="W110" s="7"/>
      <c r="X110" s="7"/>
      <c r="Y110" s="7"/>
      <c r="Z110" s="7"/>
      <c r="AA110" s="7"/>
      <c r="AB110" s="7"/>
      <c r="AC110" s="7"/>
      <c r="AD110" s="7"/>
      <c r="AE110" s="7"/>
      <c r="AF110" s="7"/>
      <c r="AG110" s="7"/>
      <c r="AH110" s="7"/>
      <c r="AI110" s="7"/>
      <c r="AJ110" s="7"/>
      <c r="AK110" s="7"/>
      <c r="AL110" s="113">
        <v>32</v>
      </c>
      <c r="AM110" s="113">
        <v>16</v>
      </c>
      <c r="AN110" s="113">
        <v>17</v>
      </c>
      <c r="AO110" s="7"/>
      <c r="AP110" s="7"/>
      <c r="AQ110" s="7"/>
      <c r="AR110" s="7"/>
      <c r="AS110" s="110">
        <v>65</v>
      </c>
    </row>
    <row r="111" spans="1:45">
      <c r="A111" s="111">
        <v>102</v>
      </c>
      <c r="B111" s="112" t="s">
        <v>23</v>
      </c>
      <c r="C111" s="112" t="s">
        <v>255</v>
      </c>
      <c r="D111" s="112" t="s">
        <v>312</v>
      </c>
      <c r="E111" s="112" t="s">
        <v>313</v>
      </c>
      <c r="F111" s="113">
        <v>34</v>
      </c>
      <c r="G111" s="113">
        <v>51</v>
      </c>
      <c r="H111" s="7"/>
      <c r="I111" s="7"/>
      <c r="J111" s="7"/>
      <c r="K111" s="7"/>
      <c r="L111" s="7"/>
      <c r="M111" s="110">
        <v>85</v>
      </c>
      <c r="N111" s="113"/>
      <c r="O111" s="113"/>
      <c r="P111" s="113"/>
      <c r="Q111" s="113">
        <v>77</v>
      </c>
      <c r="R111" s="113"/>
      <c r="S111" s="113"/>
      <c r="T111" s="113"/>
      <c r="U111" s="110">
        <v>77</v>
      </c>
      <c r="V111" s="7"/>
      <c r="W111" s="7"/>
      <c r="X111" s="7"/>
      <c r="Y111" s="7"/>
      <c r="Z111" s="7"/>
      <c r="AA111" s="7"/>
      <c r="AB111" s="7"/>
      <c r="AC111" s="7"/>
      <c r="AD111" s="7"/>
      <c r="AE111" s="7"/>
      <c r="AF111" s="7"/>
      <c r="AG111" s="7"/>
      <c r="AH111" s="7"/>
      <c r="AI111" s="7"/>
      <c r="AJ111" s="7"/>
      <c r="AK111" s="7"/>
      <c r="AL111" s="113">
        <v>22</v>
      </c>
      <c r="AM111" s="113">
        <v>20</v>
      </c>
      <c r="AN111" s="113">
        <v>15</v>
      </c>
      <c r="AO111" s="7"/>
      <c r="AP111" s="7"/>
      <c r="AQ111" s="7"/>
      <c r="AR111" s="7"/>
      <c r="AS111" s="110">
        <v>57</v>
      </c>
    </row>
    <row r="112" spans="1:45">
      <c r="A112" s="111">
        <v>103</v>
      </c>
      <c r="B112" s="112" t="s">
        <v>23</v>
      </c>
      <c r="C112" s="112" t="s">
        <v>255</v>
      </c>
      <c r="D112" s="112" t="s">
        <v>314</v>
      </c>
      <c r="E112" s="112" t="s">
        <v>315</v>
      </c>
      <c r="F112" s="113">
        <v>34</v>
      </c>
      <c r="G112" s="113">
        <v>51</v>
      </c>
      <c r="H112" s="7"/>
      <c r="I112" s="7"/>
      <c r="J112" s="7"/>
      <c r="K112" s="7"/>
      <c r="L112" s="7"/>
      <c r="M112" s="110">
        <v>85</v>
      </c>
      <c r="N112" s="113"/>
      <c r="O112" s="113"/>
      <c r="P112" s="113"/>
      <c r="Q112" s="113">
        <v>82</v>
      </c>
      <c r="R112" s="113"/>
      <c r="S112" s="113"/>
      <c r="T112" s="113"/>
      <c r="U112" s="110">
        <v>82</v>
      </c>
      <c r="V112" s="7"/>
      <c r="W112" s="7"/>
      <c r="X112" s="7"/>
      <c r="Y112" s="7"/>
      <c r="Z112" s="7"/>
      <c r="AA112" s="7"/>
      <c r="AB112" s="7"/>
      <c r="AC112" s="7"/>
      <c r="AD112" s="7"/>
      <c r="AE112" s="7"/>
      <c r="AF112" s="7"/>
      <c r="AG112" s="7"/>
      <c r="AH112" s="7"/>
      <c r="AI112" s="7"/>
      <c r="AJ112" s="7"/>
      <c r="AK112" s="7"/>
      <c r="AL112" s="113">
        <v>15</v>
      </c>
      <c r="AM112" s="113">
        <v>13</v>
      </c>
      <c r="AN112" s="113">
        <v>13</v>
      </c>
      <c r="AO112" s="7"/>
      <c r="AP112" s="7"/>
      <c r="AQ112" s="7"/>
      <c r="AR112" s="7"/>
      <c r="AS112" s="110">
        <v>41</v>
      </c>
    </row>
    <row r="113" spans="1:45">
      <c r="A113" s="111">
        <v>104</v>
      </c>
      <c r="B113" s="112" t="s">
        <v>23</v>
      </c>
      <c r="C113" s="112" t="s">
        <v>255</v>
      </c>
      <c r="D113" s="112" t="s">
        <v>316</v>
      </c>
      <c r="E113" s="112" t="s">
        <v>317</v>
      </c>
      <c r="F113" s="113">
        <v>33</v>
      </c>
      <c r="G113" s="113">
        <v>51</v>
      </c>
      <c r="H113" s="7"/>
      <c r="I113" s="7"/>
      <c r="J113" s="7"/>
      <c r="K113" s="7"/>
      <c r="L113" s="7"/>
      <c r="M113" s="110">
        <v>84</v>
      </c>
      <c r="N113" s="113"/>
      <c r="O113" s="113"/>
      <c r="P113" s="113"/>
      <c r="Q113" s="113">
        <v>88</v>
      </c>
      <c r="R113" s="113"/>
      <c r="S113" s="113"/>
      <c r="T113" s="113"/>
      <c r="U113" s="110">
        <v>88</v>
      </c>
      <c r="V113" s="7"/>
      <c r="W113" s="7"/>
      <c r="X113" s="7"/>
      <c r="Y113" s="7"/>
      <c r="Z113" s="7"/>
      <c r="AA113" s="7"/>
      <c r="AB113" s="7"/>
      <c r="AC113" s="7"/>
      <c r="AD113" s="7"/>
      <c r="AE113" s="7"/>
      <c r="AF113" s="7"/>
      <c r="AG113" s="7"/>
      <c r="AH113" s="7"/>
      <c r="AI113" s="7"/>
      <c r="AJ113" s="7"/>
      <c r="AK113" s="7"/>
      <c r="AL113" s="113">
        <v>22</v>
      </c>
      <c r="AM113" s="113">
        <v>10</v>
      </c>
      <c r="AN113" s="113">
        <v>15</v>
      </c>
      <c r="AO113" s="7"/>
      <c r="AP113" s="7"/>
      <c r="AQ113" s="7"/>
      <c r="AR113" s="7"/>
      <c r="AS113" s="110">
        <v>47</v>
      </c>
    </row>
    <row r="114" spans="1:45">
      <c r="A114" s="111">
        <v>105</v>
      </c>
      <c r="B114" s="112" t="s">
        <v>23</v>
      </c>
      <c r="C114" s="112" t="s">
        <v>255</v>
      </c>
      <c r="D114" s="112" t="s">
        <v>318</v>
      </c>
      <c r="E114" s="112" t="s">
        <v>319</v>
      </c>
      <c r="F114" s="113">
        <v>32</v>
      </c>
      <c r="G114" s="113">
        <v>48</v>
      </c>
      <c r="H114" s="7"/>
      <c r="I114" s="7"/>
      <c r="J114" s="7"/>
      <c r="K114" s="7"/>
      <c r="L114" s="7"/>
      <c r="M114" s="110">
        <v>80</v>
      </c>
      <c r="N114" s="113"/>
      <c r="O114" s="113"/>
      <c r="P114" s="113"/>
      <c r="Q114" s="113">
        <v>70</v>
      </c>
      <c r="R114" s="113"/>
      <c r="S114" s="113"/>
      <c r="T114" s="113"/>
      <c r="U114" s="110">
        <v>70</v>
      </c>
      <c r="V114" s="7"/>
      <c r="W114" s="7"/>
      <c r="X114" s="7"/>
      <c r="Y114" s="7"/>
      <c r="Z114" s="7"/>
      <c r="AA114" s="7"/>
      <c r="AB114" s="7"/>
      <c r="AC114" s="7"/>
      <c r="AD114" s="7"/>
      <c r="AE114" s="7"/>
      <c r="AF114" s="7"/>
      <c r="AG114" s="7"/>
      <c r="AH114" s="7"/>
      <c r="AI114" s="7"/>
      <c r="AJ114" s="7"/>
      <c r="AK114" s="7"/>
      <c r="AL114" s="113">
        <v>15</v>
      </c>
      <c r="AM114" s="113">
        <v>9</v>
      </c>
      <c r="AN114" s="113">
        <v>14</v>
      </c>
      <c r="AO114" s="7"/>
      <c r="AP114" s="7"/>
      <c r="AQ114" s="7"/>
      <c r="AR114" s="7"/>
      <c r="AS114" s="110">
        <v>38</v>
      </c>
    </row>
    <row r="115" spans="1:45">
      <c r="A115" s="111">
        <v>106</v>
      </c>
      <c r="B115" s="112" t="s">
        <v>23</v>
      </c>
      <c r="C115" s="112" t="s">
        <v>255</v>
      </c>
      <c r="D115" s="112" t="s">
        <v>320</v>
      </c>
      <c r="E115" s="112" t="s">
        <v>321</v>
      </c>
      <c r="F115" s="113">
        <v>36</v>
      </c>
      <c r="G115" s="113">
        <v>54</v>
      </c>
      <c r="H115" s="7"/>
      <c r="I115" s="7"/>
      <c r="J115" s="7"/>
      <c r="K115" s="7"/>
      <c r="L115" s="7"/>
      <c r="M115" s="110">
        <v>90</v>
      </c>
      <c r="N115" s="113"/>
      <c r="O115" s="113"/>
      <c r="P115" s="113"/>
      <c r="Q115" s="113">
        <v>83</v>
      </c>
      <c r="R115" s="113"/>
      <c r="S115" s="113"/>
      <c r="T115" s="113"/>
      <c r="U115" s="110">
        <v>83</v>
      </c>
      <c r="V115" s="7"/>
      <c r="W115" s="7"/>
      <c r="X115" s="7"/>
      <c r="Y115" s="7"/>
      <c r="Z115" s="7"/>
      <c r="AA115" s="7"/>
      <c r="AB115" s="7"/>
      <c r="AC115" s="7"/>
      <c r="AD115" s="7"/>
      <c r="AE115" s="7"/>
      <c r="AF115" s="7"/>
      <c r="AG115" s="7"/>
      <c r="AH115" s="7"/>
      <c r="AI115" s="7"/>
      <c r="AJ115" s="7"/>
      <c r="AK115" s="7"/>
      <c r="AL115" s="113">
        <v>30</v>
      </c>
      <c r="AM115" s="113">
        <v>28</v>
      </c>
      <c r="AN115" s="113">
        <v>26</v>
      </c>
      <c r="AO115" s="7"/>
      <c r="AP115" s="7"/>
      <c r="AQ115" s="7"/>
      <c r="AR115" s="7"/>
      <c r="AS115" s="110">
        <v>84</v>
      </c>
    </row>
    <row r="116" spans="1:45">
      <c r="A116" s="111">
        <v>107</v>
      </c>
      <c r="B116" s="112" t="s">
        <v>23</v>
      </c>
      <c r="C116" s="112" t="s">
        <v>255</v>
      </c>
      <c r="D116" s="112" t="s">
        <v>322</v>
      </c>
      <c r="E116" s="112" t="s">
        <v>323</v>
      </c>
      <c r="F116" s="113">
        <v>34</v>
      </c>
      <c r="G116" s="113">
        <v>52</v>
      </c>
      <c r="H116" s="7"/>
      <c r="I116" s="7"/>
      <c r="J116" s="7"/>
      <c r="K116" s="7"/>
      <c r="L116" s="7"/>
      <c r="M116" s="110">
        <v>86</v>
      </c>
      <c r="N116" s="113"/>
      <c r="O116" s="113"/>
      <c r="P116" s="113"/>
      <c r="Q116" s="113">
        <v>80</v>
      </c>
      <c r="R116" s="113"/>
      <c r="S116" s="113"/>
      <c r="T116" s="113"/>
      <c r="U116" s="110">
        <v>80</v>
      </c>
      <c r="V116" s="7"/>
      <c r="W116" s="7"/>
      <c r="X116" s="7"/>
      <c r="Y116" s="7"/>
      <c r="Z116" s="7"/>
      <c r="AA116" s="7"/>
      <c r="AB116" s="7"/>
      <c r="AC116" s="7"/>
      <c r="AD116" s="7"/>
      <c r="AE116" s="7"/>
      <c r="AF116" s="7"/>
      <c r="AG116" s="7"/>
      <c r="AH116" s="7"/>
      <c r="AI116" s="7"/>
      <c r="AJ116" s="7"/>
      <c r="AK116" s="7"/>
      <c r="AL116" s="113">
        <v>32</v>
      </c>
      <c r="AM116" s="113">
        <v>28</v>
      </c>
      <c r="AN116" s="113">
        <v>21</v>
      </c>
      <c r="AO116" s="7"/>
      <c r="AP116" s="7"/>
      <c r="AQ116" s="7"/>
      <c r="AR116" s="7"/>
      <c r="AS116" s="110">
        <v>81</v>
      </c>
    </row>
    <row r="117" spans="1:45">
      <c r="A117" s="111">
        <v>108</v>
      </c>
      <c r="B117" s="112" t="s">
        <v>23</v>
      </c>
      <c r="C117" s="112" t="s">
        <v>255</v>
      </c>
      <c r="D117" s="112" t="s">
        <v>324</v>
      </c>
      <c r="E117" s="112" t="s">
        <v>325</v>
      </c>
      <c r="F117" s="113">
        <v>34</v>
      </c>
      <c r="G117" s="113">
        <v>51</v>
      </c>
      <c r="H117" s="7"/>
      <c r="I117" s="7"/>
      <c r="J117" s="7"/>
      <c r="K117" s="7"/>
      <c r="L117" s="7"/>
      <c r="M117" s="110">
        <v>85</v>
      </c>
      <c r="N117" s="113"/>
      <c r="O117" s="113"/>
      <c r="P117" s="113"/>
      <c r="Q117" s="113">
        <v>81</v>
      </c>
      <c r="R117" s="113"/>
      <c r="S117" s="113"/>
      <c r="T117" s="113"/>
      <c r="U117" s="110">
        <v>81</v>
      </c>
      <c r="V117" s="7"/>
      <c r="W117" s="7"/>
      <c r="X117" s="7"/>
      <c r="Y117" s="7"/>
      <c r="Z117" s="7"/>
      <c r="AA117" s="7"/>
      <c r="AB117" s="7"/>
      <c r="AC117" s="7"/>
      <c r="AD117" s="7"/>
      <c r="AE117" s="7"/>
      <c r="AF117" s="7"/>
      <c r="AG117" s="7"/>
      <c r="AH117" s="7"/>
      <c r="AI117" s="7"/>
      <c r="AJ117" s="7"/>
      <c r="AK117" s="7"/>
      <c r="AL117" s="113">
        <v>32</v>
      </c>
      <c r="AM117" s="113">
        <v>24</v>
      </c>
      <c r="AN117" s="113">
        <v>23</v>
      </c>
      <c r="AO117" s="7"/>
      <c r="AP117" s="7"/>
      <c r="AQ117" s="7"/>
      <c r="AR117" s="7"/>
      <c r="AS117" s="110">
        <v>79</v>
      </c>
    </row>
    <row r="118" spans="1:45">
      <c r="A118" s="111">
        <v>109</v>
      </c>
      <c r="B118" s="112" t="s">
        <v>23</v>
      </c>
      <c r="C118" s="112" t="s">
        <v>255</v>
      </c>
      <c r="D118" s="112" t="s">
        <v>326</v>
      </c>
      <c r="E118" s="112" t="s">
        <v>327</v>
      </c>
      <c r="F118" s="113">
        <v>32</v>
      </c>
      <c r="G118" s="113">
        <v>50</v>
      </c>
      <c r="H118" s="7"/>
      <c r="I118" s="7"/>
      <c r="J118" s="7"/>
      <c r="K118" s="7"/>
      <c r="L118" s="7"/>
      <c r="M118" s="110">
        <v>82</v>
      </c>
      <c r="N118" s="113"/>
      <c r="O118" s="113"/>
      <c r="P118" s="113"/>
      <c r="Q118" s="113">
        <v>78</v>
      </c>
      <c r="R118" s="113"/>
      <c r="S118" s="113"/>
      <c r="T118" s="113"/>
      <c r="U118" s="110">
        <v>78</v>
      </c>
      <c r="V118" s="7"/>
      <c r="W118" s="7"/>
      <c r="X118" s="7"/>
      <c r="Y118" s="7"/>
      <c r="Z118" s="7"/>
      <c r="AA118" s="7"/>
      <c r="AB118" s="7"/>
      <c r="AC118" s="7"/>
      <c r="AD118" s="7"/>
      <c r="AE118" s="7"/>
      <c r="AF118" s="7"/>
      <c r="AG118" s="7"/>
      <c r="AH118" s="7"/>
      <c r="AI118" s="7"/>
      <c r="AJ118" s="7"/>
      <c r="AK118" s="7"/>
      <c r="AL118" s="113">
        <v>24</v>
      </c>
      <c r="AM118" s="113">
        <v>18</v>
      </c>
      <c r="AN118" s="113">
        <v>19</v>
      </c>
      <c r="AO118" s="7"/>
      <c r="AP118" s="7"/>
      <c r="AQ118" s="7"/>
      <c r="AR118" s="7"/>
      <c r="AS118" s="110">
        <v>61</v>
      </c>
    </row>
    <row r="119" spans="1:45">
      <c r="A119" s="111">
        <v>110</v>
      </c>
      <c r="B119" s="112" t="s">
        <v>23</v>
      </c>
      <c r="C119" s="112" t="s">
        <v>255</v>
      </c>
      <c r="D119" s="112" t="s">
        <v>328</v>
      </c>
      <c r="E119" s="112" t="s">
        <v>329</v>
      </c>
      <c r="F119" s="113">
        <v>34</v>
      </c>
      <c r="G119" s="113">
        <v>51</v>
      </c>
      <c r="H119" s="7"/>
      <c r="I119" s="7"/>
      <c r="J119" s="7"/>
      <c r="K119" s="7"/>
      <c r="L119" s="7"/>
      <c r="M119" s="110">
        <v>85</v>
      </c>
      <c r="N119" s="113"/>
      <c r="O119" s="113"/>
      <c r="P119" s="113"/>
      <c r="Q119" s="113">
        <v>80</v>
      </c>
      <c r="R119" s="113"/>
      <c r="S119" s="113"/>
      <c r="T119" s="113"/>
      <c r="U119" s="110">
        <v>80</v>
      </c>
      <c r="V119" s="7"/>
      <c r="W119" s="7"/>
      <c r="X119" s="7"/>
      <c r="Y119" s="7"/>
      <c r="Z119" s="7"/>
      <c r="AA119" s="7"/>
      <c r="AB119" s="7"/>
      <c r="AC119" s="7"/>
      <c r="AD119" s="7"/>
      <c r="AE119" s="7"/>
      <c r="AF119" s="7"/>
      <c r="AG119" s="7"/>
      <c r="AH119" s="7"/>
      <c r="AI119" s="7"/>
      <c r="AJ119" s="7"/>
      <c r="AK119" s="7"/>
      <c r="AL119" s="113">
        <v>24</v>
      </c>
      <c r="AM119" s="113">
        <v>18</v>
      </c>
      <c r="AN119" s="113">
        <v>16</v>
      </c>
      <c r="AO119" s="7"/>
      <c r="AP119" s="7"/>
      <c r="AQ119" s="7"/>
      <c r="AR119" s="7"/>
      <c r="AS119" s="110">
        <v>58</v>
      </c>
    </row>
    <row r="120" spans="1:45">
      <c r="A120" s="111">
        <v>111</v>
      </c>
      <c r="B120" s="112" t="s">
        <v>23</v>
      </c>
      <c r="C120" s="112" t="s">
        <v>255</v>
      </c>
      <c r="D120" s="112" t="s">
        <v>330</v>
      </c>
      <c r="E120" s="112" t="s">
        <v>331</v>
      </c>
      <c r="F120" s="113">
        <v>34</v>
      </c>
      <c r="G120" s="113">
        <v>51</v>
      </c>
      <c r="H120" s="7"/>
      <c r="I120" s="7"/>
      <c r="J120" s="7"/>
      <c r="K120" s="7"/>
      <c r="L120" s="7"/>
      <c r="M120" s="110">
        <v>85</v>
      </c>
      <c r="N120" s="113"/>
      <c r="O120" s="113"/>
      <c r="P120" s="113"/>
      <c r="Q120" s="113">
        <v>82</v>
      </c>
      <c r="R120" s="113"/>
      <c r="S120" s="113"/>
      <c r="T120" s="113"/>
      <c r="U120" s="110">
        <v>82</v>
      </c>
      <c r="V120" s="7"/>
      <c r="W120" s="7"/>
      <c r="X120" s="7"/>
      <c r="Y120" s="7"/>
      <c r="Z120" s="7"/>
      <c r="AA120" s="7"/>
      <c r="AB120" s="7"/>
      <c r="AC120" s="7"/>
      <c r="AD120" s="7"/>
      <c r="AE120" s="7"/>
      <c r="AF120" s="7"/>
      <c r="AG120" s="7"/>
      <c r="AH120" s="7"/>
      <c r="AI120" s="7"/>
      <c r="AJ120" s="7"/>
      <c r="AK120" s="7"/>
      <c r="AL120" s="113">
        <v>30</v>
      </c>
      <c r="AM120" s="113">
        <v>19</v>
      </c>
      <c r="AN120" s="113">
        <v>15</v>
      </c>
      <c r="AO120" s="7"/>
      <c r="AP120" s="7"/>
      <c r="AQ120" s="7"/>
      <c r="AR120" s="7"/>
      <c r="AS120" s="110">
        <v>64</v>
      </c>
    </row>
    <row r="121" spans="1:45">
      <c r="A121" s="111">
        <v>112</v>
      </c>
      <c r="B121" s="112" t="s">
        <v>23</v>
      </c>
      <c r="C121" s="112" t="s">
        <v>255</v>
      </c>
      <c r="D121" s="112" t="s">
        <v>332</v>
      </c>
      <c r="E121" s="112" t="s">
        <v>333</v>
      </c>
      <c r="F121" s="113">
        <v>35</v>
      </c>
      <c r="G121" s="113">
        <v>53</v>
      </c>
      <c r="H121" s="7"/>
      <c r="I121" s="7"/>
      <c r="J121" s="7"/>
      <c r="K121" s="7"/>
      <c r="L121" s="7"/>
      <c r="M121" s="110">
        <v>88</v>
      </c>
      <c r="N121" s="113"/>
      <c r="O121" s="113"/>
      <c r="P121" s="113"/>
      <c r="Q121" s="113">
        <v>88</v>
      </c>
      <c r="R121" s="113"/>
      <c r="S121" s="113"/>
      <c r="T121" s="113"/>
      <c r="U121" s="110">
        <v>88</v>
      </c>
      <c r="V121" s="7"/>
      <c r="W121" s="7"/>
      <c r="X121" s="7"/>
      <c r="Y121" s="7"/>
      <c r="Z121" s="7"/>
      <c r="AA121" s="7"/>
      <c r="AB121" s="7"/>
      <c r="AC121" s="7"/>
      <c r="AD121" s="7"/>
      <c r="AE121" s="7"/>
      <c r="AF121" s="7"/>
      <c r="AG121" s="7"/>
      <c r="AH121" s="7"/>
      <c r="AI121" s="7"/>
      <c r="AJ121" s="7"/>
      <c r="AK121" s="7"/>
      <c r="AL121" s="113">
        <v>32</v>
      </c>
      <c r="AM121" s="113">
        <v>26</v>
      </c>
      <c r="AN121" s="113">
        <v>22</v>
      </c>
      <c r="AO121" s="7"/>
      <c r="AP121" s="7"/>
      <c r="AQ121" s="7"/>
      <c r="AR121" s="7"/>
      <c r="AS121" s="110">
        <v>80</v>
      </c>
    </row>
    <row r="122" spans="1:45">
      <c r="A122" s="111">
        <v>113</v>
      </c>
      <c r="B122" s="112" t="s">
        <v>23</v>
      </c>
      <c r="C122" s="112" t="s">
        <v>255</v>
      </c>
      <c r="D122" s="112" t="s">
        <v>334</v>
      </c>
      <c r="E122" s="112" t="s">
        <v>335</v>
      </c>
      <c r="F122" s="113">
        <v>34</v>
      </c>
      <c r="G122" s="113">
        <v>51</v>
      </c>
      <c r="H122" s="7"/>
      <c r="I122" s="7"/>
      <c r="J122" s="7"/>
      <c r="K122" s="7"/>
      <c r="L122" s="7"/>
      <c r="M122" s="110">
        <v>85</v>
      </c>
      <c r="N122" s="113"/>
      <c r="O122" s="113"/>
      <c r="P122" s="113"/>
      <c r="Q122" s="113">
        <v>77</v>
      </c>
      <c r="R122" s="113"/>
      <c r="S122" s="113"/>
      <c r="T122" s="113"/>
      <c r="U122" s="110">
        <v>77</v>
      </c>
      <c r="V122" s="7"/>
      <c r="W122" s="7"/>
      <c r="X122" s="7"/>
      <c r="Y122" s="7"/>
      <c r="Z122" s="7"/>
      <c r="AA122" s="7"/>
      <c r="AB122" s="7"/>
      <c r="AC122" s="7"/>
      <c r="AD122" s="7"/>
      <c r="AE122" s="7"/>
      <c r="AF122" s="7"/>
      <c r="AG122" s="7"/>
      <c r="AH122" s="7"/>
      <c r="AI122" s="7"/>
      <c r="AJ122" s="7"/>
      <c r="AK122" s="7"/>
      <c r="AL122" s="113">
        <v>22</v>
      </c>
      <c r="AM122" s="113">
        <v>19</v>
      </c>
      <c r="AN122" s="113">
        <v>19</v>
      </c>
      <c r="AO122" s="7"/>
      <c r="AP122" s="7"/>
      <c r="AQ122" s="7"/>
      <c r="AR122" s="7"/>
      <c r="AS122" s="110">
        <v>60</v>
      </c>
    </row>
    <row r="123" spans="1:45">
      <c r="A123" s="111">
        <v>114</v>
      </c>
      <c r="B123" s="112" t="s">
        <v>23</v>
      </c>
      <c r="C123" s="112" t="s">
        <v>255</v>
      </c>
      <c r="D123" s="112" t="s">
        <v>336</v>
      </c>
      <c r="E123" s="112" t="s">
        <v>337</v>
      </c>
      <c r="F123" s="113">
        <v>32</v>
      </c>
      <c r="G123" s="113">
        <v>50</v>
      </c>
      <c r="H123" s="7"/>
      <c r="I123" s="7"/>
      <c r="J123" s="7"/>
      <c r="K123" s="7"/>
      <c r="L123" s="7"/>
      <c r="M123" s="110">
        <v>82</v>
      </c>
      <c r="N123" s="113"/>
      <c r="O123" s="113"/>
      <c r="P123" s="113"/>
      <c r="Q123" s="113">
        <v>77</v>
      </c>
      <c r="R123" s="113"/>
      <c r="S123" s="113"/>
      <c r="T123" s="113"/>
      <c r="U123" s="110">
        <v>77</v>
      </c>
      <c r="V123" s="7"/>
      <c r="W123" s="7"/>
      <c r="X123" s="7"/>
      <c r="Y123" s="7"/>
      <c r="Z123" s="7"/>
      <c r="AA123" s="7"/>
      <c r="AB123" s="7"/>
      <c r="AC123" s="7"/>
      <c r="AD123" s="7"/>
      <c r="AE123" s="7"/>
      <c r="AF123" s="7"/>
      <c r="AG123" s="7"/>
      <c r="AH123" s="7"/>
      <c r="AI123" s="7"/>
      <c r="AJ123" s="7"/>
      <c r="AK123" s="7"/>
      <c r="AL123" s="113">
        <v>12</v>
      </c>
      <c r="AM123" s="113">
        <v>20</v>
      </c>
      <c r="AN123" s="113">
        <v>16</v>
      </c>
      <c r="AO123" s="7"/>
      <c r="AP123" s="7"/>
      <c r="AQ123" s="7"/>
      <c r="AR123" s="7"/>
      <c r="AS123" s="110">
        <v>48</v>
      </c>
    </row>
    <row r="124" spans="1:45">
      <c r="A124" s="111">
        <v>115</v>
      </c>
      <c r="B124" s="112" t="s">
        <v>23</v>
      </c>
      <c r="C124" s="112" t="s">
        <v>255</v>
      </c>
      <c r="D124" s="112" t="s">
        <v>338</v>
      </c>
      <c r="E124" s="112" t="s">
        <v>339</v>
      </c>
      <c r="F124" s="113">
        <v>34</v>
      </c>
      <c r="G124" s="113">
        <v>51</v>
      </c>
      <c r="H124" s="7"/>
      <c r="I124" s="7"/>
      <c r="J124" s="7"/>
      <c r="K124" s="7"/>
      <c r="L124" s="7"/>
      <c r="M124" s="110">
        <v>85</v>
      </c>
      <c r="N124" s="113"/>
      <c r="O124" s="113"/>
      <c r="P124" s="113"/>
      <c r="Q124" s="113">
        <v>83</v>
      </c>
      <c r="R124" s="113"/>
      <c r="S124" s="113"/>
      <c r="T124" s="113"/>
      <c r="U124" s="110">
        <v>83</v>
      </c>
      <c r="V124" s="7"/>
      <c r="W124" s="7"/>
      <c r="X124" s="7"/>
      <c r="Y124" s="7"/>
      <c r="Z124" s="7"/>
      <c r="AA124" s="7"/>
      <c r="AB124" s="7"/>
      <c r="AC124" s="7"/>
      <c r="AD124" s="7"/>
      <c r="AE124" s="7"/>
      <c r="AF124" s="7"/>
      <c r="AG124" s="7"/>
      <c r="AH124" s="7"/>
      <c r="AI124" s="7"/>
      <c r="AJ124" s="7"/>
      <c r="AK124" s="7"/>
      <c r="AL124" s="113">
        <v>30</v>
      </c>
      <c r="AM124" s="113">
        <v>26</v>
      </c>
      <c r="AN124" s="113">
        <v>21</v>
      </c>
      <c r="AO124" s="7"/>
      <c r="AP124" s="7"/>
      <c r="AQ124" s="7"/>
      <c r="AR124" s="7"/>
      <c r="AS124" s="110">
        <v>77</v>
      </c>
    </row>
    <row r="125" spans="1:45">
      <c r="A125" s="111">
        <v>116</v>
      </c>
      <c r="B125" s="112" t="s">
        <v>23</v>
      </c>
      <c r="C125" s="112" t="s">
        <v>255</v>
      </c>
      <c r="D125" s="112" t="s">
        <v>340</v>
      </c>
      <c r="E125" s="112" t="s">
        <v>341</v>
      </c>
      <c r="F125" s="113">
        <v>32</v>
      </c>
      <c r="G125" s="113">
        <v>48</v>
      </c>
      <c r="H125" s="7"/>
      <c r="I125" s="7"/>
      <c r="J125" s="7"/>
      <c r="K125" s="7"/>
      <c r="L125" s="7"/>
      <c r="M125" s="110">
        <v>80</v>
      </c>
      <c r="N125" s="113"/>
      <c r="O125" s="113"/>
      <c r="P125" s="113"/>
      <c r="Q125" s="113">
        <v>78</v>
      </c>
      <c r="R125" s="113"/>
      <c r="S125" s="113"/>
      <c r="T125" s="113"/>
      <c r="U125" s="110">
        <v>78</v>
      </c>
      <c r="V125" s="7"/>
      <c r="W125" s="7"/>
      <c r="X125" s="7"/>
      <c r="Y125" s="7"/>
      <c r="Z125" s="7"/>
      <c r="AA125" s="7"/>
      <c r="AB125" s="7"/>
      <c r="AC125" s="7"/>
      <c r="AD125" s="7"/>
      <c r="AE125" s="7"/>
      <c r="AF125" s="7"/>
      <c r="AG125" s="7"/>
      <c r="AH125" s="7"/>
      <c r="AI125" s="7"/>
      <c r="AJ125" s="7"/>
      <c r="AK125" s="7"/>
      <c r="AL125" s="113">
        <v>26</v>
      </c>
      <c r="AM125" s="113">
        <v>16</v>
      </c>
      <c r="AN125" s="113">
        <v>14</v>
      </c>
      <c r="AO125" s="7"/>
      <c r="AP125" s="7"/>
      <c r="AQ125" s="7"/>
      <c r="AR125" s="7"/>
      <c r="AS125" s="110">
        <v>56</v>
      </c>
    </row>
    <row r="126" spans="1:45">
      <c r="A126" s="111">
        <v>117</v>
      </c>
      <c r="B126" s="112" t="s">
        <v>23</v>
      </c>
      <c r="C126" s="112" t="s">
        <v>255</v>
      </c>
      <c r="D126" s="112" t="s">
        <v>342</v>
      </c>
      <c r="E126" s="112" t="s">
        <v>343</v>
      </c>
      <c r="F126" s="113">
        <v>33</v>
      </c>
      <c r="G126" s="113">
        <v>51</v>
      </c>
      <c r="H126" s="7"/>
      <c r="I126" s="7"/>
      <c r="J126" s="7"/>
      <c r="K126" s="7"/>
      <c r="L126" s="7"/>
      <c r="M126" s="110">
        <v>84</v>
      </c>
      <c r="N126" s="113"/>
      <c r="O126" s="113"/>
      <c r="P126" s="113"/>
      <c r="Q126" s="113">
        <v>70</v>
      </c>
      <c r="R126" s="113"/>
      <c r="S126" s="113"/>
      <c r="T126" s="113"/>
      <c r="U126" s="110">
        <v>70</v>
      </c>
      <c r="V126" s="7"/>
      <c r="W126" s="7"/>
      <c r="X126" s="7"/>
      <c r="Y126" s="7"/>
      <c r="Z126" s="7"/>
      <c r="AA126" s="7"/>
      <c r="AB126" s="7"/>
      <c r="AC126" s="7"/>
      <c r="AD126" s="7"/>
      <c r="AE126" s="7"/>
      <c r="AF126" s="7"/>
      <c r="AG126" s="7"/>
      <c r="AH126" s="7"/>
      <c r="AI126" s="7"/>
      <c r="AJ126" s="7"/>
      <c r="AK126" s="7"/>
      <c r="AL126" s="113">
        <v>28</v>
      </c>
      <c r="AM126" s="113">
        <v>13</v>
      </c>
      <c r="AN126" s="113">
        <v>18</v>
      </c>
      <c r="AO126" s="7"/>
      <c r="AP126" s="7"/>
      <c r="AQ126" s="7"/>
      <c r="AR126" s="7"/>
      <c r="AS126" s="110">
        <v>59</v>
      </c>
    </row>
    <row r="127" spans="1:45">
      <c r="A127" s="111">
        <v>118</v>
      </c>
      <c r="B127" s="112" t="s">
        <v>23</v>
      </c>
      <c r="C127" s="112" t="s">
        <v>255</v>
      </c>
      <c r="D127" s="112" t="s">
        <v>344</v>
      </c>
      <c r="E127" s="112" t="s">
        <v>345</v>
      </c>
      <c r="F127" s="113">
        <v>35</v>
      </c>
      <c r="G127" s="113">
        <v>53</v>
      </c>
      <c r="H127" s="7"/>
      <c r="I127" s="7"/>
      <c r="J127" s="7"/>
      <c r="K127" s="7"/>
      <c r="L127" s="7"/>
      <c r="M127" s="110">
        <v>88</v>
      </c>
      <c r="N127" s="113"/>
      <c r="O127" s="113"/>
      <c r="P127" s="113"/>
      <c r="Q127" s="113">
        <v>85</v>
      </c>
      <c r="R127" s="113"/>
      <c r="S127" s="113"/>
      <c r="T127" s="113"/>
      <c r="U127" s="110">
        <v>85</v>
      </c>
      <c r="V127" s="7"/>
      <c r="W127" s="7"/>
      <c r="X127" s="7"/>
      <c r="Y127" s="7"/>
      <c r="Z127" s="7"/>
      <c r="AA127" s="7"/>
      <c r="AB127" s="7"/>
      <c r="AC127" s="7"/>
      <c r="AD127" s="7"/>
      <c r="AE127" s="7"/>
      <c r="AF127" s="7"/>
      <c r="AG127" s="7"/>
      <c r="AH127" s="7"/>
      <c r="AI127" s="7"/>
      <c r="AJ127" s="7"/>
      <c r="AK127" s="7"/>
      <c r="AL127" s="113">
        <v>28</v>
      </c>
      <c r="AM127" s="113">
        <v>25</v>
      </c>
      <c r="AN127" s="113">
        <v>25</v>
      </c>
      <c r="AO127" s="7"/>
      <c r="AP127" s="7"/>
      <c r="AQ127" s="7"/>
      <c r="AR127" s="7"/>
      <c r="AS127" s="110">
        <v>78</v>
      </c>
    </row>
    <row r="128" spans="1:45">
      <c r="A128" s="111">
        <v>119</v>
      </c>
      <c r="B128" s="112" t="s">
        <v>23</v>
      </c>
      <c r="C128" s="112" t="s">
        <v>255</v>
      </c>
      <c r="D128" s="112" t="s">
        <v>346</v>
      </c>
      <c r="E128" s="112" t="s">
        <v>347</v>
      </c>
      <c r="F128" s="113">
        <v>32</v>
      </c>
      <c r="G128" s="113">
        <v>48</v>
      </c>
      <c r="H128" s="7"/>
      <c r="I128" s="7"/>
      <c r="J128" s="7"/>
      <c r="K128" s="7"/>
      <c r="L128" s="7"/>
      <c r="M128" s="110">
        <v>80</v>
      </c>
      <c r="N128" s="113"/>
      <c r="O128" s="113"/>
      <c r="P128" s="113"/>
      <c r="Q128" s="113">
        <v>78</v>
      </c>
      <c r="R128" s="113"/>
      <c r="S128" s="113"/>
      <c r="T128" s="113"/>
      <c r="U128" s="110">
        <v>78</v>
      </c>
      <c r="V128" s="7"/>
      <c r="W128" s="7"/>
      <c r="X128" s="7"/>
      <c r="Y128" s="7"/>
      <c r="Z128" s="7"/>
      <c r="AA128" s="7"/>
      <c r="AB128" s="7"/>
      <c r="AC128" s="7"/>
      <c r="AD128" s="7"/>
      <c r="AE128" s="7"/>
      <c r="AF128" s="7"/>
      <c r="AG128" s="7"/>
      <c r="AH128" s="7"/>
      <c r="AI128" s="7"/>
      <c r="AJ128" s="7"/>
      <c r="AK128" s="7"/>
      <c r="AL128" s="113">
        <v>28</v>
      </c>
      <c r="AM128" s="113">
        <v>23</v>
      </c>
      <c r="AN128" s="113">
        <v>18</v>
      </c>
      <c r="AO128" s="7"/>
      <c r="AP128" s="7"/>
      <c r="AQ128" s="7"/>
      <c r="AR128" s="7"/>
      <c r="AS128" s="110">
        <v>69</v>
      </c>
    </row>
    <row r="129" spans="1:45">
      <c r="A129" s="111">
        <v>120</v>
      </c>
      <c r="B129" s="112" t="s">
        <v>23</v>
      </c>
      <c r="C129" s="112" t="s">
        <v>255</v>
      </c>
      <c r="D129" s="112" t="s">
        <v>348</v>
      </c>
      <c r="E129" s="112" t="s">
        <v>349</v>
      </c>
      <c r="F129" s="113">
        <v>33</v>
      </c>
      <c r="G129" s="113">
        <v>50</v>
      </c>
      <c r="H129" s="7"/>
      <c r="I129" s="7"/>
      <c r="J129" s="7"/>
      <c r="K129" s="7"/>
      <c r="L129" s="7"/>
      <c r="M129" s="110">
        <v>83</v>
      </c>
      <c r="N129" s="113"/>
      <c r="O129" s="113"/>
      <c r="P129" s="113"/>
      <c r="Q129" s="113">
        <v>83</v>
      </c>
      <c r="R129" s="113"/>
      <c r="S129" s="113"/>
      <c r="T129" s="113"/>
      <c r="U129" s="110">
        <v>83</v>
      </c>
      <c r="V129" s="7"/>
      <c r="W129" s="7"/>
      <c r="X129" s="7"/>
      <c r="Y129" s="7"/>
      <c r="Z129" s="7"/>
      <c r="AA129" s="7"/>
      <c r="AB129" s="7"/>
      <c r="AC129" s="7"/>
      <c r="AD129" s="7"/>
      <c r="AE129" s="7"/>
      <c r="AF129" s="7"/>
      <c r="AG129" s="7"/>
      <c r="AH129" s="7"/>
      <c r="AI129" s="7"/>
      <c r="AJ129" s="7"/>
      <c r="AK129" s="7"/>
      <c r="AL129" s="113">
        <v>34</v>
      </c>
      <c r="AM129" s="113">
        <v>21</v>
      </c>
      <c r="AN129" s="113">
        <v>25</v>
      </c>
      <c r="AO129" s="7"/>
      <c r="AP129" s="7"/>
      <c r="AQ129" s="7"/>
      <c r="AR129" s="7"/>
      <c r="AS129" s="110">
        <v>80</v>
      </c>
    </row>
    <row r="130" spans="1:45">
      <c r="A130" s="111">
        <v>121</v>
      </c>
      <c r="B130" s="112" t="s">
        <v>23</v>
      </c>
      <c r="C130" s="112" t="s">
        <v>255</v>
      </c>
      <c r="D130" s="112" t="s">
        <v>350</v>
      </c>
      <c r="E130" s="112" t="s">
        <v>351</v>
      </c>
      <c r="F130" s="113">
        <v>32</v>
      </c>
      <c r="G130" s="113">
        <v>48</v>
      </c>
      <c r="H130" s="7"/>
      <c r="I130" s="7"/>
      <c r="J130" s="7"/>
      <c r="K130" s="7"/>
      <c r="L130" s="7"/>
      <c r="M130" s="110">
        <v>80</v>
      </c>
      <c r="N130" s="113"/>
      <c r="O130" s="113"/>
      <c r="P130" s="113"/>
      <c r="Q130" s="113">
        <v>84</v>
      </c>
      <c r="R130" s="113"/>
      <c r="S130" s="113"/>
      <c r="T130" s="113"/>
      <c r="U130" s="110">
        <v>84</v>
      </c>
      <c r="V130" s="7"/>
      <c r="W130" s="7"/>
      <c r="X130" s="7"/>
      <c r="Y130" s="7"/>
      <c r="Z130" s="7"/>
      <c r="AA130" s="7"/>
      <c r="AB130" s="7"/>
      <c r="AC130" s="7"/>
      <c r="AD130" s="7"/>
      <c r="AE130" s="7"/>
      <c r="AF130" s="7"/>
      <c r="AG130" s="7"/>
      <c r="AH130" s="7"/>
      <c r="AI130" s="7"/>
      <c r="AJ130" s="7"/>
      <c r="AK130" s="7"/>
      <c r="AL130" s="113">
        <v>28</v>
      </c>
      <c r="AM130" s="113">
        <v>27</v>
      </c>
      <c r="AN130" s="113">
        <v>22</v>
      </c>
      <c r="AO130" s="7"/>
      <c r="AP130" s="7"/>
      <c r="AQ130" s="7"/>
      <c r="AR130" s="7"/>
      <c r="AS130" s="110">
        <v>77</v>
      </c>
    </row>
    <row r="131" spans="1:45">
      <c r="A131" s="111">
        <v>122</v>
      </c>
      <c r="B131" s="112" t="s">
        <v>23</v>
      </c>
      <c r="C131" s="112" t="s">
        <v>255</v>
      </c>
      <c r="D131" s="112" t="s">
        <v>352</v>
      </c>
      <c r="E131" s="112" t="s">
        <v>353</v>
      </c>
      <c r="F131" s="113">
        <v>32</v>
      </c>
      <c r="G131" s="113">
        <v>48</v>
      </c>
      <c r="H131" s="7"/>
      <c r="I131" s="7"/>
      <c r="J131" s="7"/>
      <c r="K131" s="7"/>
      <c r="L131" s="7"/>
      <c r="M131" s="110">
        <v>80</v>
      </c>
      <c r="N131" s="113"/>
      <c r="O131" s="113"/>
      <c r="P131" s="113"/>
      <c r="Q131" s="113">
        <v>89</v>
      </c>
      <c r="R131" s="113"/>
      <c r="S131" s="113"/>
      <c r="T131" s="113"/>
      <c r="U131" s="110">
        <v>89</v>
      </c>
      <c r="V131" s="7"/>
      <c r="W131" s="7"/>
      <c r="X131" s="7"/>
      <c r="Y131" s="7"/>
      <c r="Z131" s="7"/>
      <c r="AA131" s="7"/>
      <c r="AB131" s="7"/>
      <c r="AC131" s="7"/>
      <c r="AD131" s="7"/>
      <c r="AE131" s="7"/>
      <c r="AF131" s="7"/>
      <c r="AG131" s="7"/>
      <c r="AH131" s="7"/>
      <c r="AI131" s="7"/>
      <c r="AJ131" s="7"/>
      <c r="AK131" s="7"/>
      <c r="AL131" s="113">
        <v>30</v>
      </c>
      <c r="AM131" s="113">
        <v>19</v>
      </c>
      <c r="AN131" s="113">
        <v>21</v>
      </c>
      <c r="AO131" s="7"/>
      <c r="AP131" s="7"/>
      <c r="AQ131" s="7"/>
      <c r="AR131" s="7"/>
      <c r="AS131" s="110">
        <v>70</v>
      </c>
    </row>
    <row r="132" spans="1:45">
      <c r="A132" s="111">
        <v>123</v>
      </c>
      <c r="B132" s="112" t="s">
        <v>23</v>
      </c>
      <c r="C132" s="112" t="s">
        <v>255</v>
      </c>
      <c r="D132" s="112" t="s">
        <v>354</v>
      </c>
      <c r="E132" s="112" t="s">
        <v>355</v>
      </c>
      <c r="F132" s="113">
        <v>34</v>
      </c>
      <c r="G132" s="113">
        <v>51</v>
      </c>
      <c r="H132" s="7"/>
      <c r="I132" s="7"/>
      <c r="J132" s="7"/>
      <c r="K132" s="7"/>
      <c r="L132" s="7"/>
      <c r="M132" s="110">
        <v>85</v>
      </c>
      <c r="N132" s="113"/>
      <c r="O132" s="113"/>
      <c r="P132" s="113"/>
      <c r="Q132" s="113">
        <v>77</v>
      </c>
      <c r="R132" s="113"/>
      <c r="S132" s="113"/>
      <c r="T132" s="113"/>
      <c r="U132" s="110">
        <v>77</v>
      </c>
      <c r="V132" s="7"/>
      <c r="W132" s="7"/>
      <c r="X132" s="7"/>
      <c r="Y132" s="7"/>
      <c r="Z132" s="7"/>
      <c r="AA132" s="7"/>
      <c r="AB132" s="7"/>
      <c r="AC132" s="7"/>
      <c r="AD132" s="7"/>
      <c r="AE132" s="7"/>
      <c r="AF132" s="7"/>
      <c r="AG132" s="7"/>
      <c r="AH132" s="7"/>
      <c r="AI132" s="7"/>
      <c r="AJ132" s="7"/>
      <c r="AK132" s="7"/>
      <c r="AL132" s="113">
        <v>25</v>
      </c>
      <c r="AM132" s="113">
        <v>14</v>
      </c>
      <c r="AN132" s="113">
        <v>10</v>
      </c>
      <c r="AO132" s="7"/>
      <c r="AP132" s="7"/>
      <c r="AQ132" s="7"/>
      <c r="AR132" s="7"/>
      <c r="AS132" s="110">
        <v>49</v>
      </c>
    </row>
    <row r="133" spans="1:45">
      <c r="A133" s="111">
        <v>124</v>
      </c>
      <c r="B133" s="112" t="s">
        <v>23</v>
      </c>
      <c r="C133" s="112" t="s">
        <v>255</v>
      </c>
      <c r="D133" s="112" t="s">
        <v>356</v>
      </c>
      <c r="E133" s="112" t="s">
        <v>357</v>
      </c>
      <c r="F133" s="113">
        <v>32</v>
      </c>
      <c r="G133" s="113">
        <v>48</v>
      </c>
      <c r="H133" s="7"/>
      <c r="I133" s="7"/>
      <c r="J133" s="7"/>
      <c r="K133" s="7"/>
      <c r="L133" s="7"/>
      <c r="M133" s="110">
        <v>80</v>
      </c>
      <c r="N133" s="113"/>
      <c r="O133" s="113"/>
      <c r="P133" s="113"/>
      <c r="Q133" s="113">
        <v>75</v>
      </c>
      <c r="R133" s="113"/>
      <c r="S133" s="113"/>
      <c r="T133" s="113"/>
      <c r="U133" s="110">
        <v>75</v>
      </c>
      <c r="V133" s="7"/>
      <c r="W133" s="7"/>
      <c r="X133" s="7"/>
      <c r="Y133" s="7"/>
      <c r="Z133" s="7"/>
      <c r="AA133" s="7"/>
      <c r="AB133" s="7"/>
      <c r="AC133" s="7"/>
      <c r="AD133" s="7"/>
      <c r="AE133" s="7"/>
      <c r="AF133" s="7"/>
      <c r="AG133" s="7"/>
      <c r="AH133" s="7"/>
      <c r="AI133" s="7"/>
      <c r="AJ133" s="7"/>
      <c r="AK133" s="7"/>
      <c r="AL133" s="113">
        <v>19</v>
      </c>
      <c r="AM133" s="113">
        <v>12</v>
      </c>
      <c r="AN133" s="113">
        <v>13</v>
      </c>
      <c r="AO133" s="7"/>
      <c r="AP133" s="7"/>
      <c r="AQ133" s="7"/>
      <c r="AR133" s="7"/>
      <c r="AS133" s="110">
        <v>44</v>
      </c>
    </row>
    <row r="134" spans="1:45">
      <c r="A134" s="111">
        <v>125</v>
      </c>
      <c r="B134" s="112" t="s">
        <v>23</v>
      </c>
      <c r="C134" s="112" t="s">
        <v>255</v>
      </c>
      <c r="D134" s="112" t="s">
        <v>358</v>
      </c>
      <c r="E134" s="112" t="s">
        <v>359</v>
      </c>
      <c r="F134" s="113">
        <v>34</v>
      </c>
      <c r="G134" s="113">
        <v>51</v>
      </c>
      <c r="H134" s="7"/>
      <c r="I134" s="7"/>
      <c r="J134" s="7"/>
      <c r="K134" s="7"/>
      <c r="L134" s="7"/>
      <c r="M134" s="110">
        <v>85</v>
      </c>
      <c r="N134" s="113"/>
      <c r="O134" s="113"/>
      <c r="P134" s="113"/>
      <c r="Q134" s="113">
        <v>77</v>
      </c>
      <c r="R134" s="113"/>
      <c r="S134" s="113"/>
      <c r="T134" s="113"/>
      <c r="U134" s="110">
        <v>77</v>
      </c>
      <c r="V134" s="7"/>
      <c r="W134" s="7"/>
      <c r="X134" s="7"/>
      <c r="Y134" s="7"/>
      <c r="Z134" s="7"/>
      <c r="AA134" s="7"/>
      <c r="AB134" s="7"/>
      <c r="AC134" s="7"/>
      <c r="AD134" s="7"/>
      <c r="AE134" s="7"/>
      <c r="AF134" s="7"/>
      <c r="AG134" s="7"/>
      <c r="AH134" s="7"/>
      <c r="AI134" s="7"/>
      <c r="AJ134" s="7"/>
      <c r="AK134" s="7"/>
      <c r="AL134" s="113">
        <v>17</v>
      </c>
      <c r="AM134" s="113">
        <v>11</v>
      </c>
      <c r="AN134" s="113">
        <v>12</v>
      </c>
      <c r="AO134" s="7"/>
      <c r="AP134" s="7"/>
      <c r="AQ134" s="7"/>
      <c r="AR134" s="7"/>
      <c r="AS134" s="110">
        <v>40</v>
      </c>
    </row>
    <row r="135" spans="1:45">
      <c r="A135" s="111">
        <v>126</v>
      </c>
      <c r="B135" s="112" t="s">
        <v>23</v>
      </c>
      <c r="C135" s="112" t="s">
        <v>255</v>
      </c>
      <c r="D135" s="112" t="s">
        <v>360</v>
      </c>
      <c r="E135" s="112" t="s">
        <v>361</v>
      </c>
      <c r="F135" s="113">
        <v>34</v>
      </c>
      <c r="G135" s="113">
        <v>51</v>
      </c>
      <c r="H135" s="7"/>
      <c r="I135" s="7"/>
      <c r="J135" s="7"/>
      <c r="K135" s="7"/>
      <c r="L135" s="7"/>
      <c r="M135" s="110">
        <v>85</v>
      </c>
      <c r="N135" s="113"/>
      <c r="O135" s="113"/>
      <c r="P135" s="113"/>
      <c r="Q135" s="113">
        <v>76</v>
      </c>
      <c r="R135" s="113"/>
      <c r="S135" s="113"/>
      <c r="T135" s="113"/>
      <c r="U135" s="110">
        <v>76</v>
      </c>
      <c r="V135" s="7"/>
      <c r="W135" s="7"/>
      <c r="X135" s="7"/>
      <c r="Y135" s="7"/>
      <c r="Z135" s="7"/>
      <c r="AA135" s="7"/>
      <c r="AB135" s="7"/>
      <c r="AC135" s="7"/>
      <c r="AD135" s="7"/>
      <c r="AE135" s="7"/>
      <c r="AF135" s="7"/>
      <c r="AG135" s="7"/>
      <c r="AH135" s="7"/>
      <c r="AI135" s="7"/>
      <c r="AJ135" s="7"/>
      <c r="AK135" s="7"/>
      <c r="AL135" s="113">
        <v>26</v>
      </c>
      <c r="AM135" s="113">
        <v>19</v>
      </c>
      <c r="AN135" s="113">
        <v>22</v>
      </c>
      <c r="AO135" s="7"/>
      <c r="AP135" s="7"/>
      <c r="AQ135" s="7"/>
      <c r="AR135" s="7"/>
      <c r="AS135" s="110">
        <v>67</v>
      </c>
    </row>
    <row r="136" spans="1:45">
      <c r="A136" s="111">
        <v>127</v>
      </c>
      <c r="B136" s="112" t="s">
        <v>23</v>
      </c>
      <c r="C136" s="112" t="s">
        <v>255</v>
      </c>
      <c r="D136" s="112" t="s">
        <v>362</v>
      </c>
      <c r="E136" s="112" t="s">
        <v>363</v>
      </c>
      <c r="F136" s="113">
        <v>32</v>
      </c>
      <c r="G136" s="113">
        <v>48</v>
      </c>
      <c r="H136" s="7"/>
      <c r="I136" s="7"/>
      <c r="J136" s="7"/>
      <c r="K136" s="7"/>
      <c r="L136" s="7"/>
      <c r="M136" s="110">
        <v>80</v>
      </c>
      <c r="N136" s="113"/>
      <c r="O136" s="113"/>
      <c r="P136" s="113"/>
      <c r="Q136" s="113">
        <v>75</v>
      </c>
      <c r="R136" s="113"/>
      <c r="S136" s="113"/>
      <c r="T136" s="113"/>
      <c r="U136" s="110">
        <v>75</v>
      </c>
      <c r="V136" s="7"/>
      <c r="W136" s="7"/>
      <c r="X136" s="7"/>
      <c r="Y136" s="7"/>
      <c r="Z136" s="7"/>
      <c r="AA136" s="7"/>
      <c r="AB136" s="7"/>
      <c r="AC136" s="7"/>
      <c r="AD136" s="7"/>
      <c r="AE136" s="7"/>
      <c r="AF136" s="7"/>
      <c r="AG136" s="7"/>
      <c r="AH136" s="7"/>
      <c r="AI136" s="7"/>
      <c r="AJ136" s="7"/>
      <c r="AK136" s="7"/>
      <c r="AL136" s="113">
        <v>30</v>
      </c>
      <c r="AM136" s="113">
        <v>15</v>
      </c>
      <c r="AN136" s="113">
        <v>16</v>
      </c>
      <c r="AO136" s="7"/>
      <c r="AP136" s="7"/>
      <c r="AQ136" s="7"/>
      <c r="AR136" s="7"/>
      <c r="AS136" s="110">
        <v>61</v>
      </c>
    </row>
    <row r="137" spans="1:45">
      <c r="A137" s="111">
        <v>128</v>
      </c>
      <c r="B137" s="112" t="s">
        <v>23</v>
      </c>
      <c r="C137" s="112" t="s">
        <v>255</v>
      </c>
      <c r="D137" s="112" t="s">
        <v>364</v>
      </c>
      <c r="E137" s="112" t="s">
        <v>365</v>
      </c>
      <c r="F137" s="113">
        <v>35</v>
      </c>
      <c r="G137" s="113">
        <v>53</v>
      </c>
      <c r="H137" s="7"/>
      <c r="I137" s="7"/>
      <c r="J137" s="7"/>
      <c r="K137" s="7"/>
      <c r="L137" s="7"/>
      <c r="M137" s="110">
        <v>88</v>
      </c>
      <c r="N137" s="113"/>
      <c r="O137" s="113"/>
      <c r="P137" s="113"/>
      <c r="Q137" s="113">
        <v>85</v>
      </c>
      <c r="R137" s="113"/>
      <c r="S137" s="113"/>
      <c r="T137" s="113"/>
      <c r="U137" s="110">
        <v>85</v>
      </c>
      <c r="V137" s="7"/>
      <c r="W137" s="7"/>
      <c r="X137" s="7"/>
      <c r="Y137" s="7"/>
      <c r="Z137" s="7"/>
      <c r="AA137" s="7"/>
      <c r="AB137" s="7"/>
      <c r="AC137" s="7"/>
      <c r="AD137" s="7"/>
      <c r="AE137" s="7"/>
      <c r="AF137" s="7"/>
      <c r="AG137" s="7"/>
      <c r="AH137" s="7"/>
      <c r="AI137" s="7"/>
      <c r="AJ137" s="7"/>
      <c r="AK137" s="7"/>
      <c r="AL137" s="113">
        <v>34</v>
      </c>
      <c r="AM137" s="113">
        <v>25</v>
      </c>
      <c r="AN137" s="113">
        <v>24</v>
      </c>
      <c r="AO137" s="7"/>
      <c r="AP137" s="7"/>
      <c r="AQ137" s="7"/>
      <c r="AR137" s="7"/>
      <c r="AS137" s="110">
        <v>83</v>
      </c>
    </row>
    <row r="138" spans="1:45">
      <c r="A138" s="111">
        <v>129</v>
      </c>
      <c r="B138" s="112" t="s">
        <v>23</v>
      </c>
      <c r="C138" s="112" t="s">
        <v>255</v>
      </c>
      <c r="D138" s="112" t="s">
        <v>366</v>
      </c>
      <c r="E138" s="112" t="s">
        <v>367</v>
      </c>
      <c r="F138" s="113">
        <v>36</v>
      </c>
      <c r="G138" s="113">
        <v>56</v>
      </c>
      <c r="H138" s="7"/>
      <c r="I138" s="7"/>
      <c r="J138" s="7"/>
      <c r="K138" s="7"/>
      <c r="L138" s="7"/>
      <c r="M138" s="110">
        <v>92</v>
      </c>
      <c r="N138" s="113"/>
      <c r="O138" s="113"/>
      <c r="P138" s="113"/>
      <c r="Q138" s="113">
        <v>90</v>
      </c>
      <c r="R138" s="113"/>
      <c r="S138" s="113"/>
      <c r="T138" s="113"/>
      <c r="U138" s="110">
        <v>90</v>
      </c>
      <c r="V138" s="7"/>
      <c r="W138" s="7"/>
      <c r="X138" s="7"/>
      <c r="Y138" s="7"/>
      <c r="Z138" s="7"/>
      <c r="AA138" s="7"/>
      <c r="AB138" s="7"/>
      <c r="AC138" s="7"/>
      <c r="AD138" s="7"/>
      <c r="AE138" s="7"/>
      <c r="AF138" s="7"/>
      <c r="AG138" s="7"/>
      <c r="AH138" s="7"/>
      <c r="AI138" s="7"/>
      <c r="AJ138" s="7"/>
      <c r="AK138" s="7"/>
      <c r="AL138" s="113">
        <v>32</v>
      </c>
      <c r="AM138" s="113">
        <v>26</v>
      </c>
      <c r="AN138" s="113">
        <v>31</v>
      </c>
      <c r="AO138" s="7"/>
      <c r="AP138" s="7"/>
      <c r="AQ138" s="7"/>
      <c r="AR138" s="7"/>
      <c r="AS138" s="110">
        <v>89</v>
      </c>
    </row>
    <row r="139" spans="1:45">
      <c r="A139" s="111">
        <v>130</v>
      </c>
      <c r="B139" s="112" t="s">
        <v>23</v>
      </c>
      <c r="C139" s="112" t="s">
        <v>255</v>
      </c>
      <c r="D139" s="112" t="s">
        <v>368</v>
      </c>
      <c r="E139" s="112" t="s">
        <v>369</v>
      </c>
      <c r="F139" s="113">
        <v>34</v>
      </c>
      <c r="G139" s="113">
        <v>51</v>
      </c>
      <c r="H139" s="7"/>
      <c r="I139" s="7"/>
      <c r="J139" s="7"/>
      <c r="K139" s="7"/>
      <c r="L139" s="7"/>
      <c r="M139" s="110">
        <v>85</v>
      </c>
      <c r="N139" s="113"/>
      <c r="O139" s="113"/>
      <c r="P139" s="113"/>
      <c r="Q139" s="113">
        <v>83</v>
      </c>
      <c r="R139" s="113"/>
      <c r="S139" s="113"/>
      <c r="T139" s="113"/>
      <c r="U139" s="110">
        <v>83</v>
      </c>
      <c r="V139" s="7"/>
      <c r="W139" s="7"/>
      <c r="X139" s="7"/>
      <c r="Y139" s="7"/>
      <c r="Z139" s="7"/>
      <c r="AA139" s="7"/>
      <c r="AB139" s="7"/>
      <c r="AC139" s="7"/>
      <c r="AD139" s="7"/>
      <c r="AE139" s="7"/>
      <c r="AF139" s="7"/>
      <c r="AG139" s="7"/>
      <c r="AH139" s="7"/>
      <c r="AI139" s="7"/>
      <c r="AJ139" s="7"/>
      <c r="AK139" s="7"/>
      <c r="AL139" s="113">
        <v>28</v>
      </c>
      <c r="AM139" s="113">
        <v>22</v>
      </c>
      <c r="AN139" s="113">
        <v>25</v>
      </c>
      <c r="AO139" s="7"/>
      <c r="AP139" s="7"/>
      <c r="AQ139" s="7"/>
      <c r="AR139" s="7"/>
      <c r="AS139" s="110">
        <v>75</v>
      </c>
    </row>
    <row r="140" spans="1:45">
      <c r="A140" s="111">
        <v>131</v>
      </c>
      <c r="B140" s="112" t="s">
        <v>23</v>
      </c>
      <c r="C140" s="112" t="s">
        <v>255</v>
      </c>
      <c r="D140" s="112" t="s">
        <v>370</v>
      </c>
      <c r="E140" s="112" t="s">
        <v>371</v>
      </c>
      <c r="F140" s="113">
        <v>33</v>
      </c>
      <c r="G140" s="113">
        <v>51</v>
      </c>
      <c r="H140" s="7"/>
      <c r="I140" s="7"/>
      <c r="J140" s="7"/>
      <c r="K140" s="7"/>
      <c r="L140" s="7"/>
      <c r="M140" s="110">
        <v>84</v>
      </c>
      <c r="N140" s="113"/>
      <c r="O140" s="113"/>
      <c r="P140" s="113"/>
      <c r="Q140" s="113">
        <v>77</v>
      </c>
      <c r="R140" s="113"/>
      <c r="S140" s="113"/>
      <c r="T140" s="113"/>
      <c r="U140" s="110">
        <v>77</v>
      </c>
      <c r="V140" s="7"/>
      <c r="W140" s="7"/>
      <c r="X140" s="7"/>
      <c r="Y140" s="7"/>
      <c r="Z140" s="7"/>
      <c r="AA140" s="7"/>
      <c r="AB140" s="7"/>
      <c r="AC140" s="7"/>
      <c r="AD140" s="7"/>
      <c r="AE140" s="7"/>
      <c r="AF140" s="7"/>
      <c r="AG140" s="7"/>
      <c r="AH140" s="7"/>
      <c r="AI140" s="7"/>
      <c r="AJ140" s="7"/>
      <c r="AK140" s="7"/>
      <c r="AL140" s="113">
        <v>28</v>
      </c>
      <c r="AM140" s="113">
        <v>25</v>
      </c>
      <c r="AN140" s="113">
        <v>19</v>
      </c>
      <c r="AO140" s="7"/>
      <c r="AP140" s="7"/>
      <c r="AQ140" s="7"/>
      <c r="AR140" s="7"/>
      <c r="AS140" s="110">
        <v>72</v>
      </c>
    </row>
    <row r="141" spans="1:45">
      <c r="A141" s="111">
        <v>132</v>
      </c>
      <c r="B141" s="112" t="s">
        <v>23</v>
      </c>
      <c r="C141" s="112" t="s">
        <v>255</v>
      </c>
      <c r="D141" s="112" t="s">
        <v>372</v>
      </c>
      <c r="E141" s="112" t="s">
        <v>373</v>
      </c>
      <c r="F141" s="113">
        <v>36</v>
      </c>
      <c r="G141" s="113">
        <v>54</v>
      </c>
      <c r="H141" s="7"/>
      <c r="I141" s="7"/>
      <c r="J141" s="7"/>
      <c r="K141" s="7"/>
      <c r="L141" s="7"/>
      <c r="M141" s="110">
        <v>90</v>
      </c>
      <c r="N141" s="113"/>
      <c r="O141" s="113"/>
      <c r="P141" s="113"/>
      <c r="Q141" s="113">
        <v>85</v>
      </c>
      <c r="R141" s="113"/>
      <c r="S141" s="113"/>
      <c r="T141" s="113"/>
      <c r="U141" s="110">
        <v>85</v>
      </c>
      <c r="V141" s="7"/>
      <c r="W141" s="7"/>
      <c r="X141" s="7"/>
      <c r="Y141" s="7"/>
      <c r="Z141" s="7"/>
      <c r="AA141" s="7"/>
      <c r="AB141" s="7"/>
      <c r="AC141" s="7"/>
      <c r="AD141" s="7"/>
      <c r="AE141" s="7"/>
      <c r="AF141" s="7"/>
      <c r="AG141" s="7"/>
      <c r="AH141" s="7"/>
      <c r="AI141" s="7"/>
      <c r="AJ141" s="7"/>
      <c r="AK141" s="7"/>
      <c r="AL141" s="113">
        <v>32</v>
      </c>
      <c r="AM141" s="113">
        <v>27</v>
      </c>
      <c r="AN141" s="113">
        <v>28</v>
      </c>
      <c r="AO141" s="7"/>
      <c r="AP141" s="7"/>
      <c r="AQ141" s="7"/>
      <c r="AR141" s="7"/>
      <c r="AS141" s="110">
        <v>87</v>
      </c>
    </row>
    <row r="142" spans="1:45">
      <c r="A142" s="111">
        <v>133</v>
      </c>
      <c r="B142" s="112" t="s">
        <v>23</v>
      </c>
      <c r="C142" s="112" t="s">
        <v>255</v>
      </c>
      <c r="D142" s="112" t="s">
        <v>374</v>
      </c>
      <c r="E142" s="112" t="s">
        <v>375</v>
      </c>
      <c r="F142" s="113">
        <v>32</v>
      </c>
      <c r="G142" s="113">
        <v>48</v>
      </c>
      <c r="H142" s="7"/>
      <c r="I142" s="7"/>
      <c r="J142" s="7"/>
      <c r="K142" s="7"/>
      <c r="L142" s="7"/>
      <c r="M142" s="110">
        <v>80</v>
      </c>
      <c r="N142" s="113"/>
      <c r="O142" s="113"/>
      <c r="P142" s="113"/>
      <c r="Q142" s="113">
        <v>82</v>
      </c>
      <c r="R142" s="113"/>
      <c r="S142" s="113"/>
      <c r="T142" s="113"/>
      <c r="U142" s="110">
        <v>82</v>
      </c>
      <c r="V142" s="7"/>
      <c r="W142" s="7"/>
      <c r="X142" s="7"/>
      <c r="Y142" s="7"/>
      <c r="Z142" s="7"/>
      <c r="AA142" s="7"/>
      <c r="AB142" s="7"/>
      <c r="AC142" s="7"/>
      <c r="AD142" s="7"/>
      <c r="AE142" s="7"/>
      <c r="AF142" s="7"/>
      <c r="AG142" s="7"/>
      <c r="AH142" s="7"/>
      <c r="AI142" s="7"/>
      <c r="AJ142" s="7"/>
      <c r="AK142" s="7"/>
      <c r="AL142" s="113">
        <v>21</v>
      </c>
      <c r="AM142" s="113">
        <v>15</v>
      </c>
      <c r="AN142" s="113">
        <v>19</v>
      </c>
      <c r="AO142" s="7"/>
      <c r="AP142" s="7"/>
      <c r="AQ142" s="7"/>
      <c r="AR142" s="7"/>
      <c r="AS142" s="110">
        <v>55</v>
      </c>
    </row>
    <row r="143" spans="1:45">
      <c r="A143" s="111">
        <v>134</v>
      </c>
      <c r="B143" s="112" t="s">
        <v>23</v>
      </c>
      <c r="C143" s="112" t="s">
        <v>255</v>
      </c>
      <c r="D143" s="112" t="s">
        <v>376</v>
      </c>
      <c r="E143" s="112" t="s">
        <v>377</v>
      </c>
      <c r="F143" s="113">
        <v>28</v>
      </c>
      <c r="G143" s="113">
        <v>42</v>
      </c>
      <c r="H143" s="7"/>
      <c r="I143" s="7"/>
      <c r="J143" s="7"/>
      <c r="K143" s="7"/>
      <c r="L143" s="7"/>
      <c r="M143" s="110">
        <v>70</v>
      </c>
      <c r="N143" s="113"/>
      <c r="O143" s="113"/>
      <c r="P143" s="113"/>
      <c r="Q143" s="113">
        <v>75</v>
      </c>
      <c r="R143" s="113"/>
      <c r="S143" s="113"/>
      <c r="T143" s="113"/>
      <c r="U143" s="110">
        <v>75</v>
      </c>
      <c r="V143" s="7"/>
      <c r="W143" s="7"/>
      <c r="X143" s="7"/>
      <c r="Y143" s="7"/>
      <c r="Z143" s="7"/>
      <c r="AA143" s="7"/>
      <c r="AB143" s="7"/>
      <c r="AC143" s="7"/>
      <c r="AD143" s="7"/>
      <c r="AE143" s="7"/>
      <c r="AF143" s="7"/>
      <c r="AG143" s="7"/>
      <c r="AH143" s="7"/>
      <c r="AI143" s="7"/>
      <c r="AJ143" s="7"/>
      <c r="AK143" s="7"/>
      <c r="AL143" s="113">
        <v>6</v>
      </c>
      <c r="AM143" s="113">
        <v>7</v>
      </c>
      <c r="AN143" s="113">
        <v>8</v>
      </c>
      <c r="AO143" s="7"/>
      <c r="AP143" s="7"/>
      <c r="AQ143" s="7"/>
      <c r="AR143" s="7"/>
      <c r="AS143" s="110">
        <v>23</v>
      </c>
    </row>
    <row r="144" spans="1:45">
      <c r="A144" s="111">
        <v>135</v>
      </c>
      <c r="B144" s="112" t="s">
        <v>23</v>
      </c>
      <c r="C144" s="112" t="s">
        <v>255</v>
      </c>
      <c r="D144" s="112" t="s">
        <v>378</v>
      </c>
      <c r="E144" s="112" t="s">
        <v>379</v>
      </c>
      <c r="F144" s="113">
        <v>34</v>
      </c>
      <c r="G144" s="113">
        <v>51</v>
      </c>
      <c r="H144" s="7"/>
      <c r="I144" s="7"/>
      <c r="J144" s="7"/>
      <c r="K144" s="7"/>
      <c r="L144" s="7"/>
      <c r="M144" s="110">
        <v>85</v>
      </c>
      <c r="N144" s="113"/>
      <c r="O144" s="113"/>
      <c r="P144" s="113"/>
      <c r="Q144" s="113">
        <v>79</v>
      </c>
      <c r="R144" s="113"/>
      <c r="S144" s="113"/>
      <c r="T144" s="113"/>
      <c r="U144" s="110">
        <v>79</v>
      </c>
      <c r="V144" s="7"/>
      <c r="W144" s="7"/>
      <c r="X144" s="7"/>
      <c r="Y144" s="7"/>
      <c r="Z144" s="7"/>
      <c r="AA144" s="7"/>
      <c r="AB144" s="7"/>
      <c r="AC144" s="7"/>
      <c r="AD144" s="7"/>
      <c r="AE144" s="7"/>
      <c r="AF144" s="7"/>
      <c r="AG144" s="7"/>
      <c r="AH144" s="7"/>
      <c r="AI144" s="7"/>
      <c r="AJ144" s="7"/>
      <c r="AK144" s="7"/>
      <c r="AL144" s="113">
        <v>25</v>
      </c>
      <c r="AM144" s="113">
        <v>24</v>
      </c>
      <c r="AN144" s="113">
        <v>23</v>
      </c>
      <c r="AO144" s="7"/>
      <c r="AP144" s="7"/>
      <c r="AQ144" s="7"/>
      <c r="AR144" s="7"/>
      <c r="AS144" s="110">
        <v>72</v>
      </c>
    </row>
    <row r="145" spans="1:45">
      <c r="A145" s="111">
        <v>136</v>
      </c>
      <c r="B145" s="112" t="s">
        <v>23</v>
      </c>
      <c r="C145" s="112" t="s">
        <v>255</v>
      </c>
      <c r="D145" s="112" t="s">
        <v>380</v>
      </c>
      <c r="E145" s="112" t="s">
        <v>381</v>
      </c>
      <c r="F145" s="113">
        <v>33</v>
      </c>
      <c r="G145" s="113">
        <v>51</v>
      </c>
      <c r="H145" s="7"/>
      <c r="I145" s="7"/>
      <c r="J145" s="7"/>
      <c r="K145" s="7"/>
      <c r="L145" s="7"/>
      <c r="M145" s="110">
        <v>84</v>
      </c>
      <c r="N145" s="113"/>
      <c r="O145" s="113"/>
      <c r="P145" s="113"/>
      <c r="Q145" s="113">
        <v>77</v>
      </c>
      <c r="R145" s="113"/>
      <c r="S145" s="113"/>
      <c r="T145" s="113"/>
      <c r="U145" s="110">
        <v>77</v>
      </c>
      <c r="V145" s="7"/>
      <c r="W145" s="7"/>
      <c r="X145" s="7"/>
      <c r="Y145" s="7"/>
      <c r="Z145" s="7"/>
      <c r="AA145" s="7"/>
      <c r="AB145" s="7"/>
      <c r="AC145" s="7"/>
      <c r="AD145" s="7"/>
      <c r="AE145" s="7"/>
      <c r="AF145" s="7"/>
      <c r="AG145" s="7"/>
      <c r="AH145" s="7"/>
      <c r="AI145" s="7"/>
      <c r="AJ145" s="7"/>
      <c r="AK145" s="7"/>
      <c r="AL145" s="113">
        <v>22</v>
      </c>
      <c r="AM145" s="113">
        <v>20</v>
      </c>
      <c r="AN145" s="113">
        <v>15</v>
      </c>
      <c r="AO145" s="7"/>
      <c r="AP145" s="7"/>
      <c r="AQ145" s="7"/>
      <c r="AR145" s="7"/>
      <c r="AS145" s="110">
        <v>57</v>
      </c>
    </row>
    <row r="146" spans="1:45">
      <c r="A146" s="111">
        <v>137</v>
      </c>
      <c r="B146" s="112" t="s">
        <v>23</v>
      </c>
      <c r="C146" s="112" t="s">
        <v>255</v>
      </c>
      <c r="D146" s="112" t="s">
        <v>382</v>
      </c>
      <c r="E146" s="112" t="s">
        <v>383</v>
      </c>
      <c r="F146" s="113">
        <v>32</v>
      </c>
      <c r="G146" s="113">
        <v>48</v>
      </c>
      <c r="H146" s="7"/>
      <c r="I146" s="7"/>
      <c r="J146" s="7"/>
      <c r="K146" s="7"/>
      <c r="L146" s="7"/>
      <c r="M146" s="110">
        <v>80</v>
      </c>
      <c r="N146" s="113"/>
      <c r="O146" s="113"/>
      <c r="P146" s="113"/>
      <c r="Q146" s="113">
        <v>75</v>
      </c>
      <c r="R146" s="113"/>
      <c r="S146" s="113"/>
      <c r="T146" s="113"/>
      <c r="U146" s="110">
        <v>75</v>
      </c>
      <c r="V146" s="7"/>
      <c r="W146" s="7"/>
      <c r="X146" s="7"/>
      <c r="Y146" s="7"/>
      <c r="Z146" s="7"/>
      <c r="AA146" s="7"/>
      <c r="AB146" s="7"/>
      <c r="AC146" s="7"/>
      <c r="AD146" s="7"/>
      <c r="AE146" s="7"/>
      <c r="AF146" s="7"/>
      <c r="AG146" s="7"/>
      <c r="AH146" s="7"/>
      <c r="AI146" s="7"/>
      <c r="AJ146" s="7"/>
      <c r="AK146" s="7"/>
      <c r="AL146" s="113">
        <v>24</v>
      </c>
      <c r="AM146" s="113">
        <v>13</v>
      </c>
      <c r="AN146" s="113">
        <v>20</v>
      </c>
      <c r="AO146" s="7"/>
      <c r="AP146" s="7"/>
      <c r="AQ146" s="7"/>
      <c r="AR146" s="7"/>
      <c r="AS146" s="110">
        <v>57</v>
      </c>
    </row>
    <row r="147" spans="1:45">
      <c r="A147" s="111">
        <v>138</v>
      </c>
      <c r="B147" s="112" t="s">
        <v>23</v>
      </c>
      <c r="C147" s="112" t="s">
        <v>255</v>
      </c>
      <c r="D147" s="112" t="s">
        <v>384</v>
      </c>
      <c r="E147" s="112" t="s">
        <v>385</v>
      </c>
      <c r="F147" s="113">
        <v>32</v>
      </c>
      <c r="G147" s="113">
        <v>48</v>
      </c>
      <c r="H147" s="7"/>
      <c r="I147" s="7"/>
      <c r="J147" s="7"/>
      <c r="K147" s="7"/>
      <c r="L147" s="7"/>
      <c r="M147" s="110">
        <v>80</v>
      </c>
      <c r="N147" s="113"/>
      <c r="O147" s="113"/>
      <c r="P147" s="113"/>
      <c r="Q147" s="113">
        <v>83</v>
      </c>
      <c r="R147" s="113"/>
      <c r="S147" s="113"/>
      <c r="T147" s="113"/>
      <c r="U147" s="110">
        <v>83</v>
      </c>
      <c r="V147" s="7"/>
      <c r="W147" s="7"/>
      <c r="X147" s="7"/>
      <c r="Y147" s="7"/>
      <c r="Z147" s="7"/>
      <c r="AA147" s="7"/>
      <c r="AB147" s="7"/>
      <c r="AC147" s="7"/>
      <c r="AD147" s="7"/>
      <c r="AE147" s="7"/>
      <c r="AF147" s="7"/>
      <c r="AG147" s="7"/>
      <c r="AH147" s="7"/>
      <c r="AI147" s="7"/>
      <c r="AJ147" s="7"/>
      <c r="AK147" s="7"/>
      <c r="AL147" s="113">
        <v>32</v>
      </c>
      <c r="AM147" s="113">
        <v>19</v>
      </c>
      <c r="AN147" s="113">
        <v>19</v>
      </c>
      <c r="AO147" s="7"/>
      <c r="AP147" s="7"/>
      <c r="AQ147" s="7"/>
      <c r="AR147" s="7"/>
      <c r="AS147" s="110">
        <v>70</v>
      </c>
    </row>
    <row r="148" spans="1:45">
      <c r="A148" s="111">
        <v>139</v>
      </c>
      <c r="B148" s="112" t="s">
        <v>23</v>
      </c>
      <c r="C148" s="112" t="s">
        <v>255</v>
      </c>
      <c r="D148" s="112" t="s">
        <v>386</v>
      </c>
      <c r="E148" s="112" t="s">
        <v>387</v>
      </c>
      <c r="F148" s="113">
        <v>34</v>
      </c>
      <c r="G148" s="113">
        <v>51</v>
      </c>
      <c r="H148" s="7"/>
      <c r="I148" s="7"/>
      <c r="J148" s="7"/>
      <c r="K148" s="7"/>
      <c r="L148" s="7"/>
      <c r="M148" s="110">
        <v>85</v>
      </c>
      <c r="N148" s="7"/>
      <c r="O148" s="7"/>
      <c r="P148" s="7"/>
      <c r="Q148" s="113">
        <v>83</v>
      </c>
      <c r="R148" s="113"/>
      <c r="S148" s="113"/>
      <c r="T148" s="113"/>
      <c r="U148" s="110">
        <v>83</v>
      </c>
      <c r="V148" s="7"/>
      <c r="W148" s="7"/>
      <c r="X148" s="7"/>
      <c r="Y148" s="7"/>
      <c r="Z148" s="7"/>
      <c r="AA148" s="7"/>
      <c r="AB148" s="7"/>
      <c r="AC148" s="7"/>
      <c r="AD148" s="7"/>
      <c r="AE148" s="7"/>
      <c r="AF148" s="7"/>
      <c r="AG148" s="7"/>
      <c r="AH148" s="7"/>
      <c r="AI148" s="7"/>
      <c r="AJ148" s="7"/>
      <c r="AK148" s="7"/>
      <c r="AL148" s="113">
        <v>24</v>
      </c>
      <c r="AM148" s="113">
        <v>16</v>
      </c>
      <c r="AN148" s="113">
        <v>14</v>
      </c>
      <c r="AO148" s="7"/>
      <c r="AP148" s="7"/>
      <c r="AQ148" s="7"/>
      <c r="AR148" s="7"/>
      <c r="AS148" s="110">
        <v>54</v>
      </c>
    </row>
    <row r="149" spans="1:45">
      <c r="A149" s="111">
        <v>140</v>
      </c>
      <c r="B149" s="112" t="s">
        <v>23</v>
      </c>
      <c r="C149" s="112" t="s">
        <v>255</v>
      </c>
      <c r="D149" s="112" t="s">
        <v>388</v>
      </c>
      <c r="E149" s="112" t="s">
        <v>389</v>
      </c>
      <c r="F149" s="113">
        <v>34</v>
      </c>
      <c r="G149" s="113">
        <v>51</v>
      </c>
      <c r="H149" s="7"/>
      <c r="I149" s="7"/>
      <c r="J149" s="7"/>
      <c r="K149" s="7"/>
      <c r="L149" s="7"/>
      <c r="M149" s="110">
        <v>85</v>
      </c>
      <c r="N149" s="7"/>
      <c r="O149" s="7"/>
      <c r="P149" s="7"/>
      <c r="Q149" s="113">
        <v>82</v>
      </c>
      <c r="R149" s="113"/>
      <c r="S149" s="113"/>
      <c r="T149" s="113"/>
      <c r="U149" s="110">
        <v>82</v>
      </c>
      <c r="V149" s="7"/>
      <c r="W149" s="7"/>
      <c r="X149" s="7"/>
      <c r="Y149" s="7"/>
      <c r="Z149" s="7"/>
      <c r="AA149" s="7"/>
      <c r="AB149" s="7"/>
      <c r="AC149" s="7"/>
      <c r="AD149" s="7"/>
      <c r="AE149" s="7"/>
      <c r="AF149" s="7"/>
      <c r="AG149" s="7"/>
      <c r="AH149" s="7"/>
      <c r="AI149" s="7"/>
      <c r="AJ149" s="7"/>
      <c r="AK149" s="7"/>
      <c r="AL149" s="113">
        <v>23</v>
      </c>
      <c r="AM149" s="113">
        <v>17</v>
      </c>
      <c r="AN149" s="113">
        <v>13</v>
      </c>
      <c r="AO149" s="7"/>
      <c r="AP149" s="7"/>
      <c r="AQ149" s="7"/>
      <c r="AR149" s="7"/>
      <c r="AS149" s="110">
        <v>53</v>
      </c>
    </row>
    <row r="150" spans="1:45">
      <c r="A150" s="111">
        <v>141</v>
      </c>
      <c r="B150" s="112" t="s">
        <v>23</v>
      </c>
      <c r="C150" s="112" t="s">
        <v>255</v>
      </c>
      <c r="D150" s="112" t="s">
        <v>390</v>
      </c>
      <c r="E150" s="112" t="s">
        <v>391</v>
      </c>
      <c r="F150" s="113">
        <v>34</v>
      </c>
      <c r="G150" s="113">
        <v>51</v>
      </c>
      <c r="H150" s="7"/>
      <c r="I150" s="7"/>
      <c r="J150" s="7"/>
      <c r="K150" s="7"/>
      <c r="L150" s="7"/>
      <c r="M150" s="110">
        <v>85</v>
      </c>
      <c r="N150" s="7"/>
      <c r="O150" s="7"/>
      <c r="P150" s="7"/>
      <c r="Q150" s="113">
        <v>82</v>
      </c>
      <c r="R150" s="113"/>
      <c r="S150" s="113"/>
      <c r="T150" s="113"/>
      <c r="U150" s="110">
        <v>82</v>
      </c>
      <c r="V150" s="7"/>
      <c r="W150" s="7"/>
      <c r="X150" s="7"/>
      <c r="Y150" s="7"/>
      <c r="Z150" s="7"/>
      <c r="AA150" s="7"/>
      <c r="AB150" s="7"/>
      <c r="AC150" s="7"/>
      <c r="AD150" s="7"/>
      <c r="AE150" s="7"/>
      <c r="AF150" s="7"/>
      <c r="AG150" s="7"/>
      <c r="AH150" s="7"/>
      <c r="AI150" s="7"/>
      <c r="AJ150" s="7"/>
      <c r="AK150" s="7"/>
      <c r="AL150" s="113">
        <v>24</v>
      </c>
      <c r="AM150" s="113">
        <v>22</v>
      </c>
      <c r="AN150" s="113">
        <v>21</v>
      </c>
      <c r="AO150" s="7"/>
      <c r="AP150" s="7"/>
      <c r="AQ150" s="7"/>
      <c r="AR150" s="7"/>
      <c r="AS150" s="110">
        <v>67</v>
      </c>
    </row>
  </sheetData>
  <mergeCells count="24">
    <mergeCell ref="A1:AN1"/>
    <mergeCell ref="A2:B2"/>
    <mergeCell ref="G2:N2"/>
    <mergeCell ref="O2:V2"/>
    <mergeCell ref="AD2:AE2"/>
    <mergeCell ref="AF2:AL2"/>
    <mergeCell ref="A3:B3"/>
    <mergeCell ref="G3:N3"/>
    <mergeCell ref="O3:V3"/>
    <mergeCell ref="AD3:AE3"/>
    <mergeCell ref="AF3:AL3"/>
    <mergeCell ref="F6:M6"/>
    <mergeCell ref="N6:U6"/>
    <mergeCell ref="V6:AC6"/>
    <mergeCell ref="AD6:AK6"/>
    <mergeCell ref="AL6:AS6"/>
    <mergeCell ref="F7:M7"/>
    <mergeCell ref="N7:U7"/>
    <mergeCell ref="V7:AC7"/>
    <mergeCell ref="AD7:AK7"/>
    <mergeCell ref="AL7:AS7"/>
    <mergeCell ref="B9:E9"/>
    <mergeCell ref="A6:A9"/>
    <mergeCell ref="B6:E7"/>
  </mergeCells>
  <pageMargins left="0.75" right="0.75" top="1" bottom="1" header="0.5" footer="0.5"/>
  <pageSetup paperSize="9" orientation="landscape"/>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6"/>
  <sheetViews>
    <sheetView showZeros="0" workbookViewId="0">
      <selection activeCell="B9" sqref="B9:F12"/>
    </sheetView>
  </sheetViews>
  <sheetFormatPr defaultColWidth="9" defaultRowHeight="14" outlineLevelCol="6"/>
  <cols>
    <col min="1" max="1" width="16.9090909090909" customWidth="1"/>
    <col min="2" max="5" width="12.0909090909091" customWidth="1"/>
    <col min="6" max="6" width="10.0909090909091" customWidth="1"/>
    <col min="7" max="7" width="9" customWidth="1"/>
    <col min="8" max="8" width="12.8181818181818"/>
  </cols>
  <sheetData>
    <row r="1" ht="25.5" spans="1:7">
      <c r="A1" s="87" t="s">
        <v>392</v>
      </c>
      <c r="B1" s="87"/>
      <c r="C1" s="87"/>
      <c r="D1" s="87"/>
      <c r="E1" s="87"/>
      <c r="F1" s="87"/>
      <c r="G1" s="87"/>
    </row>
    <row r="2" ht="20.5" spans="1:7">
      <c r="A2" s="88" t="s">
        <v>87</v>
      </c>
      <c r="B2" s="89" t="str">
        <f>'0信息维护'!D3</f>
        <v>数据结构与算法</v>
      </c>
      <c r="C2" s="89"/>
      <c r="D2" s="88" t="s">
        <v>88</v>
      </c>
      <c r="E2" s="89" t="str">
        <f>'0信息维护'!M3</f>
        <v>N19ZY11005</v>
      </c>
      <c r="F2" s="90"/>
      <c r="G2" s="90"/>
    </row>
    <row r="3" ht="15.5" spans="1:7">
      <c r="A3" s="88" t="s">
        <v>89</v>
      </c>
      <c r="B3" t="str">
        <f>'0信息维护'!M8</f>
        <v>软件工程</v>
      </c>
      <c r="C3" s="89"/>
      <c r="D3" s="91" t="s">
        <v>393</v>
      </c>
      <c r="E3" s="89" t="str">
        <f>'0信息维护'!M5</f>
        <v>计算机学院2022级5、6班</v>
      </c>
      <c r="F3" s="89"/>
      <c r="G3" s="89"/>
    </row>
    <row r="4" ht="15.5" spans="1:7">
      <c r="A4" s="88" t="s">
        <v>91</v>
      </c>
      <c r="B4" t="str">
        <f>'0信息维护'!D8</f>
        <v>人工智能与大数据学部</v>
      </c>
      <c r="D4" s="91" t="s">
        <v>394</v>
      </c>
      <c r="E4" t="str">
        <f>'0信息维护'!D7</f>
        <v>任春华、段少松</v>
      </c>
      <c r="F4" s="89"/>
      <c r="G4" s="89"/>
    </row>
    <row r="5" ht="15.5" spans="1:7">
      <c r="A5" s="92"/>
      <c r="B5" s="89"/>
      <c r="C5" s="89"/>
      <c r="D5" s="93"/>
      <c r="E5" s="89"/>
      <c r="F5" s="89"/>
      <c r="G5" s="89"/>
    </row>
    <row r="6" ht="15.5" spans="1:7">
      <c r="A6" s="89" t="s">
        <v>395</v>
      </c>
      <c r="B6" s="89"/>
      <c r="C6" s="89" t="s">
        <v>396</v>
      </c>
      <c r="D6" s="94" t="s">
        <v>397</v>
      </c>
      <c r="E6" s="95">
        <f>'0信息维护'!E45</f>
        <v>1</v>
      </c>
      <c r="F6" s="89"/>
      <c r="G6" s="89"/>
    </row>
    <row r="7" ht="30.5" spans="1:7">
      <c r="A7" s="96" t="s">
        <v>398</v>
      </c>
      <c r="B7" s="97" t="s">
        <v>399</v>
      </c>
      <c r="C7" s="97" t="s">
        <v>400</v>
      </c>
      <c r="D7" s="97" t="s">
        <v>401</v>
      </c>
      <c r="E7" s="97" t="s">
        <v>402</v>
      </c>
      <c r="F7" s="97" t="s">
        <v>403</v>
      </c>
      <c r="G7" s="98" t="s">
        <v>404</v>
      </c>
    </row>
    <row r="8" ht="15.5" spans="1:7">
      <c r="A8" s="99"/>
      <c r="B8" s="100" t="s">
        <v>405</v>
      </c>
      <c r="C8" s="100" t="s">
        <v>406</v>
      </c>
      <c r="D8" s="100" t="s">
        <v>407</v>
      </c>
      <c r="E8" s="100" t="s">
        <v>408</v>
      </c>
      <c r="F8" s="100" t="s">
        <v>409</v>
      </c>
      <c r="G8" s="97"/>
    </row>
    <row r="9" ht="15.5" spans="1:7">
      <c r="A9" s="100" t="s">
        <v>410</v>
      </c>
      <c r="B9" s="101">
        <v>118</v>
      </c>
      <c r="C9" s="101">
        <v>11</v>
      </c>
      <c r="D9" s="101">
        <v>12</v>
      </c>
      <c r="E9" s="102">
        <v>0</v>
      </c>
      <c r="F9" s="102">
        <v>0</v>
      </c>
      <c r="G9" s="103">
        <f t="shared" ref="G9:G15" si="0">IF(B9+C9+D9+E9+F9=0,0,1*(B9/(B9+C9+D9+E9+F9))+0.8*(C9/(B9+C9+D9+E9+F9))+0.6*(D9/(B9+C9+D9+E9+F9))+0.4*(E9/(B9+C9+D9+E9+F9))+0.2*(F9/(B9+C9+D9+E9+F9)))</f>
        <v>0.950354609929078</v>
      </c>
    </row>
    <row r="10" ht="15.5" spans="1:7">
      <c r="A10" s="100" t="s">
        <v>411</v>
      </c>
      <c r="B10" s="101">
        <v>122</v>
      </c>
      <c r="C10" s="101">
        <v>15</v>
      </c>
      <c r="D10" s="101">
        <v>3</v>
      </c>
      <c r="E10" s="102">
        <v>1</v>
      </c>
      <c r="F10" s="102">
        <v>0</v>
      </c>
      <c r="G10" s="103">
        <f t="shared" si="0"/>
        <v>0.965957446808511</v>
      </c>
    </row>
    <row r="11" ht="15.5" spans="1:7">
      <c r="A11" s="100" t="s">
        <v>412</v>
      </c>
      <c r="B11" s="101">
        <v>123</v>
      </c>
      <c r="C11" s="101">
        <v>10</v>
      </c>
      <c r="D11" s="101">
        <v>4</v>
      </c>
      <c r="E11" s="102">
        <v>3</v>
      </c>
      <c r="F11" s="102">
        <v>1</v>
      </c>
      <c r="G11" s="103">
        <f t="shared" si="0"/>
        <v>0.956028368794326</v>
      </c>
    </row>
    <row r="12" ht="15.5" spans="1:7">
      <c r="A12" s="100" t="s">
        <v>413</v>
      </c>
      <c r="B12" s="101">
        <v>124</v>
      </c>
      <c r="C12" s="101">
        <v>9</v>
      </c>
      <c r="D12" s="101">
        <v>7</v>
      </c>
      <c r="E12" s="101">
        <v>1</v>
      </c>
      <c r="F12" s="101"/>
      <c r="G12" s="103">
        <f t="shared" si="0"/>
        <v>0.963120567375887</v>
      </c>
    </row>
    <row r="13" ht="15.5" spans="1:7">
      <c r="A13" s="100" t="s">
        <v>414</v>
      </c>
      <c r="B13" s="101"/>
      <c r="C13" s="101"/>
      <c r="D13" s="101"/>
      <c r="E13" s="101"/>
      <c r="F13" s="101"/>
      <c r="G13" s="103">
        <f t="shared" si="0"/>
        <v>0</v>
      </c>
    </row>
    <row r="14" ht="15.5" spans="1:7">
      <c r="A14" s="100" t="s">
        <v>415</v>
      </c>
      <c r="B14" s="101"/>
      <c r="C14" s="101"/>
      <c r="D14" s="101"/>
      <c r="E14" s="101"/>
      <c r="F14" s="101"/>
      <c r="G14" s="103">
        <f t="shared" si="0"/>
        <v>0</v>
      </c>
    </row>
    <row r="15" ht="15.5" spans="1:7">
      <c r="A15" s="100" t="s">
        <v>416</v>
      </c>
      <c r="B15" s="101"/>
      <c r="C15" s="101"/>
      <c r="D15" s="101"/>
      <c r="E15" s="101"/>
      <c r="F15" s="101"/>
      <c r="G15" s="103">
        <f t="shared" si="0"/>
        <v>0</v>
      </c>
    </row>
    <row r="16" ht="15.5" spans="1:7">
      <c r="A16" s="89"/>
      <c r="B16" s="89"/>
      <c r="C16" s="89"/>
      <c r="D16" s="89"/>
      <c r="E16" s="89"/>
      <c r="F16" s="89"/>
      <c r="G16" s="89"/>
    </row>
    <row r="17" ht="15.5" spans="1:7">
      <c r="A17" s="95" t="str">
        <f>'0信息维护'!I44</f>
        <v>其它</v>
      </c>
      <c r="B17" s="89"/>
      <c r="C17" s="89"/>
      <c r="D17" s="94" t="s">
        <v>397</v>
      </c>
      <c r="E17" s="95">
        <f>'0信息维护'!I45</f>
        <v>0</v>
      </c>
      <c r="F17" s="89"/>
      <c r="G17" s="89"/>
    </row>
    <row r="18" ht="30.5" spans="1:7">
      <c r="A18" s="96" t="s">
        <v>398</v>
      </c>
      <c r="B18" s="97" t="s">
        <v>399</v>
      </c>
      <c r="C18" s="97" t="s">
        <v>400</v>
      </c>
      <c r="D18" s="97" t="s">
        <v>401</v>
      </c>
      <c r="E18" s="97" t="s">
        <v>402</v>
      </c>
      <c r="F18" s="97" t="s">
        <v>403</v>
      </c>
      <c r="G18" s="98" t="s">
        <v>404</v>
      </c>
    </row>
    <row r="19" ht="15.5" spans="1:7">
      <c r="A19" s="99"/>
      <c r="B19" s="100" t="s">
        <v>405</v>
      </c>
      <c r="C19" s="100" t="s">
        <v>406</v>
      </c>
      <c r="D19" s="100" t="s">
        <v>407</v>
      </c>
      <c r="E19" s="100" t="s">
        <v>408</v>
      </c>
      <c r="F19" s="100" t="s">
        <v>409</v>
      </c>
      <c r="G19" s="97"/>
    </row>
    <row r="20" ht="15.5" spans="1:7">
      <c r="A20" s="100" t="s">
        <v>410</v>
      </c>
      <c r="B20" s="102"/>
      <c r="C20" s="102"/>
      <c r="D20" s="102"/>
      <c r="E20" s="102"/>
      <c r="F20" s="102"/>
      <c r="G20" s="103">
        <f t="shared" ref="G20:G26" si="1">IF(B20+C20+D20+E20+F20=0,0,1*(B20/(B20+C20+D20+E20+F20))+0.8*(C20/(B20+C20+D20+E20+F20))+0.6*(D20/(B20+C20+D20+E20+F20))+0.4*(E20/(B20+C20+D20+E20+F20))+0.2*(F20/(B20+C20+D20+E20+F20)))</f>
        <v>0</v>
      </c>
    </row>
    <row r="21" ht="15.5" spans="1:7">
      <c r="A21" s="100" t="s">
        <v>411</v>
      </c>
      <c r="B21" s="102"/>
      <c r="C21" s="102"/>
      <c r="D21" s="102"/>
      <c r="E21" s="102"/>
      <c r="F21" s="102"/>
      <c r="G21" s="103">
        <f t="shared" si="1"/>
        <v>0</v>
      </c>
    </row>
    <row r="22" ht="15.5" spans="1:7">
      <c r="A22" s="100" t="s">
        <v>412</v>
      </c>
      <c r="B22" s="102"/>
      <c r="C22" s="102"/>
      <c r="D22" s="102"/>
      <c r="E22" s="102"/>
      <c r="F22" s="102"/>
      <c r="G22" s="103">
        <f t="shared" si="1"/>
        <v>0</v>
      </c>
    </row>
    <row r="23" ht="15.5" spans="1:7">
      <c r="A23" s="100" t="s">
        <v>413</v>
      </c>
      <c r="B23" s="102"/>
      <c r="C23" s="102"/>
      <c r="D23" s="102"/>
      <c r="E23" s="102"/>
      <c r="F23" s="102"/>
      <c r="G23" s="103">
        <f t="shared" si="1"/>
        <v>0</v>
      </c>
    </row>
    <row r="24" ht="15.5" spans="1:7">
      <c r="A24" s="100" t="s">
        <v>414</v>
      </c>
      <c r="B24" s="102"/>
      <c r="C24" s="102"/>
      <c r="D24" s="102"/>
      <c r="E24" s="102"/>
      <c r="F24" s="102"/>
      <c r="G24" s="103">
        <f t="shared" si="1"/>
        <v>0</v>
      </c>
    </row>
    <row r="25" ht="15.5" spans="1:7">
      <c r="A25" s="100" t="s">
        <v>415</v>
      </c>
      <c r="B25" s="102"/>
      <c r="C25" s="102"/>
      <c r="D25" s="102"/>
      <c r="E25" s="102"/>
      <c r="F25" s="102"/>
      <c r="G25" s="103">
        <f t="shared" si="1"/>
        <v>0</v>
      </c>
    </row>
    <row r="26" ht="15.5" spans="1:7">
      <c r="A26" s="100" t="s">
        <v>416</v>
      </c>
      <c r="B26" s="102"/>
      <c r="C26" s="102"/>
      <c r="D26" s="102"/>
      <c r="E26" s="102"/>
      <c r="F26" s="102"/>
      <c r="G26" s="103">
        <f t="shared" si="1"/>
        <v>0</v>
      </c>
    </row>
    <row r="27" ht="15.5" spans="1:7">
      <c r="A27" s="89"/>
      <c r="B27" s="89"/>
      <c r="C27" s="89"/>
      <c r="D27" s="94"/>
      <c r="E27" s="95"/>
      <c r="F27" s="89"/>
      <c r="G27" s="89"/>
    </row>
    <row r="28" ht="15.5" spans="1:7">
      <c r="A28" s="89" t="s">
        <v>417</v>
      </c>
      <c r="B28" s="89"/>
      <c r="C28" s="89"/>
      <c r="D28" s="89"/>
      <c r="E28" s="89"/>
      <c r="F28" s="89"/>
      <c r="G28" s="89"/>
    </row>
    <row r="29" ht="15.5" spans="1:7">
      <c r="A29" s="100" t="s">
        <v>418</v>
      </c>
      <c r="B29" s="104" t="str">
        <f>'0信息维护'!E44</f>
        <v>学生调查问卷</v>
      </c>
      <c r="C29" s="104"/>
      <c r="D29" s="104" t="str">
        <f>'0信息维护'!I44</f>
        <v>其它</v>
      </c>
      <c r="E29" s="104"/>
      <c r="F29" s="105" t="s">
        <v>404</v>
      </c>
      <c r="G29" s="100"/>
    </row>
    <row r="30" ht="15.5" spans="1:7">
      <c r="A30" s="100" t="s">
        <v>410</v>
      </c>
      <c r="B30" s="103">
        <f t="shared" ref="B30:B36" si="2">G9</f>
        <v>0.950354609929078</v>
      </c>
      <c r="C30" s="103"/>
      <c r="D30" s="103">
        <f>G20</f>
        <v>0</v>
      </c>
      <c r="E30" s="103"/>
      <c r="F30" s="103">
        <f>B30*$E$6+D30*$E$17</f>
        <v>0.950354609929078</v>
      </c>
      <c r="G30" s="103"/>
    </row>
    <row r="31" ht="15.5" spans="1:7">
      <c r="A31" s="100" t="s">
        <v>411</v>
      </c>
      <c r="B31" s="103">
        <f t="shared" si="2"/>
        <v>0.965957446808511</v>
      </c>
      <c r="C31" s="103"/>
      <c r="D31" s="103">
        <f t="shared" ref="D31:D36" si="3">G21</f>
        <v>0</v>
      </c>
      <c r="E31" s="103"/>
      <c r="F31" s="103">
        <f t="shared" ref="F31:F36" si="4">B31*$E$6+D31*$E$17</f>
        <v>0.965957446808511</v>
      </c>
      <c r="G31" s="103"/>
    </row>
    <row r="32" ht="15.5" spans="1:7">
      <c r="A32" s="100" t="s">
        <v>412</v>
      </c>
      <c r="B32" s="103">
        <f t="shared" si="2"/>
        <v>0.956028368794326</v>
      </c>
      <c r="C32" s="103"/>
      <c r="D32" s="103">
        <f t="shared" si="3"/>
        <v>0</v>
      </c>
      <c r="E32" s="103"/>
      <c r="F32" s="103">
        <f t="shared" si="4"/>
        <v>0.956028368794326</v>
      </c>
      <c r="G32" s="103"/>
    </row>
    <row r="33" ht="15.5" spans="1:7">
      <c r="A33" s="100" t="s">
        <v>413</v>
      </c>
      <c r="B33" s="103">
        <f t="shared" si="2"/>
        <v>0.963120567375887</v>
      </c>
      <c r="C33" s="103"/>
      <c r="D33" s="103">
        <f t="shared" si="3"/>
        <v>0</v>
      </c>
      <c r="E33" s="103"/>
      <c r="F33" s="103">
        <f t="shared" si="4"/>
        <v>0.963120567375887</v>
      </c>
      <c r="G33" s="103"/>
    </row>
    <row r="34" ht="15.5" spans="1:7">
      <c r="A34" s="100" t="s">
        <v>414</v>
      </c>
      <c r="B34" s="103">
        <f t="shared" si="2"/>
        <v>0</v>
      </c>
      <c r="C34" s="103"/>
      <c r="D34" s="103">
        <f t="shared" si="3"/>
        <v>0</v>
      </c>
      <c r="E34" s="103"/>
      <c r="F34" s="103">
        <f t="shared" si="4"/>
        <v>0</v>
      </c>
      <c r="G34" s="103"/>
    </row>
    <row r="35" ht="15.5" spans="1:7">
      <c r="A35" s="100" t="s">
        <v>415</v>
      </c>
      <c r="B35" s="103">
        <f t="shared" si="2"/>
        <v>0</v>
      </c>
      <c r="C35" s="103"/>
      <c r="D35" s="103">
        <f t="shared" si="3"/>
        <v>0</v>
      </c>
      <c r="E35" s="103"/>
      <c r="F35" s="103">
        <f t="shared" si="4"/>
        <v>0</v>
      </c>
      <c r="G35" s="103"/>
    </row>
    <row r="36" ht="15.5" spans="1:7">
      <c r="A36" s="100" t="s">
        <v>416</v>
      </c>
      <c r="B36" s="103">
        <f t="shared" si="2"/>
        <v>0</v>
      </c>
      <c r="C36" s="103"/>
      <c r="D36" s="103">
        <f t="shared" si="3"/>
        <v>0</v>
      </c>
      <c r="E36" s="103"/>
      <c r="F36" s="103">
        <f t="shared" si="4"/>
        <v>0</v>
      </c>
      <c r="G36" s="103"/>
    </row>
  </sheetData>
  <mergeCells count="29">
    <mergeCell ref="A1:G1"/>
    <mergeCell ref="B29:C29"/>
    <mergeCell ref="D29:E29"/>
    <mergeCell ref="F29:G29"/>
    <mergeCell ref="B30:C30"/>
    <mergeCell ref="D30:E30"/>
    <mergeCell ref="F30:G30"/>
    <mergeCell ref="B31:C31"/>
    <mergeCell ref="D31:E31"/>
    <mergeCell ref="F31:G31"/>
    <mergeCell ref="B32:C32"/>
    <mergeCell ref="D32:E32"/>
    <mergeCell ref="F32:G32"/>
    <mergeCell ref="B33:C33"/>
    <mergeCell ref="D33:E33"/>
    <mergeCell ref="F33:G33"/>
    <mergeCell ref="B34:C34"/>
    <mergeCell ref="D34:E34"/>
    <mergeCell ref="F34:G34"/>
    <mergeCell ref="B35:C35"/>
    <mergeCell ref="D35:E35"/>
    <mergeCell ref="F35:G35"/>
    <mergeCell ref="B36:C36"/>
    <mergeCell ref="D36:E36"/>
    <mergeCell ref="F36:G36"/>
    <mergeCell ref="A7:A8"/>
    <mergeCell ref="A18:A19"/>
    <mergeCell ref="G7:G8"/>
    <mergeCell ref="G18:G19"/>
  </mergeCells>
  <pageMargins left="0.75" right="0.75" top="1" bottom="1" header="0.5" footer="0.5"/>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255"/>
  <sheetViews>
    <sheetView showZeros="0" zoomScaleSheetLayoutView="115" topLeftCell="A193" workbookViewId="0">
      <selection activeCell="W235" sqref="W235"/>
    </sheetView>
  </sheetViews>
  <sheetFormatPr defaultColWidth="9" defaultRowHeight="14"/>
  <cols>
    <col min="1" max="1" width="6.09090909090909" customWidth="1"/>
    <col min="2" max="2" width="4.45454545454545" customWidth="1"/>
    <col min="3" max="3" width="7" customWidth="1"/>
    <col min="4" max="9" width="3.45454545454545" customWidth="1"/>
    <col min="10" max="10" width="4.63636363636364" customWidth="1"/>
    <col min="11" max="14" width="3.45454545454545" customWidth="1"/>
    <col min="15" max="15" width="3.90909090909091" customWidth="1"/>
    <col min="16" max="16" width="3.45454545454545" customWidth="1"/>
    <col min="17" max="17" width="4.90909090909091" customWidth="1"/>
    <col min="18" max="18" width="5" customWidth="1"/>
    <col min="19" max="19" width="4.09090909090909" customWidth="1"/>
    <col min="20" max="21" width="5.09090909090909" customWidth="1"/>
    <col min="23" max="23" width="12.8181818181818"/>
    <col min="24" max="24" width="12.6363636363636"/>
  </cols>
  <sheetData>
    <row r="1" ht="20.15" customHeight="1" spans="1:21">
      <c r="A1" s="31" t="str">
        <f>"《"&amp;D4&amp;"》"</f>
        <v>《数据结构与算法》</v>
      </c>
      <c r="B1" s="31"/>
      <c r="C1" s="31"/>
      <c r="D1" s="31"/>
      <c r="E1" s="31"/>
      <c r="F1" s="31"/>
      <c r="G1" s="31"/>
      <c r="H1" s="31"/>
      <c r="I1" s="31"/>
      <c r="J1" s="31"/>
      <c r="K1" s="31"/>
      <c r="L1" s="31"/>
      <c r="M1" s="31"/>
      <c r="N1" s="31"/>
      <c r="O1" s="31"/>
      <c r="P1" s="31"/>
      <c r="Q1" s="31"/>
      <c r="R1" s="31"/>
      <c r="S1" s="31"/>
      <c r="T1" s="31"/>
      <c r="U1" s="31"/>
    </row>
    <row r="2" ht="20.15" customHeight="1" spans="1:21">
      <c r="A2" s="31" t="s">
        <v>419</v>
      </c>
      <c r="B2" s="31"/>
      <c r="C2" s="31"/>
      <c r="D2" s="31"/>
      <c r="E2" s="31"/>
      <c r="F2" s="31"/>
      <c r="G2" s="31"/>
      <c r="H2" s="31"/>
      <c r="I2" s="31"/>
      <c r="J2" s="31"/>
      <c r="K2" s="31"/>
      <c r="L2" s="31"/>
      <c r="M2" s="31"/>
      <c r="N2" s="31"/>
      <c r="O2" s="31"/>
      <c r="P2" s="31"/>
      <c r="Q2" s="31"/>
      <c r="R2" s="31"/>
      <c r="S2" s="31"/>
      <c r="T2" s="31"/>
      <c r="U2" s="31"/>
    </row>
    <row r="3" ht="20.15" customHeight="1" spans="1:21">
      <c r="A3" s="32" t="s">
        <v>1</v>
      </c>
      <c r="B3" s="32"/>
      <c r="C3" s="32"/>
      <c r="D3" s="32"/>
      <c r="E3" s="32"/>
      <c r="F3" s="32"/>
      <c r="G3" s="32"/>
      <c r="H3" s="32"/>
      <c r="I3" s="32"/>
      <c r="J3" s="32"/>
      <c r="K3" s="32"/>
      <c r="L3" s="32"/>
      <c r="M3" s="32"/>
      <c r="N3" s="32"/>
      <c r="O3" s="32"/>
      <c r="P3" s="32"/>
      <c r="Q3" s="32"/>
      <c r="R3" s="32"/>
      <c r="S3" s="32"/>
      <c r="T3" s="32"/>
      <c r="U3" s="32"/>
    </row>
    <row r="4" ht="25" customHeight="1" spans="1:21">
      <c r="A4" s="33" t="s">
        <v>2</v>
      </c>
      <c r="B4" s="33"/>
      <c r="C4" s="33"/>
      <c r="D4" s="34" t="str">
        <f>'0信息维护'!D3</f>
        <v>数据结构与算法</v>
      </c>
      <c r="E4" s="34"/>
      <c r="F4" s="34"/>
      <c r="G4" s="34"/>
      <c r="H4" s="34"/>
      <c r="I4" s="34"/>
      <c r="J4" s="34"/>
      <c r="K4" s="33" t="s">
        <v>4</v>
      </c>
      <c r="L4" s="33"/>
      <c r="M4" s="33"/>
      <c r="N4" s="33"/>
      <c r="O4" s="33"/>
      <c r="P4" s="34" t="str">
        <f>'0信息维护'!M3</f>
        <v>N19ZY11005</v>
      </c>
      <c r="Q4" s="34"/>
      <c r="R4" s="34"/>
      <c r="S4" s="34"/>
      <c r="T4" s="34"/>
      <c r="U4" s="34"/>
    </row>
    <row r="5" ht="25" customHeight="1" spans="1:21">
      <c r="A5" s="33" t="s">
        <v>6</v>
      </c>
      <c r="B5" s="33"/>
      <c r="C5" s="33"/>
      <c r="D5" s="34" t="str">
        <f>'0信息维护'!D4</f>
        <v>专业核心必修课程</v>
      </c>
      <c r="E5" s="34"/>
      <c r="F5" s="34"/>
      <c r="G5" s="34"/>
      <c r="H5" s="34"/>
      <c r="I5" s="34"/>
      <c r="J5" s="34"/>
      <c r="K5" s="33" t="s">
        <v>8</v>
      </c>
      <c r="L5" s="33"/>
      <c r="M5" s="33"/>
      <c r="N5" s="33"/>
      <c r="O5" s="33"/>
      <c r="P5" s="34" t="str">
        <f>'0信息维护'!M4</f>
        <v>96/5</v>
      </c>
      <c r="Q5" s="34"/>
      <c r="R5" s="34"/>
      <c r="S5" s="34"/>
      <c r="T5" s="34"/>
      <c r="U5" s="34"/>
    </row>
    <row r="6" ht="25" customHeight="1" spans="1:21">
      <c r="A6" s="33" t="s">
        <v>10</v>
      </c>
      <c r="B6" s="33"/>
      <c r="C6" s="33"/>
      <c r="D6" s="34" t="str">
        <f>'0信息维护'!D5</f>
        <v>2023-2024-2</v>
      </c>
      <c r="E6" s="34"/>
      <c r="F6" s="34"/>
      <c r="G6" s="34"/>
      <c r="H6" s="34"/>
      <c r="I6" s="34"/>
      <c r="J6" s="34"/>
      <c r="K6" s="33" t="s">
        <v>12</v>
      </c>
      <c r="L6" s="33"/>
      <c r="M6" s="33"/>
      <c r="N6" s="33"/>
      <c r="O6" s="33"/>
      <c r="P6" s="45" t="str">
        <f>'0信息维护'!M5</f>
        <v>计算机学院2022级5、6班</v>
      </c>
      <c r="Q6" s="52"/>
      <c r="R6" s="52"/>
      <c r="S6" s="52"/>
      <c r="T6" s="52"/>
      <c r="U6" s="53"/>
    </row>
    <row r="7" ht="25" customHeight="1" spans="1:21">
      <c r="A7" s="33" t="s">
        <v>14</v>
      </c>
      <c r="B7" s="33"/>
      <c r="C7" s="33"/>
      <c r="D7" s="34">
        <f>'0信息维护'!D6</f>
        <v>141</v>
      </c>
      <c r="E7" s="34"/>
      <c r="F7" s="34"/>
      <c r="G7" s="34"/>
      <c r="H7" s="34"/>
      <c r="I7" s="34"/>
      <c r="J7" s="34"/>
      <c r="K7" s="33" t="s">
        <v>15</v>
      </c>
      <c r="L7" s="33"/>
      <c r="M7" s="33"/>
      <c r="N7" s="33"/>
      <c r="O7" s="33"/>
      <c r="P7" s="34">
        <f>'0信息维护'!M6</f>
        <v>141</v>
      </c>
      <c r="Q7" s="34"/>
      <c r="R7" s="34"/>
      <c r="S7" s="34"/>
      <c r="T7" s="34"/>
      <c r="U7" s="34"/>
    </row>
    <row r="8" ht="25" customHeight="1" spans="1:21">
      <c r="A8" s="33" t="s">
        <v>16</v>
      </c>
      <c r="B8" s="33"/>
      <c r="C8" s="33"/>
      <c r="D8" s="34" t="str">
        <f>'0信息维护'!D7</f>
        <v>任春华、段少松</v>
      </c>
      <c r="E8" s="34"/>
      <c r="F8" s="34"/>
      <c r="G8" s="34"/>
      <c r="H8" s="34"/>
      <c r="I8" s="34"/>
      <c r="J8" s="34"/>
      <c r="K8" s="33" t="s">
        <v>18</v>
      </c>
      <c r="L8" s="33"/>
      <c r="M8" s="33"/>
      <c r="N8" s="33"/>
      <c r="O8" s="33"/>
      <c r="P8" s="34" t="str">
        <f>'0信息维护'!M7</f>
        <v>任春华老师</v>
      </c>
      <c r="Q8" s="34"/>
      <c r="R8" s="34"/>
      <c r="S8" s="34"/>
      <c r="T8" s="34"/>
      <c r="U8" s="34"/>
    </row>
    <row r="9" ht="10" customHeight="1"/>
    <row r="10" ht="20.15" customHeight="1" spans="1:20">
      <c r="A10" s="32" t="s">
        <v>24</v>
      </c>
      <c r="B10" s="32"/>
      <c r="C10" s="32"/>
      <c r="D10" s="32"/>
      <c r="E10" s="32"/>
      <c r="F10" s="32"/>
      <c r="G10" s="32"/>
      <c r="H10" s="32"/>
      <c r="I10" s="32"/>
      <c r="J10" s="32"/>
      <c r="K10" s="32"/>
      <c r="L10" s="32"/>
      <c r="M10" s="32"/>
      <c r="N10" s="32"/>
      <c r="O10" s="32"/>
      <c r="P10" s="32"/>
      <c r="Q10" s="32"/>
      <c r="R10" s="32"/>
      <c r="S10" s="32"/>
      <c r="T10" s="32"/>
    </row>
    <row r="11" ht="41.15" customHeight="1" spans="1:21">
      <c r="A11" s="35" t="s">
        <v>420</v>
      </c>
      <c r="B11" s="35"/>
      <c r="C11" s="35"/>
      <c r="D11" s="35"/>
      <c r="E11" s="35"/>
      <c r="F11" s="36" t="s">
        <v>26</v>
      </c>
      <c r="G11" s="36"/>
      <c r="H11" s="36"/>
      <c r="I11" s="36"/>
      <c r="J11" s="36"/>
      <c r="K11" s="36"/>
      <c r="L11" s="36"/>
      <c r="M11" s="36"/>
      <c r="N11" s="36"/>
      <c r="O11" s="36"/>
      <c r="P11" s="36"/>
      <c r="Q11" s="36"/>
      <c r="R11" s="36"/>
      <c r="S11" s="36"/>
      <c r="T11" s="36" t="s">
        <v>27</v>
      </c>
      <c r="U11" s="36"/>
    </row>
    <row r="12" ht="100" customHeight="1" spans="1:21">
      <c r="A12" s="37" t="str">
        <f>'0信息维护'!A12</f>
        <v>课程总目标</v>
      </c>
      <c r="B12" s="38" t="str">
        <f>'0信息维护'!B12</f>
        <v>课程目标1</v>
      </c>
      <c r="C12" s="33"/>
      <c r="D12" s="33"/>
      <c r="E12" s="33"/>
      <c r="F12" s="39" t="str">
        <f>'0信息维护'!E12</f>
        <v>学生具备分析线性表、栈和队列、串、数组和广义表、树和二叉树、图等各种基本数据结构的能力；能够针对具体问题，通过定义抽象数学模型、算法并求解。</v>
      </c>
      <c r="G12" s="39"/>
      <c r="H12" s="39"/>
      <c r="I12" s="39"/>
      <c r="J12" s="39"/>
      <c r="K12" s="39"/>
      <c r="L12" s="39"/>
      <c r="M12" s="39"/>
      <c r="N12" s="39"/>
      <c r="O12" s="39"/>
      <c r="P12" s="39"/>
      <c r="Q12" s="39"/>
      <c r="R12" s="39"/>
      <c r="S12" s="39"/>
      <c r="T12" s="39" t="s">
        <v>31</v>
      </c>
      <c r="U12" s="39"/>
    </row>
    <row r="13" ht="100" customHeight="1" spans="1:21">
      <c r="A13" s="40"/>
      <c r="B13" s="38" t="str">
        <f>'0信息维护'!B13</f>
        <v>课程目标2</v>
      </c>
      <c r="C13" s="33"/>
      <c r="D13" s="33"/>
      <c r="E13" s="33"/>
      <c r="F13" s="39" t="str">
        <f>'0信息维护'!E13</f>
        <v>针对工程应用问题，学生能够利用抽象数据结构思维的能力，比较和综合各种方案在逻辑结构、存储结构的优劣。</v>
      </c>
      <c r="G13" s="39"/>
      <c r="H13" s="39"/>
      <c r="I13" s="39"/>
      <c r="J13" s="39"/>
      <c r="K13" s="39"/>
      <c r="L13" s="39"/>
      <c r="M13" s="39"/>
      <c r="N13" s="39"/>
      <c r="O13" s="39"/>
      <c r="P13" s="39"/>
      <c r="Q13" s="39"/>
      <c r="R13" s="39"/>
      <c r="S13" s="39"/>
      <c r="T13" s="39" t="s">
        <v>34</v>
      </c>
      <c r="U13" s="39"/>
    </row>
    <row r="14" ht="100" customHeight="1" spans="1:21">
      <c r="A14" s="40"/>
      <c r="B14" s="38" t="str">
        <f>'0信息维护'!B14</f>
        <v>课程目标3</v>
      </c>
      <c r="C14" s="33"/>
      <c r="D14" s="33"/>
      <c r="E14" s="33"/>
      <c r="F14" s="39" t="str">
        <f>'0信息维护'!E14</f>
        <v>学生能够运用数据结构与算法的基本原理，识别和判断复杂软件工程问题中数据结构使用和算法选择的关键环节。</v>
      </c>
      <c r="G14" s="39"/>
      <c r="H14" s="39"/>
      <c r="I14" s="39"/>
      <c r="J14" s="39"/>
      <c r="K14" s="39"/>
      <c r="L14" s="39"/>
      <c r="M14" s="39"/>
      <c r="N14" s="39"/>
      <c r="O14" s="39"/>
      <c r="P14" s="39"/>
      <c r="Q14" s="39"/>
      <c r="R14" s="39"/>
      <c r="S14" s="39"/>
      <c r="T14" s="39" t="s">
        <v>34</v>
      </c>
      <c r="U14" s="39"/>
    </row>
    <row r="15" ht="100" customHeight="1" spans="1:21">
      <c r="A15" s="40"/>
      <c r="B15" s="38" t="str">
        <f>'0信息维护'!B15</f>
        <v>课程目标4</v>
      </c>
      <c r="C15" s="33"/>
      <c r="D15" s="33"/>
      <c r="E15" s="33"/>
      <c r="F15" s="39" t="str">
        <f>'0信息维护'!E15</f>
        <v>学生结合具体应用案例，能够认识到有多种逻辑结构和存储结构可供选择，通过网络、文献、大模型等方法寻求应用案例的解决方案。</v>
      </c>
      <c r="G15" s="39"/>
      <c r="H15" s="39"/>
      <c r="I15" s="39"/>
      <c r="J15" s="39"/>
      <c r="K15" s="39"/>
      <c r="L15" s="39"/>
      <c r="M15" s="39"/>
      <c r="N15" s="39"/>
      <c r="O15" s="39"/>
      <c r="P15" s="39"/>
      <c r="Q15" s="39"/>
      <c r="R15" s="39"/>
      <c r="S15" s="39"/>
      <c r="T15" s="39" t="s">
        <v>31</v>
      </c>
      <c r="U15" s="39"/>
    </row>
    <row r="16" ht="100" customHeight="1" spans="1:21">
      <c r="A16" s="40"/>
      <c r="B16" s="38" t="str">
        <f>'0信息维护'!B16</f>
        <v>课程目标5</v>
      </c>
      <c r="C16" s="33"/>
      <c r="D16" s="33"/>
      <c r="E16" s="33"/>
      <c r="F16" s="39">
        <f>'0信息维护'!E16</f>
        <v>0</v>
      </c>
      <c r="G16" s="39"/>
      <c r="H16" s="39"/>
      <c r="I16" s="39"/>
      <c r="J16" s="39"/>
      <c r="K16" s="39"/>
      <c r="L16" s="39"/>
      <c r="M16" s="39"/>
      <c r="N16" s="39"/>
      <c r="O16" s="39"/>
      <c r="P16" s="39"/>
      <c r="Q16" s="39"/>
      <c r="R16" s="39"/>
      <c r="S16" s="39"/>
      <c r="T16" s="39" t="s">
        <v>37</v>
      </c>
      <c r="U16" s="39"/>
    </row>
    <row r="17" ht="100" customHeight="1" spans="1:21">
      <c r="A17" s="40"/>
      <c r="B17" s="38" t="str">
        <f>'0信息维护'!B17</f>
        <v>课程目标6</v>
      </c>
      <c r="C17" s="33"/>
      <c r="D17" s="33"/>
      <c r="E17" s="33"/>
      <c r="F17" s="39">
        <f>'0信息维护'!E17</f>
        <v>0</v>
      </c>
      <c r="G17" s="39"/>
      <c r="H17" s="39"/>
      <c r="I17" s="39"/>
      <c r="J17" s="39"/>
      <c r="K17" s="39"/>
      <c r="L17" s="39"/>
      <c r="M17" s="39"/>
      <c r="N17" s="39"/>
      <c r="O17" s="39"/>
      <c r="P17" s="39"/>
      <c r="Q17" s="39"/>
      <c r="R17" s="39"/>
      <c r="S17" s="39"/>
      <c r="T17" s="39">
        <f>'0信息维护'!P17</f>
        <v>0</v>
      </c>
      <c r="U17" s="39"/>
    </row>
    <row r="18" ht="100" customHeight="1" spans="1:21">
      <c r="A18" s="41"/>
      <c r="B18" s="38" t="str">
        <f>'0信息维护'!B18</f>
        <v>课程目标7</v>
      </c>
      <c r="C18" s="33"/>
      <c r="D18" s="33"/>
      <c r="E18" s="33"/>
      <c r="F18" s="39">
        <f>'0信息维护'!E18</f>
        <v>0</v>
      </c>
      <c r="G18" s="39"/>
      <c r="H18" s="39"/>
      <c r="I18" s="39"/>
      <c r="J18" s="39"/>
      <c r="K18" s="39"/>
      <c r="L18" s="39"/>
      <c r="M18" s="39"/>
      <c r="N18" s="39"/>
      <c r="O18" s="39"/>
      <c r="P18" s="39"/>
      <c r="Q18" s="39"/>
      <c r="R18" s="39"/>
      <c r="S18" s="39"/>
      <c r="T18" s="39">
        <f>'0信息维护'!P18</f>
        <v>0</v>
      </c>
      <c r="U18" s="39"/>
    </row>
    <row r="19" ht="10" customHeight="1"/>
    <row r="20" ht="20.15" customHeight="1" spans="1:20">
      <c r="A20" s="32" t="s">
        <v>44</v>
      </c>
      <c r="B20" s="32"/>
      <c r="C20" s="32"/>
      <c r="D20" s="32"/>
      <c r="E20" s="32"/>
      <c r="F20" s="32"/>
      <c r="G20" s="32"/>
      <c r="H20" s="32"/>
      <c r="I20" s="32"/>
      <c r="J20" s="32"/>
      <c r="K20" s="32"/>
      <c r="L20" s="32"/>
      <c r="M20" s="32"/>
      <c r="N20" s="32"/>
      <c r="O20" s="32"/>
      <c r="P20" s="32"/>
      <c r="Q20" s="32"/>
      <c r="R20" s="32"/>
      <c r="S20" s="32"/>
      <c r="T20" s="32"/>
    </row>
    <row r="21" ht="20.15" customHeight="1" spans="1:21">
      <c r="A21" s="42" t="s">
        <v>421</v>
      </c>
      <c r="B21" s="42"/>
      <c r="C21" s="36" t="s">
        <v>65</v>
      </c>
      <c r="D21" s="36"/>
      <c r="E21" s="36"/>
      <c r="F21" s="36"/>
      <c r="G21" s="36"/>
      <c r="H21" s="36"/>
      <c r="I21" s="36"/>
      <c r="J21" s="36"/>
      <c r="K21" s="36"/>
      <c r="L21" s="36"/>
      <c r="M21" s="36"/>
      <c r="N21" s="36"/>
      <c r="O21" s="36"/>
      <c r="P21" s="36"/>
      <c r="Q21" s="36"/>
      <c r="R21" s="36" t="s">
        <v>66</v>
      </c>
      <c r="S21" s="36"/>
      <c r="T21" s="36"/>
      <c r="U21" s="36"/>
    </row>
    <row r="22" ht="20.15" customHeight="1" spans="1:21">
      <c r="A22" s="42"/>
      <c r="B22" s="42"/>
      <c r="C22" s="36" t="s">
        <v>56</v>
      </c>
      <c r="D22" s="36"/>
      <c r="E22" s="36"/>
      <c r="F22" s="36"/>
      <c r="G22" s="36"/>
      <c r="H22" s="36"/>
      <c r="I22" s="36"/>
      <c r="J22" s="36"/>
      <c r="K22" s="36"/>
      <c r="L22" s="36"/>
      <c r="M22" s="36"/>
      <c r="N22" s="36"/>
      <c r="O22" s="33" t="str">
        <f>'0信息维护'!I34</f>
        <v>结果性评价</v>
      </c>
      <c r="P22" s="33"/>
      <c r="Q22" s="33"/>
      <c r="R22" s="54" t="str">
        <f>'0信息维护'!E44</f>
        <v>学生调查问卷</v>
      </c>
      <c r="S22" s="33"/>
      <c r="T22" s="55" t="str">
        <f>'0信息维护'!I44</f>
        <v>其它</v>
      </c>
      <c r="U22" s="36"/>
    </row>
    <row r="23" ht="31" customHeight="1" spans="1:21">
      <c r="A23" s="42"/>
      <c r="B23" s="42"/>
      <c r="C23" s="33" t="str">
        <f>'0信息维护'!E24</f>
        <v>平时作业</v>
      </c>
      <c r="D23" s="33"/>
      <c r="E23" s="33"/>
      <c r="F23" s="33" t="str">
        <f>'0信息维护'!I24</f>
        <v>实验考核</v>
      </c>
      <c r="G23" s="33"/>
      <c r="H23" s="33"/>
      <c r="I23" s="33">
        <f>'0信息维护'!L24</f>
        <v>0</v>
      </c>
      <c r="J23" s="33"/>
      <c r="K23" s="33"/>
      <c r="L23" s="46">
        <f>'0信息维护'!O24</f>
        <v>0</v>
      </c>
      <c r="M23" s="47"/>
      <c r="N23" s="48"/>
      <c r="O23" s="33"/>
      <c r="P23" s="33"/>
      <c r="Q23" s="33"/>
      <c r="R23" s="33"/>
      <c r="S23" s="33"/>
      <c r="T23" s="36"/>
      <c r="U23" s="36"/>
    </row>
    <row r="24" ht="28" customHeight="1" spans="1:22">
      <c r="A24" s="36" t="str">
        <f>'0信息维护'!A25</f>
        <v>课程目标1</v>
      </c>
      <c r="B24" s="36"/>
      <c r="C24" s="43">
        <f>'0信息维护'!$S25*'0信息维护'!$E35*'0信息维护'!$E55</f>
        <v>0.4</v>
      </c>
      <c r="D24" s="43"/>
      <c r="E24" s="43"/>
      <c r="F24" s="43">
        <f>'0信息维护'!$T25*'0信息维护'!$E35*'0信息维护'!$E55</f>
        <v>0</v>
      </c>
      <c r="G24" s="43"/>
      <c r="H24" s="43"/>
      <c r="I24" s="43">
        <f>'0信息维护'!$U25*'0信息维护'!$E35*'0信息维护'!$E55</f>
        <v>0</v>
      </c>
      <c r="J24" s="43"/>
      <c r="K24" s="43"/>
      <c r="L24" s="43">
        <f>'0信息维护'!$V25*'0信息维护'!$E35*'0信息维护'!$E55</f>
        <v>0</v>
      </c>
      <c r="M24" s="43"/>
      <c r="N24" s="43"/>
      <c r="O24" s="43">
        <f>'0信息维护'!I35*'0信息维护'!E55</f>
        <v>0.4</v>
      </c>
      <c r="P24" s="43"/>
      <c r="Q24" s="43"/>
      <c r="R24" s="56">
        <f>'0信息维护'!E45*'0信息维护'!I55</f>
        <v>0.2</v>
      </c>
      <c r="S24" s="56"/>
      <c r="T24" s="56">
        <f>'0信息维护'!I45*'0信息维护'!I55</f>
        <v>0</v>
      </c>
      <c r="U24" s="56"/>
      <c r="V24" s="57"/>
    </row>
    <row r="25" ht="28" customHeight="1" spans="1:22">
      <c r="A25" s="36" t="str">
        <f>'0信息维护'!A26</f>
        <v>课程目标2</v>
      </c>
      <c r="B25" s="36"/>
      <c r="C25" s="43">
        <f>'0信息维护'!$S26*'0信息维护'!$E36*'0信息维护'!$E56</f>
        <v>0.4</v>
      </c>
      <c r="D25" s="43"/>
      <c r="E25" s="43"/>
      <c r="F25" s="43">
        <f>'0信息维护'!$T26*'0信息维护'!$E36*'0信息维护'!$E56</f>
        <v>0</v>
      </c>
      <c r="G25" s="43"/>
      <c r="H25" s="43"/>
      <c r="I25" s="43">
        <f>'0信息维护'!$U26*'0信息维护'!$E36*'0信息维护'!$E56</f>
        <v>0</v>
      </c>
      <c r="J25" s="43"/>
      <c r="K25" s="43"/>
      <c r="L25" s="43">
        <f>'0信息维护'!$V26*'0信息维护'!$E36*'0信息维护'!$E56</f>
        <v>0</v>
      </c>
      <c r="M25" s="43"/>
      <c r="N25" s="43"/>
      <c r="O25" s="43">
        <f>'0信息维护'!I36*'0信息维护'!E56</f>
        <v>0.4</v>
      </c>
      <c r="P25" s="43"/>
      <c r="Q25" s="43"/>
      <c r="R25" s="56">
        <f>'0信息维护'!E46*'0信息维护'!I56</f>
        <v>0.2</v>
      </c>
      <c r="S25" s="56"/>
      <c r="T25" s="56">
        <f>'0信息维护'!I46*'0信息维护'!I56</f>
        <v>0</v>
      </c>
      <c r="U25" s="56"/>
      <c r="V25" s="57"/>
    </row>
    <row r="26" ht="28" customHeight="1" spans="1:22">
      <c r="A26" s="36" t="str">
        <f>'0信息维护'!A27</f>
        <v>课程目标3</v>
      </c>
      <c r="B26" s="36"/>
      <c r="C26" s="43">
        <f>'0信息维护'!$S27*'0信息维护'!$E37*'0信息维护'!$E57</f>
        <v>0</v>
      </c>
      <c r="D26" s="43"/>
      <c r="E26" s="43"/>
      <c r="F26" s="43">
        <f>'0信息维护'!$T27*'0信息维护'!$E37*'0信息维护'!$E57</f>
        <v>0</v>
      </c>
      <c r="G26" s="43"/>
      <c r="H26" s="43"/>
      <c r="I26" s="43">
        <f>'0信息维护'!$U27*'0信息维护'!$E37*'0信息维护'!$E57</f>
        <v>0</v>
      </c>
      <c r="J26" s="43"/>
      <c r="K26" s="43"/>
      <c r="L26" s="43">
        <f>'0信息维护'!$V27*'0信息维护'!$E37*'0信息维护'!$E57</f>
        <v>0</v>
      </c>
      <c r="M26" s="43"/>
      <c r="N26" s="43"/>
      <c r="O26" s="43">
        <f>'0信息维护'!I37*'0信息维护'!E57</f>
        <v>0.8</v>
      </c>
      <c r="P26" s="43"/>
      <c r="Q26" s="43"/>
      <c r="R26" s="56">
        <f>'0信息维护'!E47*'0信息维护'!I57</f>
        <v>0.2</v>
      </c>
      <c r="S26" s="56"/>
      <c r="T26" s="56">
        <f>'0信息维护'!I47*'0信息维护'!I57</f>
        <v>0</v>
      </c>
      <c r="U26" s="56"/>
      <c r="V26" s="57"/>
    </row>
    <row r="27" ht="28" customHeight="1" spans="1:21">
      <c r="A27" s="36" t="str">
        <f>'0信息维护'!A28</f>
        <v>课程目标4</v>
      </c>
      <c r="B27" s="36"/>
      <c r="C27" s="43">
        <f>'0信息维护'!$S28*'0信息维护'!$E38*'0信息维护'!$E58</f>
        <v>0</v>
      </c>
      <c r="D27" s="43"/>
      <c r="E27" s="43"/>
      <c r="F27" s="43">
        <f>'0信息维护'!$T28*'0信息维护'!$E38*'0信息维护'!$E58</f>
        <v>0.8</v>
      </c>
      <c r="G27" s="43"/>
      <c r="H27" s="43"/>
      <c r="I27" s="43">
        <f>'0信息维护'!$U28*'0信息维护'!$E38*'0信息维护'!$E58</f>
        <v>0</v>
      </c>
      <c r="J27" s="43"/>
      <c r="K27" s="43"/>
      <c r="L27" s="43">
        <f>'0信息维护'!$V28*'0信息维护'!$E38*'0信息维护'!$E58</f>
        <v>0</v>
      </c>
      <c r="M27" s="43"/>
      <c r="N27" s="43"/>
      <c r="O27" s="43">
        <f>'0信息维护'!I38*'0信息维护'!E58</f>
        <v>0</v>
      </c>
      <c r="P27" s="43"/>
      <c r="Q27" s="43"/>
      <c r="R27" s="56">
        <f>'0信息维护'!E48*'0信息维护'!I58</f>
        <v>0.2</v>
      </c>
      <c r="S27" s="56"/>
      <c r="T27" s="56">
        <f>'0信息维护'!I48*'0信息维护'!I58</f>
        <v>0</v>
      </c>
      <c r="U27" s="56"/>
    </row>
    <row r="28" ht="28" customHeight="1" spans="1:21">
      <c r="A28" s="36" t="str">
        <f>'0信息维护'!A29</f>
        <v>课程目标5</v>
      </c>
      <c r="B28" s="36"/>
      <c r="C28" s="43">
        <f>'0信息维护'!$S29*'0信息维护'!$E39*'0信息维护'!$E59</f>
        <v>0</v>
      </c>
      <c r="D28" s="43"/>
      <c r="E28" s="43"/>
      <c r="F28" s="43">
        <f>'0信息维护'!$T29*'0信息维护'!$E39*'0信息维护'!$E59</f>
        <v>0</v>
      </c>
      <c r="G28" s="43"/>
      <c r="H28" s="43"/>
      <c r="I28" s="43">
        <f>'0信息维护'!$U29*'0信息维护'!$E39*'0信息维护'!$E59</f>
        <v>0</v>
      </c>
      <c r="J28" s="43"/>
      <c r="K28" s="43"/>
      <c r="L28" s="43">
        <f>'0信息维护'!$V29*'0信息维护'!$E39*'0信息维护'!$E59</f>
        <v>0</v>
      </c>
      <c r="M28" s="43"/>
      <c r="N28" s="43"/>
      <c r="O28" s="43">
        <f>'0信息维护'!I39*'0信息维护'!E59</f>
        <v>0</v>
      </c>
      <c r="P28" s="43"/>
      <c r="Q28" s="43"/>
      <c r="R28" s="56">
        <f>'0信息维护'!E49*'0信息维护'!I59</f>
        <v>0.2</v>
      </c>
      <c r="S28" s="56"/>
      <c r="T28" s="56">
        <f>'0信息维护'!I49*'0信息维护'!I59</f>
        <v>0</v>
      </c>
      <c r="U28" s="56"/>
    </row>
    <row r="29" ht="28" customHeight="1" spans="1:21">
      <c r="A29" s="36" t="str">
        <f>'0信息维护'!A30</f>
        <v>课程目标6</v>
      </c>
      <c r="B29" s="36"/>
      <c r="C29" s="43">
        <f>'0信息维护'!$S30*'0信息维护'!$E40*'0信息维护'!$E60</f>
        <v>0</v>
      </c>
      <c r="D29" s="43"/>
      <c r="E29" s="43"/>
      <c r="F29" s="43">
        <f>'0信息维护'!$T30*'0信息维护'!$E40*'0信息维护'!$E60</f>
        <v>0</v>
      </c>
      <c r="G29" s="43"/>
      <c r="H29" s="43"/>
      <c r="I29" s="43">
        <f>'0信息维护'!$U30*'0信息维护'!$E40*'0信息维护'!$E60</f>
        <v>0</v>
      </c>
      <c r="J29" s="43"/>
      <c r="K29" s="43"/>
      <c r="L29" s="43">
        <f>'0信息维护'!$V30*'0信息维护'!$E40*'0信息维护'!$E60</f>
        <v>0</v>
      </c>
      <c r="M29" s="43"/>
      <c r="N29" s="43"/>
      <c r="O29" s="43">
        <f>'0信息维护'!I40*'0信息维护'!E60</f>
        <v>0</v>
      </c>
      <c r="P29" s="43"/>
      <c r="Q29" s="43"/>
      <c r="R29" s="56">
        <f>'0信息维护'!E50*'0信息维护'!I60</f>
        <v>0</v>
      </c>
      <c r="S29" s="56"/>
      <c r="T29" s="56">
        <f>'0信息维护'!I50*'0信息维护'!I60</f>
        <v>0</v>
      </c>
      <c r="U29" s="56"/>
    </row>
    <row r="30" ht="28" customHeight="1" spans="1:21">
      <c r="A30" s="36" t="str">
        <f>'0信息维护'!A31</f>
        <v>课程目标7</v>
      </c>
      <c r="B30" s="36"/>
      <c r="C30" s="43">
        <f>'0信息维护'!$S31*'0信息维护'!$E41*'0信息维护'!$E61</f>
        <v>0</v>
      </c>
      <c r="D30" s="43"/>
      <c r="E30" s="43"/>
      <c r="F30" s="43">
        <f>'0信息维护'!$T31*'0信息维护'!$E41*'0信息维护'!$E61</f>
        <v>0</v>
      </c>
      <c r="G30" s="43"/>
      <c r="H30" s="43"/>
      <c r="I30" s="43">
        <f>'0信息维护'!$U31*'0信息维护'!$E41*'0信息维护'!$E61</f>
        <v>0</v>
      </c>
      <c r="J30" s="43"/>
      <c r="K30" s="43"/>
      <c r="L30" s="43">
        <f>'0信息维护'!$V31*'0信息维护'!$E41*'0信息维护'!$E61</f>
        <v>0</v>
      </c>
      <c r="M30" s="43"/>
      <c r="N30" s="43"/>
      <c r="O30" s="43">
        <f>'0信息维护'!I41*'0信息维护'!E61</f>
        <v>0</v>
      </c>
      <c r="P30" s="43"/>
      <c r="Q30" s="43"/>
      <c r="R30" s="56">
        <f>'0信息维护'!E51*'0信息维护'!I61</f>
        <v>0</v>
      </c>
      <c r="S30" s="56"/>
      <c r="T30" s="56">
        <f>'0信息维护'!I51*'0信息维护'!I61</f>
        <v>0</v>
      </c>
      <c r="U30" s="56"/>
    </row>
    <row r="31" ht="10" customHeight="1"/>
    <row r="32" ht="20.15" customHeight="1" spans="1:20">
      <c r="A32" s="32" t="s">
        <v>422</v>
      </c>
      <c r="B32" s="32"/>
      <c r="C32" s="32"/>
      <c r="D32" s="32"/>
      <c r="E32" s="32"/>
      <c r="F32" s="32"/>
      <c r="G32" s="32"/>
      <c r="H32" s="32"/>
      <c r="I32" s="32"/>
      <c r="J32" s="32"/>
      <c r="K32" s="32"/>
      <c r="L32" s="32"/>
      <c r="M32" s="32"/>
      <c r="N32" s="32"/>
      <c r="O32" s="32"/>
      <c r="P32" s="32"/>
      <c r="Q32" s="32"/>
      <c r="R32" s="32"/>
      <c r="S32" s="32"/>
      <c r="T32" s="32"/>
    </row>
    <row r="33" ht="20.15" customHeight="1" spans="1:22">
      <c r="A33" s="36" t="s">
        <v>29</v>
      </c>
      <c r="B33" s="36"/>
      <c r="C33" s="36" t="s">
        <v>68</v>
      </c>
      <c r="D33" s="36">
        <f>'0信息维护'!C64</f>
        <v>1</v>
      </c>
      <c r="E33" s="36">
        <f>'0信息维护'!D64</f>
        <v>7</v>
      </c>
      <c r="F33" s="36">
        <f>'0信息维护'!E64</f>
        <v>8</v>
      </c>
      <c r="G33" s="36">
        <f>'0信息维护'!F64</f>
        <v>9</v>
      </c>
      <c r="H33" s="36">
        <f>'0信息维护'!G64</f>
        <v>11</v>
      </c>
      <c r="I33" s="36">
        <f>'0信息维护'!H64</f>
        <v>12</v>
      </c>
      <c r="J33" s="36">
        <f>'0信息维护'!I64</f>
        <v>16</v>
      </c>
      <c r="K33" s="36">
        <f>'0信息维护'!J64</f>
        <v>17</v>
      </c>
      <c r="L33" s="36">
        <f>'0信息维护'!K64</f>
        <v>20</v>
      </c>
      <c r="M33" s="36" t="str">
        <f>'0信息维护'!L64</f>
        <v>27-35</v>
      </c>
      <c r="N33" s="36">
        <f>'0信息维护'!M64</f>
        <v>0</v>
      </c>
      <c r="O33" s="36">
        <f>'0信息维护'!N64</f>
        <v>0</v>
      </c>
      <c r="P33" s="36">
        <f>'0信息维护'!O64</f>
        <v>0</v>
      </c>
      <c r="Q33" s="36">
        <f>'0信息维护'!P64</f>
        <v>0</v>
      </c>
      <c r="R33" s="36">
        <f>'0信息维护'!Q64</f>
        <v>0</v>
      </c>
      <c r="S33" s="36" t="s">
        <v>49</v>
      </c>
      <c r="T33" s="36"/>
      <c r="U33" s="36"/>
      <c r="V33" s="58"/>
    </row>
    <row r="34" ht="20.15" customHeight="1" spans="1:22">
      <c r="A34" s="36"/>
      <c r="B34" s="36"/>
      <c r="C34" s="36" t="s">
        <v>70</v>
      </c>
      <c r="D34" s="36">
        <f>'0信息维护'!C65</f>
        <v>2</v>
      </c>
      <c r="E34" s="36">
        <f>'0信息维护'!D65</f>
        <v>2</v>
      </c>
      <c r="F34" s="36">
        <f>'0信息维护'!E65</f>
        <v>2</v>
      </c>
      <c r="G34" s="36">
        <f>'0信息维护'!F65</f>
        <v>2</v>
      </c>
      <c r="H34" s="36">
        <f>'0信息维护'!G65</f>
        <v>2</v>
      </c>
      <c r="I34" s="36">
        <f>'0信息维护'!H65</f>
        <v>2</v>
      </c>
      <c r="J34" s="36">
        <f>'0信息维护'!I65</f>
        <v>2</v>
      </c>
      <c r="K34" s="36">
        <f>'0信息维护'!J65</f>
        <v>2</v>
      </c>
      <c r="L34" s="36">
        <f>'0信息维护'!K65</f>
        <v>2</v>
      </c>
      <c r="M34" s="36">
        <f>'0信息维护'!L65</f>
        <v>18</v>
      </c>
      <c r="N34" s="36">
        <f>'0信息维护'!M65</f>
        <v>0</v>
      </c>
      <c r="O34" s="36">
        <f>'0信息维护'!N65</f>
        <v>0</v>
      </c>
      <c r="P34" s="36">
        <f>'0信息维护'!O65</f>
        <v>0</v>
      </c>
      <c r="Q34" s="36">
        <f>'0信息维护'!P65</f>
        <v>0</v>
      </c>
      <c r="R34" s="36">
        <f>'0信息维护'!Q65</f>
        <v>0</v>
      </c>
      <c r="S34" s="36">
        <f>'0信息维护'!R65</f>
        <v>36</v>
      </c>
      <c r="T34" s="36"/>
      <c r="U34" s="36"/>
      <c r="V34" s="58"/>
    </row>
    <row r="35" ht="20.15" customHeight="1" spans="1:22">
      <c r="A35" s="36" t="s">
        <v>32</v>
      </c>
      <c r="B35" s="36"/>
      <c r="C35" s="36" t="s">
        <v>68</v>
      </c>
      <c r="D35" s="36">
        <f>'0信息维护'!C66</f>
        <v>3</v>
      </c>
      <c r="E35" s="36">
        <f>'0信息维护'!D66</f>
        <v>6</v>
      </c>
      <c r="F35" s="36">
        <f>'0信息维护'!E66</f>
        <v>13</v>
      </c>
      <c r="G35" s="36">
        <f>'0信息维护'!F66</f>
        <v>14</v>
      </c>
      <c r="H35" s="36">
        <f>'0信息维护'!G66</f>
        <v>18</v>
      </c>
      <c r="I35" s="36">
        <f>'0信息维护'!H66</f>
        <v>19</v>
      </c>
      <c r="J35" s="36">
        <f>'0信息维护'!I66</f>
        <v>23</v>
      </c>
      <c r="K35" s="36">
        <f>'0信息维护'!J66</f>
        <v>24</v>
      </c>
      <c r="L35" s="36" t="str">
        <f>'0信息维护'!K66</f>
        <v>37-38</v>
      </c>
      <c r="M35" s="36">
        <f>'0信息维护'!L66</f>
        <v>0</v>
      </c>
      <c r="N35" s="36">
        <f>'0信息维护'!M66</f>
        <v>0</v>
      </c>
      <c r="O35" s="36">
        <f>'0信息维护'!N66</f>
        <v>0</v>
      </c>
      <c r="P35" s="36">
        <f>'0信息维护'!O66</f>
        <v>0</v>
      </c>
      <c r="Q35" s="36">
        <f>'0信息维护'!P66</f>
        <v>0</v>
      </c>
      <c r="R35" s="36">
        <f>'0信息维护'!Q66</f>
        <v>0</v>
      </c>
      <c r="S35" s="3"/>
      <c r="T35" s="3"/>
      <c r="U35" s="3"/>
      <c r="V35" s="58"/>
    </row>
    <row r="36" ht="20.15" customHeight="1" spans="1:22">
      <c r="A36" s="36"/>
      <c r="B36" s="36"/>
      <c r="C36" s="36" t="s">
        <v>70</v>
      </c>
      <c r="D36" s="36">
        <f>'0信息维护'!C67</f>
        <v>2</v>
      </c>
      <c r="E36" s="36">
        <f>'0信息维护'!D67</f>
        <v>2</v>
      </c>
      <c r="F36" s="36">
        <f>'0信息维护'!E67</f>
        <v>2</v>
      </c>
      <c r="G36" s="36">
        <f>'0信息维护'!F67</f>
        <v>2</v>
      </c>
      <c r="H36" s="36">
        <f>'0信息维护'!G67</f>
        <v>2</v>
      </c>
      <c r="I36" s="36">
        <f>'0信息维护'!H67</f>
        <v>2</v>
      </c>
      <c r="J36" s="36">
        <f>'0信息维护'!I67</f>
        <v>2</v>
      </c>
      <c r="K36" s="36">
        <f>'0信息维护'!J67</f>
        <v>2</v>
      </c>
      <c r="L36" s="36">
        <f>'0信息维护'!K67</f>
        <v>14</v>
      </c>
      <c r="M36" s="36">
        <f>'0信息维护'!L67</f>
        <v>0</v>
      </c>
      <c r="N36" s="36">
        <f>'0信息维护'!M67</f>
        <v>0</v>
      </c>
      <c r="O36" s="36">
        <f>'0信息维护'!N67</f>
        <v>0</v>
      </c>
      <c r="P36" s="36">
        <f>'0信息维护'!O67</f>
        <v>0</v>
      </c>
      <c r="Q36" s="36">
        <f>'0信息维护'!P67</f>
        <v>0</v>
      </c>
      <c r="R36" s="36">
        <f>'0信息维护'!Q67</f>
        <v>0</v>
      </c>
      <c r="S36" s="36">
        <f>'0信息维护'!R67</f>
        <v>30</v>
      </c>
      <c r="T36" s="36"/>
      <c r="U36" s="36"/>
      <c r="V36" s="58"/>
    </row>
    <row r="37" ht="20.15" customHeight="1" spans="1:22">
      <c r="A37" s="36" t="s">
        <v>35</v>
      </c>
      <c r="B37" s="36"/>
      <c r="C37" s="36" t="s">
        <v>68</v>
      </c>
      <c r="D37" s="36">
        <f>'0信息维护'!C68</f>
        <v>2</v>
      </c>
      <c r="E37" s="36">
        <f>'0信息维护'!D68</f>
        <v>4</v>
      </c>
      <c r="F37" s="36">
        <f>'0信息维护'!E68</f>
        <v>5</v>
      </c>
      <c r="G37" s="36">
        <f>'0信息维护'!F68</f>
        <v>10</v>
      </c>
      <c r="H37" s="36">
        <f>'0信息维护'!G68</f>
        <v>15</v>
      </c>
      <c r="I37" s="36">
        <f>'0信息维护'!H68</f>
        <v>21</v>
      </c>
      <c r="J37" s="36">
        <f>'0信息维护'!I68</f>
        <v>22</v>
      </c>
      <c r="K37" s="36">
        <f>'0信息维护'!J68</f>
        <v>25</v>
      </c>
      <c r="L37" s="36">
        <f>'0信息维护'!K68</f>
        <v>26</v>
      </c>
      <c r="M37" s="36">
        <f>'0信息维护'!L68</f>
        <v>36</v>
      </c>
      <c r="N37" s="36">
        <f>'0信息维护'!M68</f>
        <v>39</v>
      </c>
      <c r="O37" s="36">
        <f>'0信息维护'!N68</f>
        <v>0</v>
      </c>
      <c r="P37" s="36">
        <f>'0信息维护'!O68</f>
        <v>0</v>
      </c>
      <c r="Q37" s="36">
        <f>'0信息维护'!P68</f>
        <v>0</v>
      </c>
      <c r="R37" s="36">
        <f>'0信息维护'!Q68</f>
        <v>0</v>
      </c>
      <c r="S37" s="36"/>
      <c r="T37" s="36"/>
      <c r="U37" s="36"/>
      <c r="V37" s="58"/>
    </row>
    <row r="38" ht="20.15" customHeight="1" spans="1:22">
      <c r="A38" s="36"/>
      <c r="B38" s="36"/>
      <c r="C38" s="36" t="s">
        <v>70</v>
      </c>
      <c r="D38" s="36">
        <f>'0信息维护'!C69</f>
        <v>2</v>
      </c>
      <c r="E38" s="36">
        <f>'0信息维护'!D69</f>
        <v>2</v>
      </c>
      <c r="F38" s="36">
        <f>'0信息维护'!E69</f>
        <v>2</v>
      </c>
      <c r="G38" s="36">
        <f>'0信息维护'!F69</f>
        <v>2</v>
      </c>
      <c r="H38" s="36">
        <f>'0信息维护'!G69</f>
        <v>2</v>
      </c>
      <c r="I38" s="36">
        <f>'0信息维护'!H69</f>
        <v>2</v>
      </c>
      <c r="J38" s="36">
        <f>'0信息维护'!I69</f>
        <v>2</v>
      </c>
      <c r="K38" s="36">
        <f>'0信息维护'!J69</f>
        <v>2</v>
      </c>
      <c r="L38" s="36">
        <f>'0信息维护'!K69</f>
        <v>2</v>
      </c>
      <c r="M38" s="36">
        <f>'0信息维护'!L69</f>
        <v>6</v>
      </c>
      <c r="N38" s="36">
        <f>'0信息维护'!M69</f>
        <v>10</v>
      </c>
      <c r="O38" s="36">
        <f>'0信息维护'!N69</f>
        <v>0</v>
      </c>
      <c r="P38" s="36">
        <f>'0信息维护'!O69</f>
        <v>0</v>
      </c>
      <c r="Q38" s="36">
        <f>'0信息维护'!P69</f>
        <v>0</v>
      </c>
      <c r="R38" s="36">
        <f>'0信息维护'!Q69</f>
        <v>0</v>
      </c>
      <c r="S38" s="36">
        <f>'0信息维护'!R69</f>
        <v>34</v>
      </c>
      <c r="T38" s="36"/>
      <c r="U38" s="36"/>
      <c r="V38" s="58"/>
    </row>
    <row r="39" ht="20.15" customHeight="1" spans="1:21">
      <c r="A39" s="36" t="s">
        <v>38</v>
      </c>
      <c r="B39" s="36"/>
      <c r="C39" s="36" t="s">
        <v>68</v>
      </c>
      <c r="D39" s="36">
        <f>'0信息维护'!C70</f>
        <v>0</v>
      </c>
      <c r="E39" s="36">
        <f>'0信息维护'!D70</f>
        <v>0</v>
      </c>
      <c r="F39" s="36">
        <f>'0信息维护'!E70</f>
        <v>0</v>
      </c>
      <c r="G39" s="36">
        <f>'0信息维护'!F70</f>
        <v>0</v>
      </c>
      <c r="H39" s="36">
        <f>'0信息维护'!G70</f>
        <v>0</v>
      </c>
      <c r="I39" s="36">
        <f>'0信息维护'!H70</f>
        <v>0</v>
      </c>
      <c r="J39" s="36">
        <f>'0信息维护'!I70</f>
        <v>0</v>
      </c>
      <c r="K39" s="36">
        <f>'0信息维护'!J70</f>
        <v>0</v>
      </c>
      <c r="L39" s="36">
        <f>'0信息维护'!K70</f>
        <v>0</v>
      </c>
      <c r="M39" s="36">
        <f>'0信息维护'!L70</f>
        <v>0</v>
      </c>
      <c r="N39" s="36">
        <f>'0信息维护'!M70</f>
        <v>0</v>
      </c>
      <c r="O39" s="36">
        <f>'0信息维护'!N70</f>
        <v>0</v>
      </c>
      <c r="P39" s="36">
        <f>'0信息维护'!O70</f>
        <v>0</v>
      </c>
      <c r="Q39" s="36">
        <f>'0信息维护'!P70</f>
        <v>0</v>
      </c>
      <c r="R39" s="36">
        <f>'0信息维护'!Q70</f>
        <v>0</v>
      </c>
      <c r="S39" s="36"/>
      <c r="T39" s="36"/>
      <c r="U39" s="36"/>
    </row>
    <row r="40" ht="20.15" customHeight="1" spans="1:21">
      <c r="A40" s="36"/>
      <c r="B40" s="36"/>
      <c r="C40" s="36" t="s">
        <v>70</v>
      </c>
      <c r="D40" s="36">
        <f>'0信息维护'!C71</f>
        <v>0</v>
      </c>
      <c r="E40" s="36">
        <f>'0信息维护'!D71</f>
        <v>0</v>
      </c>
      <c r="F40" s="36">
        <f>'0信息维护'!E71</f>
        <v>0</v>
      </c>
      <c r="G40" s="36">
        <f>'0信息维护'!F71</f>
        <v>0</v>
      </c>
      <c r="H40" s="36">
        <f>'0信息维护'!G71</f>
        <v>0</v>
      </c>
      <c r="I40" s="36">
        <f>'0信息维护'!H71</f>
        <v>0</v>
      </c>
      <c r="J40" s="36">
        <f>'0信息维护'!I71</f>
        <v>0</v>
      </c>
      <c r="K40" s="36">
        <f>'0信息维护'!J71</f>
        <v>0</v>
      </c>
      <c r="L40" s="36">
        <f>'0信息维护'!K71</f>
        <v>0</v>
      </c>
      <c r="M40" s="36">
        <f>'0信息维护'!L71</f>
        <v>0</v>
      </c>
      <c r="N40" s="36">
        <f>'0信息维护'!M71</f>
        <v>0</v>
      </c>
      <c r="O40" s="36">
        <f>'0信息维护'!N71</f>
        <v>0</v>
      </c>
      <c r="P40" s="36">
        <f>'0信息维护'!O71</f>
        <v>0</v>
      </c>
      <c r="Q40" s="36">
        <f>'0信息维护'!P71</f>
        <v>0</v>
      </c>
      <c r="R40" s="36">
        <f>'0信息维护'!Q71</f>
        <v>0</v>
      </c>
      <c r="S40" s="36">
        <f>'0信息维护'!R71</f>
        <v>0</v>
      </c>
      <c r="T40" s="36"/>
      <c r="U40" s="36"/>
    </row>
    <row r="41" ht="20.15" customHeight="1" spans="1:21">
      <c r="A41" s="36" t="s">
        <v>40</v>
      </c>
      <c r="B41" s="36"/>
      <c r="C41" s="36" t="s">
        <v>68</v>
      </c>
      <c r="D41" s="36">
        <f>'0信息维护'!C72</f>
        <v>0</v>
      </c>
      <c r="E41" s="36">
        <f>'0信息维护'!D72</f>
        <v>0</v>
      </c>
      <c r="F41" s="36">
        <f>'0信息维护'!E72</f>
        <v>0</v>
      </c>
      <c r="G41" s="36">
        <f>'0信息维护'!F72</f>
        <v>0</v>
      </c>
      <c r="H41" s="36">
        <f>'0信息维护'!G72</f>
        <v>0</v>
      </c>
      <c r="I41" s="36">
        <f>'0信息维护'!H72</f>
        <v>0</v>
      </c>
      <c r="J41" s="36">
        <f>'0信息维护'!I72</f>
        <v>0</v>
      </c>
      <c r="K41" s="36">
        <f>'0信息维护'!J72</f>
        <v>0</v>
      </c>
      <c r="L41" s="36">
        <f>'0信息维护'!K72</f>
        <v>0</v>
      </c>
      <c r="M41" s="36">
        <f>'0信息维护'!L72</f>
        <v>0</v>
      </c>
      <c r="N41" s="36">
        <f>'0信息维护'!M72</f>
        <v>0</v>
      </c>
      <c r="O41" s="36">
        <f>'0信息维护'!N72</f>
        <v>0</v>
      </c>
      <c r="P41" s="36">
        <f>'0信息维护'!O72</f>
        <v>0</v>
      </c>
      <c r="Q41" s="36">
        <f>'0信息维护'!P72</f>
        <v>0</v>
      </c>
      <c r="R41" s="36">
        <f>'0信息维护'!Q72</f>
        <v>0</v>
      </c>
      <c r="S41" s="36"/>
      <c r="T41" s="36"/>
      <c r="U41" s="36"/>
    </row>
    <row r="42" ht="20.15" customHeight="1" spans="1:21">
      <c r="A42" s="36"/>
      <c r="B42" s="36"/>
      <c r="C42" s="36" t="s">
        <v>70</v>
      </c>
      <c r="D42" s="36">
        <f>'0信息维护'!C73</f>
        <v>0</v>
      </c>
      <c r="E42" s="36">
        <f>'0信息维护'!D73</f>
        <v>0</v>
      </c>
      <c r="F42" s="36">
        <f>'0信息维护'!E73</f>
        <v>0</v>
      </c>
      <c r="G42" s="36">
        <f>'0信息维护'!F73</f>
        <v>0</v>
      </c>
      <c r="H42" s="36">
        <f>'0信息维护'!G73</f>
        <v>0</v>
      </c>
      <c r="I42" s="36">
        <f>'0信息维护'!H73</f>
        <v>0</v>
      </c>
      <c r="J42" s="36">
        <f>'0信息维护'!I73</f>
        <v>0</v>
      </c>
      <c r="K42" s="36">
        <f>'0信息维护'!J73</f>
        <v>0</v>
      </c>
      <c r="L42" s="36">
        <f>'0信息维护'!K73</f>
        <v>0</v>
      </c>
      <c r="M42" s="36">
        <f>'0信息维护'!L73</f>
        <v>0</v>
      </c>
      <c r="N42" s="36">
        <f>'0信息维护'!M73</f>
        <v>0</v>
      </c>
      <c r="O42" s="36">
        <f>'0信息维护'!N73</f>
        <v>0</v>
      </c>
      <c r="P42" s="36">
        <f>'0信息维护'!O73</f>
        <v>0</v>
      </c>
      <c r="Q42" s="36">
        <f>'0信息维护'!P73</f>
        <v>0</v>
      </c>
      <c r="R42" s="36">
        <f>'0信息维护'!Q73</f>
        <v>0</v>
      </c>
      <c r="S42" s="36">
        <f>'0信息维护'!R73</f>
        <v>0</v>
      </c>
      <c r="T42" s="36"/>
      <c r="U42" s="36"/>
    </row>
    <row r="43" ht="20.15" customHeight="1" spans="1:21">
      <c r="A43" s="36" t="s">
        <v>41</v>
      </c>
      <c r="B43" s="36"/>
      <c r="C43" s="36" t="s">
        <v>68</v>
      </c>
      <c r="D43" s="36">
        <f>'0信息维护'!C74</f>
        <v>0</v>
      </c>
      <c r="E43" s="36">
        <f>'0信息维护'!D74</f>
        <v>0</v>
      </c>
      <c r="F43" s="36">
        <f>'0信息维护'!E74</f>
        <v>0</v>
      </c>
      <c r="G43" s="36">
        <f>'0信息维护'!F74</f>
        <v>0</v>
      </c>
      <c r="H43" s="36">
        <f>'0信息维护'!G74</f>
        <v>0</v>
      </c>
      <c r="I43" s="36">
        <f>'0信息维护'!H74</f>
        <v>0</v>
      </c>
      <c r="J43" s="36">
        <f>'0信息维护'!I74</f>
        <v>0</v>
      </c>
      <c r="K43" s="36">
        <f>'0信息维护'!J74</f>
        <v>0</v>
      </c>
      <c r="L43" s="36">
        <f>'0信息维护'!K74</f>
        <v>0</v>
      </c>
      <c r="M43" s="36">
        <f>'0信息维护'!L74</f>
        <v>0</v>
      </c>
      <c r="N43" s="36">
        <f>'0信息维护'!M74</f>
        <v>0</v>
      </c>
      <c r="O43" s="36">
        <f>'0信息维护'!N74</f>
        <v>0</v>
      </c>
      <c r="P43" s="36">
        <f>'0信息维护'!O74</f>
        <v>0</v>
      </c>
      <c r="Q43" s="36">
        <f>'0信息维护'!P74</f>
        <v>0</v>
      </c>
      <c r="R43" s="36">
        <f>'0信息维护'!Q74</f>
        <v>0</v>
      </c>
      <c r="S43" s="36"/>
      <c r="T43" s="36"/>
      <c r="U43" s="36"/>
    </row>
    <row r="44" ht="20.15" customHeight="1" spans="1:21">
      <c r="A44" s="36"/>
      <c r="B44" s="36"/>
      <c r="C44" s="36" t="s">
        <v>70</v>
      </c>
      <c r="D44" s="36">
        <f>'0信息维护'!C75</f>
        <v>0</v>
      </c>
      <c r="E44" s="36">
        <f>'0信息维护'!D75</f>
        <v>0</v>
      </c>
      <c r="F44" s="36">
        <f>'0信息维护'!E75</f>
        <v>0</v>
      </c>
      <c r="G44" s="36">
        <f>'0信息维护'!F75</f>
        <v>0</v>
      </c>
      <c r="H44" s="36">
        <f>'0信息维护'!G75</f>
        <v>0</v>
      </c>
      <c r="I44" s="36">
        <f>'0信息维护'!H75</f>
        <v>0</v>
      </c>
      <c r="J44" s="36">
        <f>'0信息维护'!I75</f>
        <v>0</v>
      </c>
      <c r="K44" s="36">
        <f>'0信息维护'!J75</f>
        <v>0</v>
      </c>
      <c r="L44" s="36">
        <f>'0信息维护'!K75</f>
        <v>0</v>
      </c>
      <c r="M44" s="36">
        <f>'0信息维护'!L75</f>
        <v>0</v>
      </c>
      <c r="N44" s="36">
        <f>'0信息维护'!M75</f>
        <v>0</v>
      </c>
      <c r="O44" s="36">
        <f>'0信息维护'!N75</f>
        <v>0</v>
      </c>
      <c r="P44" s="36">
        <f>'0信息维护'!O75</f>
        <v>0</v>
      </c>
      <c r="Q44" s="36">
        <f>'0信息维护'!P75</f>
        <v>0</v>
      </c>
      <c r="R44" s="36">
        <f>'0信息维护'!Q75</f>
        <v>0</v>
      </c>
      <c r="S44" s="36">
        <f>'0信息维护'!R75</f>
        <v>0</v>
      </c>
      <c r="T44" s="36"/>
      <c r="U44" s="36"/>
    </row>
    <row r="45" ht="20.15" customHeight="1" spans="1:21">
      <c r="A45" s="36" t="s">
        <v>42</v>
      </c>
      <c r="B45" s="36"/>
      <c r="C45" s="36" t="s">
        <v>68</v>
      </c>
      <c r="D45" s="36">
        <f>'0信息维护'!C76</f>
        <v>0</v>
      </c>
      <c r="E45" s="36">
        <f>'0信息维护'!D76</f>
        <v>0</v>
      </c>
      <c r="F45" s="36">
        <f>'0信息维护'!E76</f>
        <v>0</v>
      </c>
      <c r="G45" s="36">
        <f>'0信息维护'!F76</f>
        <v>0</v>
      </c>
      <c r="H45" s="36">
        <f>'0信息维护'!G76</f>
        <v>0</v>
      </c>
      <c r="I45" s="36">
        <f>'0信息维护'!H76</f>
        <v>0</v>
      </c>
      <c r="J45" s="36">
        <f>'0信息维护'!I76</f>
        <v>0</v>
      </c>
      <c r="K45" s="36">
        <f>'0信息维护'!J76</f>
        <v>0</v>
      </c>
      <c r="L45" s="36">
        <f>'0信息维护'!K76</f>
        <v>0</v>
      </c>
      <c r="M45" s="36">
        <f>'0信息维护'!L76</f>
        <v>0</v>
      </c>
      <c r="N45" s="36">
        <f>'0信息维护'!M76</f>
        <v>0</v>
      </c>
      <c r="O45" s="36">
        <f>'0信息维护'!N76</f>
        <v>0</v>
      </c>
      <c r="P45" s="36">
        <f>'0信息维护'!O76</f>
        <v>0</v>
      </c>
      <c r="Q45" s="36">
        <f>'0信息维护'!P76</f>
        <v>0</v>
      </c>
      <c r="R45" s="36">
        <f>'0信息维护'!Q76</f>
        <v>0</v>
      </c>
      <c r="S45" s="36"/>
      <c r="T45" s="36"/>
      <c r="U45" s="36"/>
    </row>
    <row r="46" ht="20.15" customHeight="1" spans="1:21">
      <c r="A46" s="36"/>
      <c r="B46" s="36"/>
      <c r="C46" s="36" t="s">
        <v>70</v>
      </c>
      <c r="D46" s="36">
        <f>'0信息维护'!C77</f>
        <v>0</v>
      </c>
      <c r="E46" s="36">
        <f>'0信息维护'!D77</f>
        <v>0</v>
      </c>
      <c r="F46" s="36">
        <f>'0信息维护'!E77</f>
        <v>0</v>
      </c>
      <c r="G46" s="36">
        <f>'0信息维护'!F77</f>
        <v>0</v>
      </c>
      <c r="H46" s="36">
        <f>'0信息维护'!G77</f>
        <v>0</v>
      </c>
      <c r="I46" s="36">
        <f>'0信息维护'!H77</f>
        <v>0</v>
      </c>
      <c r="J46" s="36">
        <f>'0信息维护'!I77</f>
        <v>0</v>
      </c>
      <c r="K46" s="36">
        <f>'0信息维护'!J77</f>
        <v>0</v>
      </c>
      <c r="L46" s="36">
        <f>'0信息维护'!K77</f>
        <v>0</v>
      </c>
      <c r="M46" s="36">
        <f>'0信息维护'!L77</f>
        <v>0</v>
      </c>
      <c r="N46" s="36">
        <f>'0信息维护'!M77</f>
        <v>0</v>
      </c>
      <c r="O46" s="36">
        <f>'0信息维护'!N77</f>
        <v>0</v>
      </c>
      <c r="P46" s="36">
        <f>'0信息维护'!O77</f>
        <v>0</v>
      </c>
      <c r="Q46" s="36">
        <f>'0信息维护'!P77</f>
        <v>0</v>
      </c>
      <c r="R46" s="36">
        <f>'0信息维护'!Q77</f>
        <v>0</v>
      </c>
      <c r="S46" s="36">
        <f>'0信息维护'!R77</f>
        <v>0</v>
      </c>
      <c r="T46" s="36"/>
      <c r="U46" s="36"/>
    </row>
    <row r="47" ht="20.15" customHeight="1" spans="1:21">
      <c r="A47" s="36" t="s">
        <v>72</v>
      </c>
      <c r="B47" s="36"/>
      <c r="C47" s="36"/>
      <c r="D47" s="36"/>
      <c r="E47" s="36"/>
      <c r="F47" s="36"/>
      <c r="G47" s="36"/>
      <c r="H47" s="36"/>
      <c r="I47" s="36"/>
      <c r="J47" s="36"/>
      <c r="K47" s="36"/>
      <c r="L47" s="36"/>
      <c r="M47" s="36"/>
      <c r="N47" s="36"/>
      <c r="O47" s="36"/>
      <c r="P47" s="36"/>
      <c r="Q47" s="36"/>
      <c r="R47" s="36"/>
      <c r="S47" s="59">
        <f>'0信息维护'!R78</f>
        <v>100</v>
      </c>
      <c r="T47" s="59"/>
      <c r="U47" s="59"/>
    </row>
    <row r="48" ht="10" customHeight="1"/>
    <row r="49" ht="20.15" customHeight="1" spans="1:20">
      <c r="A49" s="32" t="s">
        <v>423</v>
      </c>
      <c r="B49" s="32"/>
      <c r="C49" s="32"/>
      <c r="D49" s="32"/>
      <c r="E49" s="32"/>
      <c r="F49" s="32"/>
      <c r="G49" s="32"/>
      <c r="H49" s="32"/>
      <c r="I49" s="32"/>
      <c r="J49" s="32"/>
      <c r="K49" s="32"/>
      <c r="L49" s="32"/>
      <c r="M49" s="32"/>
      <c r="N49" s="32"/>
      <c r="O49" s="32"/>
      <c r="P49" s="32"/>
      <c r="Q49" s="32"/>
      <c r="R49" s="32"/>
      <c r="S49" s="32"/>
      <c r="T49" s="32"/>
    </row>
    <row r="50" ht="30" customHeight="1" spans="1:21">
      <c r="A50" s="44" t="s">
        <v>76</v>
      </c>
      <c r="B50" s="33" t="s">
        <v>424</v>
      </c>
      <c r="C50" s="33"/>
      <c r="D50" s="33"/>
      <c r="E50" s="33"/>
      <c r="F50" s="33"/>
      <c r="G50" s="33"/>
      <c r="H50" s="33"/>
      <c r="I50" s="33"/>
      <c r="J50" s="33"/>
      <c r="K50" s="33" t="s">
        <v>78</v>
      </c>
      <c r="L50" s="33"/>
      <c r="M50" s="33"/>
      <c r="N50" s="33" t="s">
        <v>425</v>
      </c>
      <c r="O50" s="33"/>
      <c r="P50" s="33" t="s">
        <v>404</v>
      </c>
      <c r="Q50" s="33"/>
      <c r="R50" s="33" t="s">
        <v>426</v>
      </c>
      <c r="S50" s="33"/>
      <c r="T50" s="33" t="s">
        <v>427</v>
      </c>
      <c r="U50" s="33"/>
    </row>
    <row r="51" ht="27" customHeight="1" spans="1:21">
      <c r="A51" s="33" t="s">
        <v>29</v>
      </c>
      <c r="B51" s="33" t="s">
        <v>65</v>
      </c>
      <c r="C51" s="33" t="str">
        <f>$C$22</f>
        <v>过程性评价</v>
      </c>
      <c r="D51" s="33" t="str">
        <f>'0信息维护'!$F$85</f>
        <v>平时作业</v>
      </c>
      <c r="E51" s="33"/>
      <c r="F51" s="33"/>
      <c r="G51" s="33"/>
      <c r="H51" s="33"/>
      <c r="I51" s="49">
        <f>C24</f>
        <v>0.4</v>
      </c>
      <c r="J51" s="49"/>
      <c r="K51" s="50">
        <f>'0信息维护'!$I85</f>
        <v>40</v>
      </c>
      <c r="L51" s="50"/>
      <c r="M51" s="50"/>
      <c r="N51" s="51">
        <f ca="1">SUM(OFFSET('1课程考核方式及成绩组成'!$F$10,0,8*(ROW(N51)-51),150,1))/'0信息维护'!$M$6</f>
        <v>35.9219858156028</v>
      </c>
      <c r="O51" s="51"/>
      <c r="P51" s="51">
        <f ca="1">IF(I51=0,0,N51/K51)</f>
        <v>0.898049645390071</v>
      </c>
      <c r="Q51" s="51"/>
      <c r="R51" s="59">
        <f>'0信息维护'!D132</f>
        <v>0.15</v>
      </c>
      <c r="S51" s="59"/>
      <c r="T51" s="60">
        <f ca="1">SUMPRODUCT(I51:J56,P51:Q56)</f>
        <v>0.84645390070922</v>
      </c>
      <c r="U51" s="60"/>
    </row>
    <row r="52" ht="27" customHeight="1" spans="1:21">
      <c r="A52" s="33"/>
      <c r="B52" s="33"/>
      <c r="C52" s="33"/>
      <c r="D52" s="33" t="str">
        <f>'0信息维护'!$F$86</f>
        <v>实验考核</v>
      </c>
      <c r="E52" s="33"/>
      <c r="F52" s="33"/>
      <c r="G52" s="33"/>
      <c r="H52" s="33"/>
      <c r="I52" s="49">
        <f>F24</f>
        <v>0</v>
      </c>
      <c r="J52" s="49"/>
      <c r="K52" s="50">
        <f>'0信息维护'!$I86</f>
        <v>0</v>
      </c>
      <c r="L52" s="50"/>
      <c r="M52" s="50"/>
      <c r="N52" s="51">
        <f ca="1">SUM(OFFSET('1课程考核方式及成绩组成'!$F$10,0,8*(ROW(N52)-51),150,1))/'0信息维护'!$M$6</f>
        <v>0</v>
      </c>
      <c r="O52" s="51"/>
      <c r="P52" s="51">
        <f ca="1">IF(I52=0,0,N52/K52)</f>
        <v>0</v>
      </c>
      <c r="Q52" s="51"/>
      <c r="R52" s="59"/>
      <c r="S52" s="59"/>
      <c r="T52" s="60"/>
      <c r="U52" s="60"/>
    </row>
    <row r="53" ht="27" customHeight="1" spans="1:21">
      <c r="A53" s="33"/>
      <c r="B53" s="33"/>
      <c r="C53" s="33"/>
      <c r="D53" s="33">
        <f>'0信息维护'!$F$87</f>
        <v>0</v>
      </c>
      <c r="E53" s="33"/>
      <c r="F53" s="33"/>
      <c r="G53" s="33"/>
      <c r="H53" s="33"/>
      <c r="I53" s="49">
        <f>I24</f>
        <v>0</v>
      </c>
      <c r="J53" s="49"/>
      <c r="K53" s="50">
        <f>'0信息维护'!$I87</f>
        <v>0</v>
      </c>
      <c r="L53" s="50"/>
      <c r="M53" s="50"/>
      <c r="N53" s="51">
        <f ca="1">SUM(OFFSET('1课程考核方式及成绩组成'!$F$10,0,8*(ROW(N53)-51),150,1))/'0信息维护'!$M$6</f>
        <v>0</v>
      </c>
      <c r="O53" s="51"/>
      <c r="P53" s="51">
        <f ca="1" t="shared" ref="P53:P68" si="0">IF(I53=0,0,N53/K53)</f>
        <v>0</v>
      </c>
      <c r="Q53" s="51"/>
      <c r="R53" s="59"/>
      <c r="S53" s="59"/>
      <c r="T53" s="60"/>
      <c r="U53" s="60"/>
    </row>
    <row r="54" ht="27" customHeight="1" spans="1:21">
      <c r="A54" s="33"/>
      <c r="B54" s="33"/>
      <c r="C54" s="33"/>
      <c r="D54" s="33">
        <f>'0信息维护'!$F$88</f>
        <v>0</v>
      </c>
      <c r="E54" s="33"/>
      <c r="F54" s="33"/>
      <c r="G54" s="33"/>
      <c r="H54" s="33"/>
      <c r="I54" s="49">
        <f>L24</f>
        <v>0</v>
      </c>
      <c r="J54" s="49"/>
      <c r="K54" s="50">
        <f>'0信息维护'!$I88</f>
        <v>0</v>
      </c>
      <c r="L54" s="50"/>
      <c r="M54" s="50"/>
      <c r="N54" s="51">
        <f ca="1">SUM(OFFSET('1课程考核方式及成绩组成'!$F$10,0,8*(ROW(N54)-51),150,1))/'0信息维护'!$M$6</f>
        <v>0</v>
      </c>
      <c r="O54" s="51"/>
      <c r="P54" s="51">
        <f ca="1" t="shared" si="0"/>
        <v>0</v>
      </c>
      <c r="Q54" s="51"/>
      <c r="R54" s="59"/>
      <c r="S54" s="59"/>
      <c r="T54" s="60"/>
      <c r="U54" s="60"/>
    </row>
    <row r="55" ht="27" customHeight="1" spans="1:21">
      <c r="A55" s="33"/>
      <c r="B55" s="33"/>
      <c r="C55" s="33" t="str">
        <f>$O$22</f>
        <v>结果性评价</v>
      </c>
      <c r="D55" s="33"/>
      <c r="E55" s="33"/>
      <c r="F55" s="33"/>
      <c r="G55" s="33"/>
      <c r="H55" s="33"/>
      <c r="I55" s="49">
        <f>O24</f>
        <v>0.4</v>
      </c>
      <c r="J55" s="49"/>
      <c r="K55" s="50">
        <f>'0信息维护'!$I89</f>
        <v>36</v>
      </c>
      <c r="L55" s="50"/>
      <c r="M55" s="50"/>
      <c r="N55" s="51">
        <f ca="1">SUM(OFFSET('1课程考核方式及成绩组成'!$F$10,0,8*(ROW(N55)-51),150,1))/'0信息维护'!$M$6</f>
        <v>26.7446808510638</v>
      </c>
      <c r="O55" s="51"/>
      <c r="P55" s="51">
        <f ca="1" t="shared" si="0"/>
        <v>0.74290780141844</v>
      </c>
      <c r="Q55" s="51"/>
      <c r="R55" s="59"/>
      <c r="S55" s="59"/>
      <c r="T55" s="60"/>
      <c r="U55" s="60"/>
    </row>
    <row r="56" ht="27" customHeight="1" spans="1:21">
      <c r="A56" s="33"/>
      <c r="B56" s="33" t="str">
        <f>$R$21</f>
        <v>间接评价</v>
      </c>
      <c r="C56" s="33"/>
      <c r="D56" s="33"/>
      <c r="E56" s="33"/>
      <c r="F56" s="33"/>
      <c r="G56" s="33"/>
      <c r="H56" s="33"/>
      <c r="I56" s="49">
        <f>SUM(R24:T24)</f>
        <v>0.2</v>
      </c>
      <c r="J56" s="49"/>
      <c r="K56" s="50">
        <f>'0信息维护'!$I90</f>
        <v>1</v>
      </c>
      <c r="L56" s="50"/>
      <c r="M56" s="50"/>
      <c r="N56" s="51">
        <f>'2间接评价'!F30</f>
        <v>0.950354609929078</v>
      </c>
      <c r="O56" s="51"/>
      <c r="P56" s="51">
        <f t="shared" si="0"/>
        <v>0.950354609929078</v>
      </c>
      <c r="Q56" s="51"/>
      <c r="R56" s="59"/>
      <c r="S56" s="59"/>
      <c r="T56" s="60"/>
      <c r="U56" s="60"/>
    </row>
    <row r="57" ht="27" customHeight="1" spans="1:21">
      <c r="A57" s="33" t="s">
        <v>32</v>
      </c>
      <c r="B57" s="33" t="s">
        <v>65</v>
      </c>
      <c r="C57" s="33" t="str">
        <f>$C$22</f>
        <v>过程性评价</v>
      </c>
      <c r="D57" s="33" t="str">
        <f>'0信息维护'!$F$85</f>
        <v>平时作业</v>
      </c>
      <c r="E57" s="33"/>
      <c r="F57" s="33"/>
      <c r="G57" s="33"/>
      <c r="H57" s="33"/>
      <c r="I57" s="49">
        <f>C25</f>
        <v>0.4</v>
      </c>
      <c r="J57" s="49"/>
      <c r="K57" s="50">
        <f>'0信息维护'!$I91</f>
        <v>60</v>
      </c>
      <c r="L57" s="50"/>
      <c r="M57" s="50"/>
      <c r="N57" s="51">
        <f ca="1">SUM(OFFSET('1课程考核方式及成绩组成'!$F$10,0,8*(ROW(N57)-57)+1,150,1))/'0信息维护'!$M$6</f>
        <v>54.3120567375887</v>
      </c>
      <c r="O57" s="51"/>
      <c r="P57" s="51">
        <f ca="1" t="shared" si="0"/>
        <v>0.905200945626478</v>
      </c>
      <c r="Q57" s="51"/>
      <c r="R57" s="59">
        <f>'0信息维护'!D133</f>
        <v>0.3</v>
      </c>
      <c r="S57" s="59"/>
      <c r="T57" s="60">
        <f ca="1">SUMPRODUCT(I57:J62,P57:Q62)</f>
        <v>0.817115839243499</v>
      </c>
      <c r="U57" s="60"/>
    </row>
    <row r="58" ht="27" customHeight="1" spans="1:21">
      <c r="A58" s="33"/>
      <c r="B58" s="33"/>
      <c r="C58" s="33"/>
      <c r="D58" s="33" t="str">
        <f>'0信息维护'!$F$86</f>
        <v>实验考核</v>
      </c>
      <c r="E58" s="33"/>
      <c r="F58" s="33"/>
      <c r="G58" s="33"/>
      <c r="H58" s="33"/>
      <c r="I58" s="49">
        <f>F25</f>
        <v>0</v>
      </c>
      <c r="J58" s="49"/>
      <c r="K58" s="50">
        <f>'0信息维护'!$I92</f>
        <v>0</v>
      </c>
      <c r="L58" s="50"/>
      <c r="M58" s="50"/>
      <c r="N58" s="51">
        <f ca="1">SUM(OFFSET('1课程考核方式及成绩组成'!$F$10,0,8*(ROW(N58)-57)+1,150,1))/'0信息维护'!$M$6</f>
        <v>0</v>
      </c>
      <c r="O58" s="51"/>
      <c r="P58" s="51">
        <f ca="1" t="shared" si="0"/>
        <v>0</v>
      </c>
      <c r="Q58" s="51"/>
      <c r="R58" s="59"/>
      <c r="S58" s="59"/>
      <c r="T58" s="60"/>
      <c r="U58" s="60"/>
    </row>
    <row r="59" ht="27" customHeight="1" spans="1:21">
      <c r="A59" s="33"/>
      <c r="B59" s="33"/>
      <c r="C59" s="33"/>
      <c r="D59" s="33">
        <f>'0信息维护'!$F$87</f>
        <v>0</v>
      </c>
      <c r="E59" s="33"/>
      <c r="F59" s="33"/>
      <c r="G59" s="33"/>
      <c r="H59" s="33"/>
      <c r="I59" s="49">
        <f>I25</f>
        <v>0</v>
      </c>
      <c r="J59" s="49"/>
      <c r="K59" s="50">
        <f>'0信息维护'!$I93</f>
        <v>0</v>
      </c>
      <c r="L59" s="50"/>
      <c r="M59" s="50"/>
      <c r="N59" s="51">
        <f ca="1">SUM(OFFSET('1课程考核方式及成绩组成'!$F$10,0,8*(ROW(N59)-57)+1,150,1))/'0信息维护'!$M$6</f>
        <v>0</v>
      </c>
      <c r="O59" s="51"/>
      <c r="P59" s="51">
        <f ca="1" t="shared" si="0"/>
        <v>0</v>
      </c>
      <c r="Q59" s="51"/>
      <c r="R59" s="59"/>
      <c r="S59" s="59"/>
      <c r="T59" s="60"/>
      <c r="U59" s="60"/>
    </row>
    <row r="60" ht="27" customHeight="1" spans="1:21">
      <c r="A60" s="33"/>
      <c r="B60" s="33"/>
      <c r="C60" s="33"/>
      <c r="D60" s="33">
        <f>'0信息维护'!$F$88</f>
        <v>0</v>
      </c>
      <c r="E60" s="33"/>
      <c r="F60" s="33"/>
      <c r="G60" s="33"/>
      <c r="H60" s="33"/>
      <c r="I60" s="49">
        <f>L25</f>
        <v>0</v>
      </c>
      <c r="J60" s="49"/>
      <c r="K60" s="50">
        <f>'0信息维护'!$I94</f>
        <v>0</v>
      </c>
      <c r="L60" s="50"/>
      <c r="M60" s="50"/>
      <c r="N60" s="51">
        <f ca="1">SUM(OFFSET('1课程考核方式及成绩组成'!$F$10,0,8*(ROW(N60)-57)+1,150,1))/'0信息维护'!$M$6</f>
        <v>0</v>
      </c>
      <c r="O60" s="51"/>
      <c r="P60" s="51">
        <f ca="1" t="shared" si="0"/>
        <v>0</v>
      </c>
      <c r="Q60" s="51"/>
      <c r="R60" s="59"/>
      <c r="S60" s="59"/>
      <c r="T60" s="60"/>
      <c r="U60" s="60"/>
    </row>
    <row r="61" ht="27" customHeight="1" spans="1:21">
      <c r="A61" s="33"/>
      <c r="B61" s="33"/>
      <c r="C61" s="33" t="str">
        <f>$O$22</f>
        <v>结果性评价</v>
      </c>
      <c r="D61" s="33"/>
      <c r="E61" s="33"/>
      <c r="F61" s="33"/>
      <c r="G61" s="33"/>
      <c r="H61" s="33"/>
      <c r="I61" s="49">
        <f>O25</f>
        <v>0.4</v>
      </c>
      <c r="J61" s="49"/>
      <c r="K61" s="50">
        <f>'0信息维护'!$I95</f>
        <v>30</v>
      </c>
      <c r="L61" s="50"/>
      <c r="M61" s="50"/>
      <c r="N61" s="51">
        <f ca="1">SUM(OFFSET('1课程考核方式及成绩组成'!$F$10,0,8*(ROW(N61)-57)+1,150,1))/'0信息维护'!$M$6</f>
        <v>19.6382978723404</v>
      </c>
      <c r="O61" s="51"/>
      <c r="P61" s="51">
        <f ca="1" t="shared" si="0"/>
        <v>0.654609929078014</v>
      </c>
      <c r="Q61" s="51"/>
      <c r="R61" s="59"/>
      <c r="S61" s="59"/>
      <c r="T61" s="60"/>
      <c r="U61" s="60"/>
    </row>
    <row r="62" ht="27" customHeight="1" spans="1:21">
      <c r="A62" s="33"/>
      <c r="B62" s="33" t="str">
        <f>$R$21</f>
        <v>间接评价</v>
      </c>
      <c r="C62" s="33"/>
      <c r="D62" s="33"/>
      <c r="E62" s="33"/>
      <c r="F62" s="33"/>
      <c r="G62" s="33"/>
      <c r="H62" s="33"/>
      <c r="I62" s="49">
        <f>SUM(R25:T25)</f>
        <v>0.2</v>
      </c>
      <c r="J62" s="49"/>
      <c r="K62" s="50">
        <f>'0信息维护'!$I96</f>
        <v>1</v>
      </c>
      <c r="L62" s="50"/>
      <c r="M62" s="50"/>
      <c r="N62" s="51">
        <f>'2间接评价'!F31</f>
        <v>0.965957446808511</v>
      </c>
      <c r="O62" s="51"/>
      <c r="P62" s="51">
        <f t="shared" si="0"/>
        <v>0.965957446808511</v>
      </c>
      <c r="Q62" s="51"/>
      <c r="R62" s="59"/>
      <c r="S62" s="59"/>
      <c r="T62" s="60"/>
      <c r="U62" s="60"/>
    </row>
    <row r="63" ht="27" customHeight="1" spans="1:21">
      <c r="A63" s="33" t="s">
        <v>35</v>
      </c>
      <c r="B63" s="33" t="s">
        <v>65</v>
      </c>
      <c r="C63" s="33" t="str">
        <f>$C$22</f>
        <v>过程性评价</v>
      </c>
      <c r="D63" s="33" t="str">
        <f>'0信息维护'!$F$85</f>
        <v>平时作业</v>
      </c>
      <c r="E63" s="33"/>
      <c r="F63" s="33"/>
      <c r="G63" s="33"/>
      <c r="H63" s="33"/>
      <c r="I63" s="49">
        <f>C26</f>
        <v>0</v>
      </c>
      <c r="J63" s="49"/>
      <c r="K63" s="50">
        <f>'0信息维护'!$I97</f>
        <v>0</v>
      </c>
      <c r="L63" s="50"/>
      <c r="M63" s="50"/>
      <c r="N63" s="51">
        <f ca="1">SUM(OFFSET('1课程考核方式及成绩组成'!$F$10,0,8*(ROW(N63)-63)+2,150,1))/'0信息维护'!$M$6</f>
        <v>0</v>
      </c>
      <c r="O63" s="51"/>
      <c r="P63" s="51">
        <f ca="1" t="shared" si="0"/>
        <v>0</v>
      </c>
      <c r="Q63" s="51"/>
      <c r="R63" s="59">
        <f>'0信息维护'!D134</f>
        <v>0.25</v>
      </c>
      <c r="S63" s="59"/>
      <c r="T63" s="60">
        <f ca="1">SUMPRODUCT(I63:J68,P63:Q68)</f>
        <v>0.63909887359199</v>
      </c>
      <c r="U63" s="60"/>
    </row>
    <row r="64" ht="27" customHeight="1" spans="1:21">
      <c r="A64" s="33"/>
      <c r="B64" s="33"/>
      <c r="C64" s="33"/>
      <c r="D64" s="33" t="str">
        <f>'0信息维护'!$F$86</f>
        <v>实验考核</v>
      </c>
      <c r="E64" s="33"/>
      <c r="F64" s="33"/>
      <c r="G64" s="33"/>
      <c r="H64" s="33"/>
      <c r="I64" s="49">
        <f>F26</f>
        <v>0</v>
      </c>
      <c r="J64" s="49"/>
      <c r="K64" s="50">
        <f>'0信息维护'!$I98</f>
        <v>0</v>
      </c>
      <c r="L64" s="50"/>
      <c r="M64" s="50"/>
      <c r="N64" s="51">
        <f ca="1">SUM(OFFSET('1课程考核方式及成绩组成'!$F$10,0,8*(ROW(N64)-63)+2,150,1))/'0信息维护'!$M$6</f>
        <v>0</v>
      </c>
      <c r="O64" s="51"/>
      <c r="P64" s="51">
        <f ca="1" t="shared" si="0"/>
        <v>0</v>
      </c>
      <c r="Q64" s="51"/>
      <c r="R64" s="59"/>
      <c r="S64" s="59"/>
      <c r="T64" s="60"/>
      <c r="U64" s="60"/>
    </row>
    <row r="65" ht="27" customHeight="1" spans="1:21">
      <c r="A65" s="33"/>
      <c r="B65" s="33"/>
      <c r="C65" s="33"/>
      <c r="D65" s="33">
        <f>'0信息维护'!$F$87</f>
        <v>0</v>
      </c>
      <c r="E65" s="33"/>
      <c r="F65" s="33"/>
      <c r="G65" s="33"/>
      <c r="H65" s="33"/>
      <c r="I65" s="49">
        <f>I26</f>
        <v>0</v>
      </c>
      <c r="J65" s="49"/>
      <c r="K65" s="50">
        <f>'0信息维护'!$I99</f>
        <v>0</v>
      </c>
      <c r="L65" s="50"/>
      <c r="M65" s="50"/>
      <c r="N65" s="51">
        <f ca="1">SUM(OFFSET('1课程考核方式及成绩组成'!$F$10,0,8*(ROW(N65)-63)+2,150,1))/'0信息维护'!$M$6</f>
        <v>0</v>
      </c>
      <c r="O65" s="51"/>
      <c r="P65" s="51">
        <f ca="1" t="shared" si="0"/>
        <v>0</v>
      </c>
      <c r="Q65" s="51"/>
      <c r="R65" s="59"/>
      <c r="S65" s="59"/>
      <c r="T65" s="60"/>
      <c r="U65" s="60"/>
    </row>
    <row r="66" ht="27" customHeight="1" spans="1:21">
      <c r="A66" s="33"/>
      <c r="B66" s="33"/>
      <c r="C66" s="33"/>
      <c r="D66" s="33">
        <f>'0信息维护'!$F$88</f>
        <v>0</v>
      </c>
      <c r="E66" s="33"/>
      <c r="F66" s="33"/>
      <c r="G66" s="33"/>
      <c r="H66" s="33"/>
      <c r="I66" s="49">
        <f>L26</f>
        <v>0</v>
      </c>
      <c r="J66" s="49"/>
      <c r="K66" s="50">
        <f>'0信息维护'!$I100</f>
        <v>0</v>
      </c>
      <c r="L66" s="50"/>
      <c r="M66" s="50"/>
      <c r="N66" s="51">
        <f ca="1">SUM(OFFSET('1课程考核方式及成绩组成'!$F$10,0,8*(ROW(N66)-63)+2,150,1))/'0信息维护'!$M$6</f>
        <v>0</v>
      </c>
      <c r="O66" s="51"/>
      <c r="P66" s="51">
        <f ca="1" t="shared" si="0"/>
        <v>0</v>
      </c>
      <c r="Q66" s="51"/>
      <c r="R66" s="59"/>
      <c r="S66" s="59"/>
      <c r="T66" s="60"/>
      <c r="U66" s="60"/>
    </row>
    <row r="67" ht="27" customHeight="1" spans="1:21">
      <c r="A67" s="33"/>
      <c r="B67" s="33"/>
      <c r="C67" s="33" t="str">
        <f>$O$22</f>
        <v>结果性评价</v>
      </c>
      <c r="D67" s="33"/>
      <c r="E67" s="33"/>
      <c r="F67" s="33"/>
      <c r="G67" s="33"/>
      <c r="H67" s="33"/>
      <c r="I67" s="49">
        <f>O26</f>
        <v>0.8</v>
      </c>
      <c r="J67" s="49"/>
      <c r="K67" s="50">
        <f>'0信息维护'!$I101</f>
        <v>34</v>
      </c>
      <c r="L67" s="50"/>
      <c r="M67" s="50"/>
      <c r="N67" s="51">
        <f ca="1">SUM(OFFSET('1课程考核方式及成绩组成'!$F$10,0,8*(ROW(N67)-63)+2,150,1))/'0信息维护'!$M$6</f>
        <v>19.0354609929078</v>
      </c>
      <c r="O67" s="51"/>
      <c r="P67" s="51">
        <f ca="1" t="shared" si="0"/>
        <v>0.559866499791406</v>
      </c>
      <c r="Q67" s="51"/>
      <c r="R67" s="59"/>
      <c r="S67" s="59"/>
      <c r="T67" s="60"/>
      <c r="U67" s="60"/>
    </row>
    <row r="68" ht="27" customHeight="1" spans="1:21">
      <c r="A68" s="33"/>
      <c r="B68" s="33" t="str">
        <f>$R$21</f>
        <v>间接评价</v>
      </c>
      <c r="C68" s="33"/>
      <c r="D68" s="33"/>
      <c r="E68" s="33"/>
      <c r="F68" s="33"/>
      <c r="G68" s="33"/>
      <c r="H68" s="33"/>
      <c r="I68" s="49">
        <f>SUM(R26:T26)</f>
        <v>0.2</v>
      </c>
      <c r="J68" s="49"/>
      <c r="K68" s="50">
        <f>'0信息维护'!$I102</f>
        <v>1</v>
      </c>
      <c r="L68" s="50"/>
      <c r="M68" s="50"/>
      <c r="N68" s="51">
        <f>'2间接评价'!F32</f>
        <v>0.956028368794326</v>
      </c>
      <c r="O68" s="51"/>
      <c r="P68" s="51">
        <f t="shared" si="0"/>
        <v>0.956028368794326</v>
      </c>
      <c r="Q68" s="51"/>
      <c r="R68" s="59"/>
      <c r="S68" s="59"/>
      <c r="T68" s="60"/>
      <c r="U68" s="60"/>
    </row>
    <row r="69" ht="27" customHeight="1" spans="1:21">
      <c r="A69" s="33" t="s">
        <v>38</v>
      </c>
      <c r="B69" s="33" t="s">
        <v>65</v>
      </c>
      <c r="C69" s="33" t="str">
        <f>$C$22</f>
        <v>过程性评价</v>
      </c>
      <c r="D69" s="33" t="str">
        <f>'0信息维护'!$F$85</f>
        <v>平时作业</v>
      </c>
      <c r="E69" s="33"/>
      <c r="F69" s="33"/>
      <c r="G69" s="33"/>
      <c r="H69" s="33"/>
      <c r="I69" s="49">
        <f>C27</f>
        <v>0</v>
      </c>
      <c r="J69" s="49"/>
      <c r="K69" s="50">
        <f>'0信息维护'!$I103</f>
        <v>0</v>
      </c>
      <c r="L69" s="50"/>
      <c r="M69" s="50"/>
      <c r="N69" s="51">
        <f ca="1">SUM(OFFSET('1课程考核方式及成绩组成'!$F$10,0,8*(ROW(N69)-69)+3,150,1))/'0信息维护'!$M$6</f>
        <v>0</v>
      </c>
      <c r="O69" s="51"/>
      <c r="P69" s="51">
        <f ca="1" t="shared" ref="P69:P74" si="1">IF(I69=0,0,N69/K69)</f>
        <v>0</v>
      </c>
      <c r="Q69" s="51"/>
      <c r="R69" s="59">
        <f>'0信息维护'!D135</f>
        <v>0.3</v>
      </c>
      <c r="S69" s="59"/>
      <c r="T69" s="60">
        <f ca="1">SUMPRODUCT(I69:J74,P69:Q74)</f>
        <v>0.823035460992908</v>
      </c>
      <c r="U69" s="60"/>
    </row>
    <row r="70" ht="27" customHeight="1" spans="1:21">
      <c r="A70" s="33"/>
      <c r="B70" s="33"/>
      <c r="C70" s="33"/>
      <c r="D70" s="33" t="str">
        <f>'0信息维护'!$F$86</f>
        <v>实验考核</v>
      </c>
      <c r="E70" s="33"/>
      <c r="F70" s="33"/>
      <c r="G70" s="33"/>
      <c r="H70" s="33"/>
      <c r="I70" s="49">
        <f>F27</f>
        <v>0.8</v>
      </c>
      <c r="J70" s="49"/>
      <c r="K70" s="50">
        <f>'0信息维护'!$I104</f>
        <v>100</v>
      </c>
      <c r="L70" s="50"/>
      <c r="M70" s="50"/>
      <c r="N70" s="51">
        <f ca="1">SUM(OFFSET('1课程考核方式及成绩组成'!$F$10,0,8*(ROW(N70)-69)+3,150,1))/'0信息维护'!$M$6</f>
        <v>78.8014184397163</v>
      </c>
      <c r="O70" s="51"/>
      <c r="P70" s="51">
        <f ca="1" t="shared" si="1"/>
        <v>0.788014184397163</v>
      </c>
      <c r="Q70" s="51"/>
      <c r="R70" s="59"/>
      <c r="S70" s="59"/>
      <c r="T70" s="60"/>
      <c r="U70" s="60"/>
    </row>
    <row r="71" ht="27" customHeight="1" spans="1:21">
      <c r="A71" s="33"/>
      <c r="B71" s="33"/>
      <c r="C71" s="33"/>
      <c r="D71" s="33">
        <f>'0信息维护'!$F$87</f>
        <v>0</v>
      </c>
      <c r="E71" s="33"/>
      <c r="F71" s="33"/>
      <c r="G71" s="33"/>
      <c r="H71" s="33"/>
      <c r="I71" s="49">
        <f>I27</f>
        <v>0</v>
      </c>
      <c r="J71" s="49"/>
      <c r="K71" s="50">
        <f>'0信息维护'!$I105</f>
        <v>0</v>
      </c>
      <c r="L71" s="50"/>
      <c r="M71" s="50"/>
      <c r="N71" s="51">
        <f ca="1">SUM(OFFSET('1课程考核方式及成绩组成'!$F$10,0,8*(ROW(N71)-69)+3,150,1))/'0信息维护'!$M$6</f>
        <v>0</v>
      </c>
      <c r="O71" s="51"/>
      <c r="P71" s="51">
        <f ca="1" t="shared" si="1"/>
        <v>0</v>
      </c>
      <c r="Q71" s="51"/>
      <c r="R71" s="59"/>
      <c r="S71" s="59"/>
      <c r="T71" s="60"/>
      <c r="U71" s="60"/>
    </row>
    <row r="72" ht="27" customHeight="1" spans="1:21">
      <c r="A72" s="33"/>
      <c r="B72" s="33"/>
      <c r="C72" s="33"/>
      <c r="D72" s="33">
        <f>'0信息维护'!$F$88</f>
        <v>0</v>
      </c>
      <c r="E72" s="33"/>
      <c r="F72" s="33"/>
      <c r="G72" s="33"/>
      <c r="H72" s="33"/>
      <c r="I72" s="49">
        <f>L27</f>
        <v>0</v>
      </c>
      <c r="J72" s="49"/>
      <c r="K72" s="50">
        <f>'0信息维护'!$I106</f>
        <v>0</v>
      </c>
      <c r="L72" s="50"/>
      <c r="M72" s="50"/>
      <c r="N72" s="51">
        <f ca="1">SUM(OFFSET('1课程考核方式及成绩组成'!$F$10,0,8*(ROW(N72)-69)+3,150,1))/'0信息维护'!$M$6</f>
        <v>0</v>
      </c>
      <c r="O72" s="51"/>
      <c r="P72" s="51">
        <f ca="1" t="shared" si="1"/>
        <v>0</v>
      </c>
      <c r="Q72" s="51"/>
      <c r="R72" s="59"/>
      <c r="S72" s="59"/>
      <c r="T72" s="60"/>
      <c r="U72" s="60"/>
    </row>
    <row r="73" ht="27" customHeight="1" spans="1:21">
      <c r="A73" s="33"/>
      <c r="B73" s="33"/>
      <c r="C73" s="33" t="str">
        <f>$O$22</f>
        <v>结果性评价</v>
      </c>
      <c r="D73" s="33"/>
      <c r="E73" s="33"/>
      <c r="F73" s="33"/>
      <c r="G73" s="33"/>
      <c r="H73" s="33"/>
      <c r="I73" s="49">
        <f>O27</f>
        <v>0</v>
      </c>
      <c r="J73" s="49"/>
      <c r="K73" s="50">
        <f>'0信息维护'!$I107</f>
        <v>0</v>
      </c>
      <c r="L73" s="50"/>
      <c r="M73" s="50"/>
      <c r="N73" s="51">
        <f ca="1">SUM(OFFSET('1课程考核方式及成绩组成'!$F$10,0,8*(ROW(N73)-69)+3,150,1))/'0信息维护'!$M$6</f>
        <v>0</v>
      </c>
      <c r="O73" s="51"/>
      <c r="P73" s="51">
        <f ca="1" t="shared" si="1"/>
        <v>0</v>
      </c>
      <c r="Q73" s="51"/>
      <c r="R73" s="59"/>
      <c r="S73" s="59"/>
      <c r="T73" s="60"/>
      <c r="U73" s="60"/>
    </row>
    <row r="74" ht="27" customHeight="1" spans="1:21">
      <c r="A74" s="33"/>
      <c r="B74" s="33" t="str">
        <f>$R$21</f>
        <v>间接评价</v>
      </c>
      <c r="C74" s="33"/>
      <c r="D74" s="33"/>
      <c r="E74" s="33"/>
      <c r="F74" s="33"/>
      <c r="G74" s="33"/>
      <c r="H74" s="33"/>
      <c r="I74" s="49">
        <f>SUM(R27:T27)</f>
        <v>0.2</v>
      </c>
      <c r="J74" s="49"/>
      <c r="K74" s="50">
        <f>'0信息维护'!$I108</f>
        <v>1</v>
      </c>
      <c r="L74" s="50"/>
      <c r="M74" s="50"/>
      <c r="N74" s="51">
        <f>'2间接评价'!F33</f>
        <v>0.963120567375887</v>
      </c>
      <c r="O74" s="51"/>
      <c r="P74" s="51">
        <f t="shared" si="1"/>
        <v>0.963120567375887</v>
      </c>
      <c r="Q74" s="51"/>
      <c r="R74" s="59"/>
      <c r="S74" s="59"/>
      <c r="T74" s="60"/>
      <c r="U74" s="60"/>
    </row>
    <row r="75" ht="27" customHeight="1" spans="1:21">
      <c r="A75" s="33" t="s">
        <v>40</v>
      </c>
      <c r="B75" s="33" t="s">
        <v>65</v>
      </c>
      <c r="C75" s="33" t="str">
        <f>$C$22</f>
        <v>过程性评价</v>
      </c>
      <c r="D75" s="33" t="str">
        <f>'0信息维护'!$F$85</f>
        <v>平时作业</v>
      </c>
      <c r="E75" s="33"/>
      <c r="F75" s="33"/>
      <c r="G75" s="33"/>
      <c r="H75" s="33"/>
      <c r="I75" s="49">
        <f>C28</f>
        <v>0</v>
      </c>
      <c r="J75" s="49"/>
      <c r="K75" s="50">
        <f>'0信息维护'!$I109</f>
        <v>0</v>
      </c>
      <c r="L75" s="50"/>
      <c r="M75" s="50"/>
      <c r="N75" s="51">
        <f ca="1">SUM(OFFSET('1课程考核方式及成绩组成'!$F$10,0,8*(ROW(N75)-75)+4,150,1))/'0信息维护'!$M$6</f>
        <v>0</v>
      </c>
      <c r="O75" s="51"/>
      <c r="P75" s="51">
        <f ca="1" t="shared" ref="P75:P86" si="2">IF(I75=0,0,N75/K75)</f>
        <v>0</v>
      </c>
      <c r="Q75" s="51"/>
      <c r="R75" s="59">
        <f>'0信息维护'!D136</f>
        <v>0</v>
      </c>
      <c r="S75" s="59"/>
      <c r="T75" s="60">
        <f ca="1">SUMPRODUCT(I75:J80,P75:Q80)</f>
        <v>0</v>
      </c>
      <c r="U75" s="60"/>
    </row>
    <row r="76" ht="27" customHeight="1" spans="1:21">
      <c r="A76" s="33"/>
      <c r="B76" s="33"/>
      <c r="C76" s="33"/>
      <c r="D76" s="33" t="str">
        <f>'0信息维护'!$F$86</f>
        <v>实验考核</v>
      </c>
      <c r="E76" s="33"/>
      <c r="F76" s="33"/>
      <c r="G76" s="33"/>
      <c r="H76" s="33"/>
      <c r="I76" s="49">
        <f>F28</f>
        <v>0</v>
      </c>
      <c r="J76" s="49"/>
      <c r="K76" s="50">
        <f>'0信息维护'!$I110</f>
        <v>0</v>
      </c>
      <c r="L76" s="50"/>
      <c r="M76" s="50"/>
      <c r="N76" s="51">
        <f ca="1">SUM(OFFSET('1课程考核方式及成绩组成'!$F$10,0,8*(ROW(N76)-75)+4,150,1))/'0信息维护'!$M$6</f>
        <v>0</v>
      </c>
      <c r="O76" s="51"/>
      <c r="P76" s="51">
        <f ca="1" t="shared" si="2"/>
        <v>0</v>
      </c>
      <c r="Q76" s="51"/>
      <c r="R76" s="59"/>
      <c r="S76" s="59"/>
      <c r="T76" s="60"/>
      <c r="U76" s="60"/>
    </row>
    <row r="77" ht="27" customHeight="1" spans="1:21">
      <c r="A77" s="33"/>
      <c r="B77" s="33"/>
      <c r="C77" s="33"/>
      <c r="D77" s="33">
        <f>'0信息维护'!$F$87</f>
        <v>0</v>
      </c>
      <c r="E77" s="33"/>
      <c r="F77" s="33"/>
      <c r="G77" s="33"/>
      <c r="H77" s="33"/>
      <c r="I77" s="49">
        <f>I28</f>
        <v>0</v>
      </c>
      <c r="J77" s="49"/>
      <c r="K77" s="50">
        <f>'0信息维护'!$I111</f>
        <v>0</v>
      </c>
      <c r="L77" s="50"/>
      <c r="M77" s="50"/>
      <c r="N77" s="51">
        <f ca="1">SUM(OFFSET('1课程考核方式及成绩组成'!$F$10,0,8*(ROW(N77)-75)+4,150,1))/'0信息维护'!$M$6</f>
        <v>0</v>
      </c>
      <c r="O77" s="51"/>
      <c r="P77" s="51">
        <f ca="1" t="shared" si="2"/>
        <v>0</v>
      </c>
      <c r="Q77" s="51"/>
      <c r="R77" s="59"/>
      <c r="S77" s="59"/>
      <c r="T77" s="60"/>
      <c r="U77" s="60"/>
    </row>
    <row r="78" ht="27" customHeight="1" spans="1:21">
      <c r="A78" s="33"/>
      <c r="B78" s="33"/>
      <c r="C78" s="33"/>
      <c r="D78" s="33">
        <f>'0信息维护'!$F$88</f>
        <v>0</v>
      </c>
      <c r="E78" s="33"/>
      <c r="F78" s="33"/>
      <c r="G78" s="33"/>
      <c r="H78" s="33"/>
      <c r="I78" s="49">
        <f>L28</f>
        <v>0</v>
      </c>
      <c r="J78" s="49"/>
      <c r="K78" s="50">
        <f>'0信息维护'!$I112</f>
        <v>0</v>
      </c>
      <c r="L78" s="50"/>
      <c r="M78" s="50"/>
      <c r="N78" s="51">
        <f ca="1">SUM(OFFSET('1课程考核方式及成绩组成'!$F$10,0,8*(ROW(N78)-75)+4,150,1))/'0信息维护'!$M$6</f>
        <v>0</v>
      </c>
      <c r="O78" s="51"/>
      <c r="P78" s="51">
        <f ca="1" t="shared" si="2"/>
        <v>0</v>
      </c>
      <c r="Q78" s="51"/>
      <c r="R78" s="59"/>
      <c r="S78" s="59"/>
      <c r="T78" s="60"/>
      <c r="U78" s="60"/>
    </row>
    <row r="79" ht="27" customHeight="1" spans="1:21">
      <c r="A79" s="33"/>
      <c r="B79" s="33"/>
      <c r="C79" s="33" t="str">
        <f>$O$22</f>
        <v>结果性评价</v>
      </c>
      <c r="D79" s="33"/>
      <c r="E79" s="33"/>
      <c r="F79" s="33"/>
      <c r="G79" s="33"/>
      <c r="H79" s="33"/>
      <c r="I79" s="49">
        <f>O28</f>
        <v>0</v>
      </c>
      <c r="J79" s="49"/>
      <c r="K79" s="50">
        <f>'0信息维护'!$I113</f>
        <v>0</v>
      </c>
      <c r="L79" s="50"/>
      <c r="M79" s="50"/>
      <c r="N79" s="51">
        <f ca="1">SUM(OFFSET('1课程考核方式及成绩组成'!$F$10,0,8*(ROW(N79)-75)+4,150,1))/'0信息维护'!$M$6</f>
        <v>0</v>
      </c>
      <c r="O79" s="51"/>
      <c r="P79" s="51">
        <f ca="1" t="shared" si="2"/>
        <v>0</v>
      </c>
      <c r="Q79" s="51"/>
      <c r="R79" s="59"/>
      <c r="S79" s="59"/>
      <c r="T79" s="60"/>
      <c r="U79" s="60"/>
    </row>
    <row r="80" ht="27" customHeight="1" spans="1:21">
      <c r="A80" s="33"/>
      <c r="B80" s="33" t="str">
        <f>$R$21</f>
        <v>间接评价</v>
      </c>
      <c r="C80" s="33"/>
      <c r="D80" s="33"/>
      <c r="E80" s="33"/>
      <c r="F80" s="33"/>
      <c r="G80" s="33"/>
      <c r="H80" s="33"/>
      <c r="I80" s="49">
        <f>SUM(R28:T28)</f>
        <v>0.2</v>
      </c>
      <c r="J80" s="49"/>
      <c r="K80" s="50">
        <f>'0信息维护'!$I114</f>
        <v>1</v>
      </c>
      <c r="L80" s="50"/>
      <c r="M80" s="50"/>
      <c r="N80" s="51">
        <f>'2间接评价'!F34</f>
        <v>0</v>
      </c>
      <c r="O80" s="51"/>
      <c r="P80" s="51">
        <f t="shared" si="2"/>
        <v>0</v>
      </c>
      <c r="Q80" s="51"/>
      <c r="R80" s="59"/>
      <c r="S80" s="59"/>
      <c r="T80" s="60"/>
      <c r="U80" s="60"/>
    </row>
    <row r="81" ht="27" customHeight="1" spans="1:21">
      <c r="A81" s="33" t="s">
        <v>41</v>
      </c>
      <c r="B81" s="33" t="s">
        <v>65</v>
      </c>
      <c r="C81" s="33" t="str">
        <f>$C$22</f>
        <v>过程性评价</v>
      </c>
      <c r="D81" s="33" t="str">
        <f>'0信息维护'!$F$85</f>
        <v>平时作业</v>
      </c>
      <c r="E81" s="33"/>
      <c r="F81" s="33"/>
      <c r="G81" s="33"/>
      <c r="H81" s="33"/>
      <c r="I81" s="49"/>
      <c r="J81" s="49"/>
      <c r="K81" s="50">
        <f>'0信息维护'!$I115</f>
        <v>0</v>
      </c>
      <c r="L81" s="50"/>
      <c r="M81" s="50"/>
      <c r="N81" s="51">
        <f ca="1">SUM(OFFSET('1课程考核方式及成绩组成'!$F$10,0,8*(ROW(N81)-81)+5,150,1))/'0信息维护'!$M$6</f>
        <v>0</v>
      </c>
      <c r="O81" s="51"/>
      <c r="P81" s="51">
        <f ca="1" t="shared" si="2"/>
        <v>0</v>
      </c>
      <c r="Q81" s="51"/>
      <c r="R81" s="59">
        <f>'0信息维护'!D137</f>
        <v>0</v>
      </c>
      <c r="S81" s="59"/>
      <c r="T81" s="60">
        <f ca="1">SUMPRODUCT(I81:J86,P81:Q86)</f>
        <v>0</v>
      </c>
      <c r="U81" s="60"/>
    </row>
    <row r="82" ht="27" customHeight="1" spans="1:21">
      <c r="A82" s="33"/>
      <c r="B82" s="33"/>
      <c r="C82" s="33"/>
      <c r="D82" s="33" t="str">
        <f>'0信息维护'!$F$86</f>
        <v>实验考核</v>
      </c>
      <c r="E82" s="33"/>
      <c r="F82" s="33"/>
      <c r="G82" s="33"/>
      <c r="H82" s="33"/>
      <c r="I82" s="49">
        <f>F29</f>
        <v>0</v>
      </c>
      <c r="J82" s="49"/>
      <c r="K82" s="50">
        <f>'0信息维护'!$I116</f>
        <v>0</v>
      </c>
      <c r="L82" s="50"/>
      <c r="M82" s="50"/>
      <c r="N82" s="51">
        <f ca="1">SUM(OFFSET('1课程考核方式及成绩组成'!$F$10,0,8*(ROW(N82)-81)+5,150,1))/'0信息维护'!$M$6</f>
        <v>0</v>
      </c>
      <c r="O82" s="51"/>
      <c r="P82" s="51">
        <f ca="1" t="shared" si="2"/>
        <v>0</v>
      </c>
      <c r="Q82" s="51"/>
      <c r="R82" s="59"/>
      <c r="S82" s="59"/>
      <c r="T82" s="60"/>
      <c r="U82" s="60"/>
    </row>
    <row r="83" ht="27" customHeight="1" spans="1:21">
      <c r="A83" s="33"/>
      <c r="B83" s="33"/>
      <c r="C83" s="33"/>
      <c r="D83" s="33">
        <f>'0信息维护'!$F$87</f>
        <v>0</v>
      </c>
      <c r="E83" s="33"/>
      <c r="F83" s="33"/>
      <c r="G83" s="33"/>
      <c r="H83" s="33"/>
      <c r="I83" s="49">
        <f>I29</f>
        <v>0</v>
      </c>
      <c r="J83" s="49"/>
      <c r="K83" s="50">
        <f>'0信息维护'!$I117</f>
        <v>0</v>
      </c>
      <c r="L83" s="50"/>
      <c r="M83" s="50"/>
      <c r="N83" s="51">
        <f ca="1">SUM(OFFSET('1课程考核方式及成绩组成'!$F$10,0,8*(ROW(N83)-81)+5,150,1))/'0信息维护'!$M$6</f>
        <v>0</v>
      </c>
      <c r="O83" s="51"/>
      <c r="P83" s="51">
        <f ca="1" t="shared" si="2"/>
        <v>0</v>
      </c>
      <c r="Q83" s="51"/>
      <c r="R83" s="59"/>
      <c r="S83" s="59"/>
      <c r="T83" s="60"/>
      <c r="U83" s="60"/>
    </row>
    <row r="84" ht="27" customHeight="1" spans="1:21">
      <c r="A84" s="33"/>
      <c r="B84" s="33"/>
      <c r="C84" s="33"/>
      <c r="D84" s="33">
        <f>'0信息维护'!$F$88</f>
        <v>0</v>
      </c>
      <c r="E84" s="33"/>
      <c r="F84" s="33"/>
      <c r="G84" s="33"/>
      <c r="H84" s="33"/>
      <c r="I84" s="49">
        <f>L29</f>
        <v>0</v>
      </c>
      <c r="J84" s="49"/>
      <c r="K84" s="50">
        <f>'0信息维护'!$I118</f>
        <v>0</v>
      </c>
      <c r="L84" s="50"/>
      <c r="M84" s="50"/>
      <c r="N84" s="51">
        <f ca="1">SUM(OFFSET('1课程考核方式及成绩组成'!$F$10,0,8*(ROW(N84)-81)+5,150,1))/'0信息维护'!$M$6</f>
        <v>0</v>
      </c>
      <c r="O84" s="51"/>
      <c r="P84" s="51">
        <f ca="1" t="shared" si="2"/>
        <v>0</v>
      </c>
      <c r="Q84" s="51"/>
      <c r="R84" s="59"/>
      <c r="S84" s="59"/>
      <c r="T84" s="60"/>
      <c r="U84" s="60"/>
    </row>
    <row r="85" ht="27" customHeight="1" spans="1:21">
      <c r="A85" s="33"/>
      <c r="B85" s="33"/>
      <c r="C85" s="33" t="str">
        <f>$O$22</f>
        <v>结果性评价</v>
      </c>
      <c r="D85" s="33"/>
      <c r="E85" s="33"/>
      <c r="F85" s="33"/>
      <c r="G85" s="33"/>
      <c r="H85" s="33"/>
      <c r="I85" s="49">
        <f>O29</f>
        <v>0</v>
      </c>
      <c r="J85" s="49"/>
      <c r="K85" s="50">
        <f>'0信息维护'!$I119</f>
        <v>0</v>
      </c>
      <c r="L85" s="50"/>
      <c r="M85" s="50"/>
      <c r="N85" s="51">
        <f ca="1">SUM(OFFSET('1课程考核方式及成绩组成'!$F$10,0,8*(ROW(N85)-81)+5,150,1))/'0信息维护'!$M$6</f>
        <v>0</v>
      </c>
      <c r="O85" s="51"/>
      <c r="P85" s="51">
        <f ca="1" t="shared" si="2"/>
        <v>0</v>
      </c>
      <c r="Q85" s="51"/>
      <c r="R85" s="59"/>
      <c r="S85" s="59"/>
      <c r="T85" s="60"/>
      <c r="U85" s="60"/>
    </row>
    <row r="86" ht="27" customHeight="1" spans="1:21">
      <c r="A86" s="33"/>
      <c r="B86" s="33" t="str">
        <f>$R$21</f>
        <v>间接评价</v>
      </c>
      <c r="C86" s="33"/>
      <c r="D86" s="33"/>
      <c r="E86" s="33"/>
      <c r="F86" s="33"/>
      <c r="G86" s="33"/>
      <c r="H86" s="33"/>
      <c r="I86" s="49">
        <f>SUM(R29:T29)</f>
        <v>0</v>
      </c>
      <c r="J86" s="49"/>
      <c r="K86" s="50">
        <f>'0信息维护'!$I120</f>
        <v>1</v>
      </c>
      <c r="L86" s="50"/>
      <c r="M86" s="50"/>
      <c r="N86" s="51">
        <f>'2间接评价'!F35</f>
        <v>0</v>
      </c>
      <c r="O86" s="51"/>
      <c r="P86" s="51">
        <f t="shared" si="2"/>
        <v>0</v>
      </c>
      <c r="Q86" s="51"/>
      <c r="R86" s="59"/>
      <c r="S86" s="59"/>
      <c r="T86" s="60"/>
      <c r="U86" s="60"/>
    </row>
    <row r="87" ht="27" customHeight="1" spans="1:21">
      <c r="A87" s="33" t="s">
        <v>42</v>
      </c>
      <c r="B87" s="33" t="s">
        <v>65</v>
      </c>
      <c r="C87" s="33" t="str">
        <f>$C$22</f>
        <v>过程性评价</v>
      </c>
      <c r="D87" s="33" t="str">
        <f>'0信息维护'!$F$85</f>
        <v>平时作业</v>
      </c>
      <c r="E87" s="33"/>
      <c r="F87" s="33"/>
      <c r="G87" s="33"/>
      <c r="H87" s="33"/>
      <c r="I87" s="49">
        <f>C30</f>
        <v>0</v>
      </c>
      <c r="J87" s="49"/>
      <c r="K87" s="50">
        <f>'0信息维护'!$I121</f>
        <v>0</v>
      </c>
      <c r="L87" s="50"/>
      <c r="M87" s="50"/>
      <c r="N87" s="51">
        <f ca="1">SUM(OFFSET('1课程考核方式及成绩组成'!$F$10,0,8*(ROW(N87)-87)+6,150,1))/'0信息维护'!$M$6</f>
        <v>0</v>
      </c>
      <c r="O87" s="51"/>
      <c r="P87" s="51">
        <f ca="1" t="shared" ref="P87:P92" si="3">IF(I87=0,0,N87/K87)</f>
        <v>0</v>
      </c>
      <c r="Q87" s="51"/>
      <c r="R87" s="59">
        <f>'0信息维护'!D138</f>
        <v>0</v>
      </c>
      <c r="S87" s="59"/>
      <c r="T87" s="60">
        <f ca="1">SUMPRODUCT(I87:J92,P87:Q92)</f>
        <v>0</v>
      </c>
      <c r="U87" s="60"/>
    </row>
    <row r="88" ht="27" customHeight="1" spans="1:21">
      <c r="A88" s="33"/>
      <c r="B88" s="33"/>
      <c r="C88" s="33"/>
      <c r="D88" s="33" t="str">
        <f>'0信息维护'!$F$86</f>
        <v>实验考核</v>
      </c>
      <c r="E88" s="33"/>
      <c r="F88" s="33"/>
      <c r="G88" s="33"/>
      <c r="H88" s="33"/>
      <c r="I88" s="49">
        <f>F30</f>
        <v>0</v>
      </c>
      <c r="J88" s="49"/>
      <c r="K88" s="50">
        <f>'0信息维护'!$I122</f>
        <v>0</v>
      </c>
      <c r="L88" s="50"/>
      <c r="M88" s="50"/>
      <c r="N88" s="51">
        <f ca="1">SUM(OFFSET('1课程考核方式及成绩组成'!$F$10,0,8*(ROW(N88)-87)+6,150,1))/'0信息维护'!$M$6</f>
        <v>0</v>
      </c>
      <c r="O88" s="51"/>
      <c r="P88" s="51">
        <f ca="1" t="shared" si="3"/>
        <v>0</v>
      </c>
      <c r="Q88" s="51"/>
      <c r="R88" s="59"/>
      <c r="S88" s="59"/>
      <c r="T88" s="60"/>
      <c r="U88" s="60"/>
    </row>
    <row r="89" ht="27" customHeight="1" spans="1:21">
      <c r="A89" s="33"/>
      <c r="B89" s="33"/>
      <c r="C89" s="33"/>
      <c r="D89" s="33">
        <f>'0信息维护'!$F$87</f>
        <v>0</v>
      </c>
      <c r="E89" s="33"/>
      <c r="F89" s="33"/>
      <c r="G89" s="33"/>
      <c r="H89" s="33"/>
      <c r="I89" s="49">
        <f>I30</f>
        <v>0</v>
      </c>
      <c r="J89" s="49"/>
      <c r="K89" s="50">
        <f>'0信息维护'!$I123</f>
        <v>0</v>
      </c>
      <c r="L89" s="50"/>
      <c r="M89" s="50"/>
      <c r="N89" s="51">
        <f ca="1">SUM(OFFSET('1课程考核方式及成绩组成'!$F$10,0,8*(ROW(N89)-87)+6,150,1))/'0信息维护'!$M$6</f>
        <v>0</v>
      </c>
      <c r="O89" s="51"/>
      <c r="P89" s="51">
        <f ca="1" t="shared" si="3"/>
        <v>0</v>
      </c>
      <c r="Q89" s="51"/>
      <c r="R89" s="59"/>
      <c r="S89" s="59"/>
      <c r="T89" s="60"/>
      <c r="U89" s="60"/>
    </row>
    <row r="90" ht="27" customHeight="1" spans="1:21">
      <c r="A90" s="33"/>
      <c r="B90" s="33"/>
      <c r="C90" s="33"/>
      <c r="D90" s="33">
        <f>'0信息维护'!$F$88</f>
        <v>0</v>
      </c>
      <c r="E90" s="33"/>
      <c r="F90" s="33"/>
      <c r="G90" s="33"/>
      <c r="H90" s="33"/>
      <c r="I90" s="49">
        <f>L30</f>
        <v>0</v>
      </c>
      <c r="J90" s="49"/>
      <c r="K90" s="50">
        <f>'0信息维护'!$I124</f>
        <v>0</v>
      </c>
      <c r="L90" s="50"/>
      <c r="M90" s="50"/>
      <c r="N90" s="51">
        <f ca="1">SUM(OFFSET('1课程考核方式及成绩组成'!$F$10,0,8*(ROW(N90)-87)+6,150,1))/'0信息维护'!$M$6</f>
        <v>0</v>
      </c>
      <c r="O90" s="51"/>
      <c r="P90" s="51">
        <f ca="1" t="shared" si="3"/>
        <v>0</v>
      </c>
      <c r="Q90" s="51"/>
      <c r="R90" s="59"/>
      <c r="S90" s="59"/>
      <c r="T90" s="60"/>
      <c r="U90" s="60"/>
    </row>
    <row r="91" ht="27" customHeight="1" spans="1:21">
      <c r="A91" s="33"/>
      <c r="B91" s="33"/>
      <c r="C91" s="33" t="str">
        <f>$O$22</f>
        <v>结果性评价</v>
      </c>
      <c r="D91" s="33"/>
      <c r="E91" s="33"/>
      <c r="F91" s="33"/>
      <c r="G91" s="33"/>
      <c r="H91" s="33"/>
      <c r="I91" s="49">
        <f>O30</f>
        <v>0</v>
      </c>
      <c r="J91" s="49"/>
      <c r="K91" s="50">
        <f>'0信息维护'!$I125</f>
        <v>0</v>
      </c>
      <c r="L91" s="50"/>
      <c r="M91" s="50"/>
      <c r="N91" s="51">
        <f ca="1">SUM(OFFSET('1课程考核方式及成绩组成'!$F$10,0,8*(ROW(N91)-87)+6,150,1))/'0信息维护'!$M$6</f>
        <v>0</v>
      </c>
      <c r="O91" s="51"/>
      <c r="P91" s="51">
        <f ca="1" t="shared" si="3"/>
        <v>0</v>
      </c>
      <c r="Q91" s="51"/>
      <c r="R91" s="59"/>
      <c r="S91" s="59"/>
      <c r="T91" s="60"/>
      <c r="U91" s="60"/>
    </row>
    <row r="92" ht="27" customHeight="1" spans="1:21">
      <c r="A92" s="33"/>
      <c r="B92" s="33" t="str">
        <f>$R$21</f>
        <v>间接评价</v>
      </c>
      <c r="C92" s="33"/>
      <c r="D92" s="33"/>
      <c r="E92" s="33"/>
      <c r="F92" s="33"/>
      <c r="G92" s="33"/>
      <c r="H92" s="33"/>
      <c r="I92" s="49">
        <f>SUM(R30:T30)</f>
        <v>0</v>
      </c>
      <c r="J92" s="49"/>
      <c r="K92" s="50">
        <f>'0信息维护'!$I126</f>
        <v>1</v>
      </c>
      <c r="L92" s="50"/>
      <c r="M92" s="50"/>
      <c r="N92" s="51">
        <f>'2间接评价'!F36</f>
        <v>0</v>
      </c>
      <c r="O92" s="51"/>
      <c r="P92" s="51">
        <f t="shared" si="3"/>
        <v>0</v>
      </c>
      <c r="Q92" s="51"/>
      <c r="R92" s="59"/>
      <c r="S92" s="59"/>
      <c r="T92" s="60"/>
      <c r="U92" s="60"/>
    </row>
    <row r="93" ht="27" customHeight="1" spans="1:21">
      <c r="A93" s="61" t="s">
        <v>428</v>
      </c>
      <c r="B93" s="61"/>
      <c r="C93" s="61"/>
      <c r="D93" s="61"/>
      <c r="E93" s="61"/>
      <c r="F93" s="61"/>
      <c r="G93" s="61"/>
      <c r="H93" s="61"/>
      <c r="I93" s="61"/>
      <c r="J93" s="61"/>
      <c r="K93" s="61"/>
      <c r="L93" s="61"/>
      <c r="M93" s="61"/>
      <c r="N93" s="61"/>
      <c r="O93" s="61"/>
      <c r="P93" s="61"/>
      <c r="Q93" s="61"/>
      <c r="R93" s="61"/>
      <c r="S93" s="61"/>
      <c r="T93" s="51">
        <f ca="1">T51*R51+T57*R57+T63*R63+R69*T69+R75*T75+R81*T81+R87*T87</f>
        <v>0.778788193575303</v>
      </c>
      <c r="U93" s="51"/>
    </row>
    <row r="94" ht="10" customHeight="1" spans="2:10">
      <c r="B94" s="62"/>
      <c r="C94" s="62"/>
      <c r="D94" s="62"/>
      <c r="E94" s="62"/>
      <c r="F94" s="62"/>
      <c r="G94" s="62"/>
      <c r="H94" s="62"/>
      <c r="I94" s="62"/>
      <c r="J94" s="62"/>
    </row>
    <row r="95" ht="20.15" customHeight="1" spans="1:20">
      <c r="A95" s="32" t="s">
        <v>429</v>
      </c>
      <c r="B95" s="32"/>
      <c r="C95" s="32"/>
      <c r="D95" s="32"/>
      <c r="E95" s="32"/>
      <c r="F95" s="32"/>
      <c r="G95" s="32"/>
      <c r="H95" s="32"/>
      <c r="I95" s="32"/>
      <c r="J95" s="32"/>
      <c r="K95" s="32"/>
      <c r="L95" s="32"/>
      <c r="M95" s="32"/>
      <c r="N95" s="32"/>
      <c r="O95" s="32"/>
      <c r="P95" s="32"/>
      <c r="Q95" s="32"/>
      <c r="R95" s="32"/>
      <c r="S95" s="32"/>
      <c r="T95" s="32"/>
    </row>
    <row r="96" ht="15" customHeight="1" spans="1:21">
      <c r="A96" s="63" t="s">
        <v>430</v>
      </c>
      <c r="B96" s="64"/>
      <c r="C96" s="64"/>
      <c r="D96" s="64"/>
      <c r="E96" s="64"/>
      <c r="F96" s="64"/>
      <c r="G96" s="64"/>
      <c r="H96" s="64"/>
      <c r="I96" s="64"/>
      <c r="J96" s="64"/>
      <c r="K96" s="64"/>
      <c r="L96" s="64"/>
      <c r="M96" s="64"/>
      <c r="N96" s="64"/>
      <c r="O96" s="64"/>
      <c r="P96" s="64"/>
      <c r="Q96" s="64"/>
      <c r="R96" s="64"/>
      <c r="S96" s="64"/>
      <c r="T96" s="64"/>
      <c r="U96" s="68"/>
    </row>
    <row r="97" ht="15" customHeight="1" spans="1:21">
      <c r="A97" s="65"/>
      <c r="B97" s="66"/>
      <c r="C97" s="66"/>
      <c r="D97" s="66"/>
      <c r="E97" s="66"/>
      <c r="F97" s="66"/>
      <c r="G97" s="66"/>
      <c r="H97" s="66"/>
      <c r="I97" s="66"/>
      <c r="J97" s="66"/>
      <c r="K97" s="66"/>
      <c r="L97" s="66"/>
      <c r="M97" s="66"/>
      <c r="N97" s="66"/>
      <c r="O97" s="66"/>
      <c r="P97" s="66"/>
      <c r="Q97" s="66"/>
      <c r="R97" s="66"/>
      <c r="S97" s="66"/>
      <c r="T97" s="66"/>
      <c r="U97" s="69"/>
    </row>
    <row r="98" ht="15" customHeight="1" spans="1:21">
      <c r="A98" s="65"/>
      <c r="B98" s="66"/>
      <c r="C98" s="66"/>
      <c r="D98" s="66"/>
      <c r="E98" s="66"/>
      <c r="F98" s="66"/>
      <c r="G98" s="66"/>
      <c r="H98" s="66"/>
      <c r="I98" s="66"/>
      <c r="J98" s="66"/>
      <c r="K98" s="66"/>
      <c r="L98" s="66"/>
      <c r="M98" s="66"/>
      <c r="N98" s="66"/>
      <c r="O98" s="66"/>
      <c r="P98" s="66"/>
      <c r="Q98" s="66"/>
      <c r="R98" s="66"/>
      <c r="S98" s="66"/>
      <c r="T98" s="66"/>
      <c r="U98" s="69"/>
    </row>
    <row r="99" ht="15" spans="1:21">
      <c r="A99" s="65"/>
      <c r="B99" s="66"/>
      <c r="C99" s="66"/>
      <c r="D99" s="66"/>
      <c r="E99" s="66"/>
      <c r="F99" s="66"/>
      <c r="G99" s="66"/>
      <c r="H99" s="66"/>
      <c r="I99" s="66"/>
      <c r="J99" s="66"/>
      <c r="K99" s="66"/>
      <c r="L99" s="66"/>
      <c r="M99" s="66"/>
      <c r="N99" s="66"/>
      <c r="O99" s="66"/>
      <c r="P99" s="66"/>
      <c r="Q99" s="66"/>
      <c r="R99" s="66"/>
      <c r="S99" s="66"/>
      <c r="T99" s="66"/>
      <c r="U99" s="69"/>
    </row>
    <row r="100" ht="15" spans="1:21">
      <c r="A100" s="65"/>
      <c r="B100" s="66"/>
      <c r="C100" s="66"/>
      <c r="D100" s="66"/>
      <c r="E100" s="66"/>
      <c r="F100" s="66"/>
      <c r="G100" s="66"/>
      <c r="H100" s="66"/>
      <c r="I100" s="66"/>
      <c r="J100" s="66"/>
      <c r="K100" s="66"/>
      <c r="L100" s="66"/>
      <c r="M100" s="66"/>
      <c r="N100" s="66"/>
      <c r="O100" s="66"/>
      <c r="P100" s="66"/>
      <c r="Q100" s="66"/>
      <c r="R100" s="66"/>
      <c r="S100" s="66"/>
      <c r="T100" s="66"/>
      <c r="U100" s="69"/>
    </row>
    <row r="101" ht="15" spans="1:21">
      <c r="A101" s="65"/>
      <c r="B101" s="66"/>
      <c r="C101" s="66"/>
      <c r="D101" s="66"/>
      <c r="E101" s="66"/>
      <c r="F101" s="66"/>
      <c r="G101" s="66"/>
      <c r="H101" s="66"/>
      <c r="I101" s="66"/>
      <c r="J101" s="66"/>
      <c r="K101" s="66"/>
      <c r="L101" s="66"/>
      <c r="M101" s="66"/>
      <c r="N101" s="66"/>
      <c r="O101" s="66"/>
      <c r="P101" s="66"/>
      <c r="Q101" s="66"/>
      <c r="R101" s="66"/>
      <c r="S101" s="66"/>
      <c r="T101" s="66"/>
      <c r="U101" s="69"/>
    </row>
    <row r="102" ht="15" spans="1:21">
      <c r="A102" s="65"/>
      <c r="B102" s="66"/>
      <c r="C102" s="66"/>
      <c r="D102" s="66"/>
      <c r="E102" s="66"/>
      <c r="F102" s="66"/>
      <c r="G102" s="66"/>
      <c r="H102" s="66"/>
      <c r="I102" s="66"/>
      <c r="J102" s="66"/>
      <c r="K102" s="66"/>
      <c r="L102" s="66"/>
      <c r="M102" s="66"/>
      <c r="N102" s="66"/>
      <c r="O102" s="66"/>
      <c r="P102" s="66"/>
      <c r="Q102" s="66"/>
      <c r="R102" s="66"/>
      <c r="S102" s="66"/>
      <c r="T102" s="66"/>
      <c r="U102" s="69"/>
    </row>
    <row r="103" ht="15" spans="1:21">
      <c r="A103" s="65"/>
      <c r="B103" s="66"/>
      <c r="C103" s="66"/>
      <c r="D103" s="66"/>
      <c r="E103" s="66"/>
      <c r="F103" s="66"/>
      <c r="G103" s="66"/>
      <c r="H103" s="66"/>
      <c r="I103" s="66"/>
      <c r="J103" s="66"/>
      <c r="K103" s="66"/>
      <c r="L103" s="66"/>
      <c r="M103" s="66"/>
      <c r="N103" s="66"/>
      <c r="O103" s="66"/>
      <c r="P103" s="66"/>
      <c r="Q103" s="66"/>
      <c r="R103" s="66"/>
      <c r="S103" s="66"/>
      <c r="T103" s="66"/>
      <c r="U103" s="69"/>
    </row>
    <row r="104" ht="15" spans="1:21">
      <c r="A104" s="65"/>
      <c r="B104" s="66"/>
      <c r="C104" s="66"/>
      <c r="D104" s="66"/>
      <c r="E104" s="66"/>
      <c r="F104" s="66"/>
      <c r="G104" s="66"/>
      <c r="H104" s="66"/>
      <c r="I104" s="66"/>
      <c r="J104" s="66"/>
      <c r="K104" s="66"/>
      <c r="L104" s="66"/>
      <c r="M104" s="66"/>
      <c r="N104" s="66"/>
      <c r="O104" s="66"/>
      <c r="P104" s="66"/>
      <c r="Q104" s="66"/>
      <c r="R104" s="66"/>
      <c r="S104" s="66"/>
      <c r="T104" s="66"/>
      <c r="U104" s="69"/>
    </row>
    <row r="105" ht="15" spans="1:21">
      <c r="A105" s="65"/>
      <c r="B105" s="66"/>
      <c r="C105" s="66"/>
      <c r="D105" s="66"/>
      <c r="E105" s="66"/>
      <c r="F105" s="66"/>
      <c r="G105" s="66"/>
      <c r="H105" s="66"/>
      <c r="I105" s="66"/>
      <c r="J105" s="66"/>
      <c r="K105" s="66"/>
      <c r="L105" s="66"/>
      <c r="M105" s="66"/>
      <c r="N105" s="66"/>
      <c r="O105" s="66"/>
      <c r="P105" s="66"/>
      <c r="Q105" s="66"/>
      <c r="R105" s="66"/>
      <c r="S105" s="66"/>
      <c r="T105" s="66"/>
      <c r="U105" s="69"/>
    </row>
    <row r="106" ht="15" spans="1:21">
      <c r="A106" s="65"/>
      <c r="B106" s="66"/>
      <c r="C106" s="66"/>
      <c r="D106" s="66"/>
      <c r="E106" s="66"/>
      <c r="F106" s="66"/>
      <c r="G106" s="66"/>
      <c r="H106" s="66"/>
      <c r="I106" s="66"/>
      <c r="J106" s="66"/>
      <c r="K106" s="66"/>
      <c r="L106" s="66"/>
      <c r="M106" s="66"/>
      <c r="N106" s="66"/>
      <c r="O106" s="66"/>
      <c r="P106" s="66"/>
      <c r="Q106" s="66"/>
      <c r="R106" s="66"/>
      <c r="S106" s="66"/>
      <c r="T106" s="66"/>
      <c r="U106" s="69"/>
    </row>
    <row r="107" ht="15" spans="1:21">
      <c r="A107" s="65"/>
      <c r="B107" s="66"/>
      <c r="C107" s="66"/>
      <c r="D107" s="66"/>
      <c r="E107" s="66"/>
      <c r="F107" s="66"/>
      <c r="G107" s="66"/>
      <c r="H107" s="66"/>
      <c r="I107" s="66"/>
      <c r="J107" s="66"/>
      <c r="K107" s="66"/>
      <c r="L107" s="66"/>
      <c r="M107" s="66"/>
      <c r="N107" s="66"/>
      <c r="O107" s="66"/>
      <c r="P107" s="66"/>
      <c r="Q107" s="66"/>
      <c r="R107" s="66"/>
      <c r="S107" s="66"/>
      <c r="T107" s="66"/>
      <c r="U107" s="69"/>
    </row>
    <row r="108" ht="15" spans="1:21">
      <c r="A108" s="65"/>
      <c r="B108" s="66"/>
      <c r="C108" s="66"/>
      <c r="D108" s="66"/>
      <c r="E108" s="66"/>
      <c r="F108" s="66"/>
      <c r="G108" s="66"/>
      <c r="H108" s="66"/>
      <c r="I108" s="66"/>
      <c r="J108" s="66"/>
      <c r="K108" s="66"/>
      <c r="L108" s="66"/>
      <c r="M108" s="66"/>
      <c r="N108" s="66"/>
      <c r="O108" s="66"/>
      <c r="P108" s="66"/>
      <c r="Q108" s="66"/>
      <c r="R108" s="66"/>
      <c r="S108" s="66"/>
      <c r="T108" s="66"/>
      <c r="U108" s="69"/>
    </row>
    <row r="109" ht="15" spans="1:21">
      <c r="A109" s="65"/>
      <c r="B109" s="66"/>
      <c r="C109" s="66"/>
      <c r="D109" s="66"/>
      <c r="E109" s="66"/>
      <c r="F109" s="66"/>
      <c r="G109" s="66"/>
      <c r="H109" s="66"/>
      <c r="I109" s="66"/>
      <c r="J109" s="66"/>
      <c r="K109" s="66"/>
      <c r="L109" s="66"/>
      <c r="M109" s="66"/>
      <c r="N109" s="66"/>
      <c r="O109" s="66"/>
      <c r="P109" s="66"/>
      <c r="Q109" s="66"/>
      <c r="R109" s="66"/>
      <c r="S109" s="66"/>
      <c r="T109" s="66"/>
      <c r="U109" s="69"/>
    </row>
    <row r="110" ht="15" spans="1:21">
      <c r="A110" s="65"/>
      <c r="B110" s="66"/>
      <c r="C110" s="66"/>
      <c r="D110" s="66"/>
      <c r="E110" s="66"/>
      <c r="F110" s="66"/>
      <c r="G110" s="66"/>
      <c r="H110" s="66"/>
      <c r="I110" s="66"/>
      <c r="J110" s="66"/>
      <c r="K110" s="66"/>
      <c r="L110" s="66"/>
      <c r="M110" s="66"/>
      <c r="N110" s="66"/>
      <c r="O110" s="66"/>
      <c r="P110" s="66"/>
      <c r="Q110" s="66"/>
      <c r="R110" s="66"/>
      <c r="S110" s="66"/>
      <c r="T110" s="66"/>
      <c r="U110" s="69"/>
    </row>
    <row r="111" ht="15" spans="1:21">
      <c r="A111" s="65"/>
      <c r="B111" s="66"/>
      <c r="C111" s="66"/>
      <c r="D111" s="66"/>
      <c r="E111" s="66"/>
      <c r="F111" s="66"/>
      <c r="G111" s="66"/>
      <c r="H111" s="66"/>
      <c r="I111" s="66"/>
      <c r="J111" s="66"/>
      <c r="K111" s="66"/>
      <c r="L111" s="66"/>
      <c r="M111" s="66"/>
      <c r="N111" s="66"/>
      <c r="O111" s="66"/>
      <c r="P111" s="66"/>
      <c r="Q111" s="66"/>
      <c r="R111" s="66"/>
      <c r="S111" s="66"/>
      <c r="T111" s="66"/>
      <c r="U111" s="69"/>
    </row>
    <row r="112" ht="15" spans="1:21">
      <c r="A112" s="65"/>
      <c r="B112" s="66"/>
      <c r="C112" s="66"/>
      <c r="D112" s="66"/>
      <c r="E112" s="66"/>
      <c r="F112" s="66"/>
      <c r="G112" s="66"/>
      <c r="H112" s="66"/>
      <c r="I112" s="66"/>
      <c r="J112" s="66"/>
      <c r="K112" s="66"/>
      <c r="L112" s="66"/>
      <c r="M112" s="66"/>
      <c r="N112" s="66"/>
      <c r="O112" s="66"/>
      <c r="P112" s="66"/>
      <c r="Q112" s="66"/>
      <c r="R112" s="66"/>
      <c r="S112" s="66"/>
      <c r="T112" s="66"/>
      <c r="U112" s="69"/>
    </row>
    <row r="113" ht="15" customHeight="1" spans="1:21">
      <c r="A113" s="65"/>
      <c r="B113" s="66"/>
      <c r="C113" s="66"/>
      <c r="D113" s="66"/>
      <c r="E113" s="66"/>
      <c r="F113" s="66"/>
      <c r="G113" s="66"/>
      <c r="H113" s="66"/>
      <c r="I113" s="66"/>
      <c r="J113" s="66"/>
      <c r="K113" s="66"/>
      <c r="L113" s="66"/>
      <c r="M113" s="66"/>
      <c r="N113" s="66"/>
      <c r="O113" s="66"/>
      <c r="P113" s="66"/>
      <c r="Q113" s="66"/>
      <c r="R113" s="66"/>
      <c r="S113" s="66"/>
      <c r="T113" s="66"/>
      <c r="U113" s="69"/>
    </row>
    <row r="114" ht="15" spans="1:21">
      <c r="A114" s="65"/>
      <c r="B114" s="66"/>
      <c r="C114" s="66"/>
      <c r="D114" s="66"/>
      <c r="E114" s="66"/>
      <c r="F114" s="66"/>
      <c r="G114" s="66"/>
      <c r="H114" s="66"/>
      <c r="I114" s="66"/>
      <c r="J114" s="66"/>
      <c r="K114" s="66"/>
      <c r="L114" s="66"/>
      <c r="M114" s="66"/>
      <c r="N114" s="66"/>
      <c r="O114" s="66"/>
      <c r="P114" s="66"/>
      <c r="Q114" s="66"/>
      <c r="R114" s="66"/>
      <c r="S114" s="66"/>
      <c r="T114" s="66"/>
      <c r="U114" s="69"/>
    </row>
    <row r="115" ht="15" spans="1:21">
      <c r="A115" s="65"/>
      <c r="B115" s="66"/>
      <c r="C115" s="66"/>
      <c r="D115" s="66"/>
      <c r="E115" s="66"/>
      <c r="F115" s="66"/>
      <c r="G115" s="66"/>
      <c r="H115" s="66"/>
      <c r="I115" s="66"/>
      <c r="J115" s="66"/>
      <c r="K115" s="66"/>
      <c r="L115" s="66"/>
      <c r="M115" s="66"/>
      <c r="N115" s="66"/>
      <c r="O115" s="66"/>
      <c r="P115" s="66"/>
      <c r="Q115" s="66"/>
      <c r="R115" s="66"/>
      <c r="S115" s="66"/>
      <c r="T115" s="66"/>
      <c r="U115" s="69"/>
    </row>
    <row r="116" ht="15" spans="1:21">
      <c r="A116" s="67"/>
      <c r="I116" s="62"/>
      <c r="J116" s="62"/>
      <c r="U116" s="70"/>
    </row>
    <row r="117" ht="15" spans="1:21">
      <c r="A117" s="67"/>
      <c r="B117" s="62"/>
      <c r="C117" s="62"/>
      <c r="D117" s="62"/>
      <c r="E117" s="62"/>
      <c r="F117" s="62"/>
      <c r="G117" s="62"/>
      <c r="H117" s="62"/>
      <c r="I117" s="62"/>
      <c r="J117" s="62"/>
      <c r="U117" s="70"/>
    </row>
    <row r="118" ht="15" spans="1:21">
      <c r="A118" s="67"/>
      <c r="B118" s="62"/>
      <c r="C118" s="62"/>
      <c r="D118" s="62"/>
      <c r="E118" s="62"/>
      <c r="F118" s="62"/>
      <c r="G118" s="62"/>
      <c r="H118" s="62"/>
      <c r="I118" s="62"/>
      <c r="J118" s="62"/>
      <c r="U118" s="70"/>
    </row>
    <row r="119" ht="15" spans="1:21">
      <c r="A119" s="67"/>
      <c r="B119" s="62"/>
      <c r="C119" s="62"/>
      <c r="D119" s="62"/>
      <c r="E119" s="62"/>
      <c r="F119" s="62"/>
      <c r="G119" s="62"/>
      <c r="H119" s="62"/>
      <c r="I119" s="62"/>
      <c r="J119" s="62"/>
      <c r="U119" s="70"/>
    </row>
    <row r="120" ht="15" spans="1:21">
      <c r="A120" s="67"/>
      <c r="B120" s="62"/>
      <c r="C120" s="62"/>
      <c r="D120" s="62"/>
      <c r="E120" s="62"/>
      <c r="F120" s="62"/>
      <c r="G120" s="62"/>
      <c r="H120" s="62"/>
      <c r="I120" s="62"/>
      <c r="J120" s="62"/>
      <c r="U120" s="70"/>
    </row>
    <row r="121" ht="15" spans="1:21">
      <c r="A121" s="67"/>
      <c r="B121" s="62"/>
      <c r="C121" s="62"/>
      <c r="D121" s="62"/>
      <c r="E121" s="62"/>
      <c r="F121" s="62"/>
      <c r="G121" s="62"/>
      <c r="H121" s="62"/>
      <c r="I121" s="62"/>
      <c r="J121" s="62"/>
      <c r="U121" s="70"/>
    </row>
    <row r="122" ht="15" spans="1:21">
      <c r="A122" s="67"/>
      <c r="B122" s="62"/>
      <c r="C122" s="62"/>
      <c r="D122" s="62"/>
      <c r="E122" s="62"/>
      <c r="F122" s="62"/>
      <c r="G122" s="62"/>
      <c r="H122" s="62"/>
      <c r="I122" s="62"/>
      <c r="J122" s="62"/>
      <c r="U122" s="70"/>
    </row>
    <row r="123" ht="15" spans="1:21">
      <c r="A123" s="67"/>
      <c r="B123" s="62"/>
      <c r="C123" s="62"/>
      <c r="D123" s="62"/>
      <c r="E123" s="62"/>
      <c r="F123" s="62"/>
      <c r="G123" s="62"/>
      <c r="H123" s="62"/>
      <c r="I123" s="62"/>
      <c r="J123" s="62"/>
      <c r="U123" s="70"/>
    </row>
    <row r="124" ht="15" spans="1:21">
      <c r="A124" s="67"/>
      <c r="B124" s="62"/>
      <c r="C124" s="62"/>
      <c r="D124" s="62"/>
      <c r="E124" s="62"/>
      <c r="F124" s="62"/>
      <c r="G124" s="62"/>
      <c r="H124" s="62"/>
      <c r="I124" s="62"/>
      <c r="J124" s="62"/>
      <c r="U124" s="70"/>
    </row>
    <row r="125" ht="15" spans="1:21">
      <c r="A125" s="67"/>
      <c r="B125" s="62"/>
      <c r="C125" s="62"/>
      <c r="D125" s="62"/>
      <c r="E125" s="62"/>
      <c r="F125" s="62"/>
      <c r="G125" s="62"/>
      <c r="H125" s="62"/>
      <c r="I125" s="62"/>
      <c r="J125" s="62"/>
      <c r="U125" s="70"/>
    </row>
    <row r="126" ht="15" spans="1:21">
      <c r="A126" s="67"/>
      <c r="B126" s="62"/>
      <c r="C126" s="62"/>
      <c r="D126" s="62"/>
      <c r="E126" s="62"/>
      <c r="F126" s="62"/>
      <c r="G126" s="62"/>
      <c r="H126" s="62"/>
      <c r="I126" s="62"/>
      <c r="J126" s="62"/>
      <c r="U126" s="70"/>
    </row>
    <row r="127" ht="15" spans="1:21">
      <c r="A127" s="67"/>
      <c r="B127" s="62"/>
      <c r="C127" s="62"/>
      <c r="D127" s="62"/>
      <c r="E127" s="62"/>
      <c r="F127" s="62"/>
      <c r="G127" s="62"/>
      <c r="H127" s="62"/>
      <c r="I127" s="62"/>
      <c r="J127" s="62"/>
      <c r="U127" s="70"/>
    </row>
    <row r="128" ht="15" spans="1:21">
      <c r="A128" s="67"/>
      <c r="B128" s="62"/>
      <c r="C128" s="62"/>
      <c r="D128" s="62"/>
      <c r="E128" s="62"/>
      <c r="F128" s="62"/>
      <c r="G128" s="62"/>
      <c r="H128" s="62"/>
      <c r="I128" s="62"/>
      <c r="J128" s="62"/>
      <c r="U128" s="70"/>
    </row>
    <row r="129" ht="15" spans="1:21">
      <c r="A129" s="67"/>
      <c r="B129" s="62"/>
      <c r="C129" s="62"/>
      <c r="D129" s="62"/>
      <c r="E129" s="62"/>
      <c r="F129" s="62"/>
      <c r="G129" s="62"/>
      <c r="H129" s="62"/>
      <c r="I129" s="62"/>
      <c r="J129" s="62"/>
      <c r="U129" s="70"/>
    </row>
    <row r="130" ht="15" spans="1:21">
      <c r="A130" s="67"/>
      <c r="B130" s="62"/>
      <c r="C130" s="62"/>
      <c r="D130" s="62"/>
      <c r="E130" s="62"/>
      <c r="F130" s="62"/>
      <c r="G130" s="62"/>
      <c r="H130" s="62"/>
      <c r="I130" s="62"/>
      <c r="J130" s="62"/>
      <c r="U130" s="70"/>
    </row>
    <row r="131" ht="15" spans="1:21">
      <c r="A131" s="67"/>
      <c r="B131" s="62"/>
      <c r="C131" s="62"/>
      <c r="D131" s="62"/>
      <c r="E131" s="62"/>
      <c r="F131" s="62"/>
      <c r="G131" s="62"/>
      <c r="H131" s="62"/>
      <c r="I131" s="62"/>
      <c r="J131" s="62"/>
      <c r="U131" s="70"/>
    </row>
    <row r="132" ht="15" spans="1:21">
      <c r="A132" s="67"/>
      <c r="B132" s="62"/>
      <c r="C132" s="62"/>
      <c r="D132" s="62"/>
      <c r="E132" s="62"/>
      <c r="F132" s="62"/>
      <c r="G132" s="62"/>
      <c r="H132" s="62"/>
      <c r="I132" s="62"/>
      <c r="J132" s="62"/>
      <c r="U132" s="70"/>
    </row>
    <row r="133" ht="15" spans="1:21">
      <c r="A133" s="67"/>
      <c r="B133" s="62"/>
      <c r="C133" s="62"/>
      <c r="D133" s="62"/>
      <c r="E133" s="62"/>
      <c r="F133" s="62"/>
      <c r="G133" s="62"/>
      <c r="H133" s="62"/>
      <c r="I133" s="62"/>
      <c r="J133" s="62"/>
      <c r="U133" s="70"/>
    </row>
    <row r="134" ht="15" spans="1:21">
      <c r="A134" s="67"/>
      <c r="B134" s="62"/>
      <c r="C134" s="62"/>
      <c r="D134" s="62"/>
      <c r="E134" s="62"/>
      <c r="F134" s="62"/>
      <c r="G134" s="62"/>
      <c r="H134" s="62"/>
      <c r="I134" s="62"/>
      <c r="J134" s="62"/>
      <c r="U134" s="70"/>
    </row>
    <row r="135" ht="15" spans="1:21">
      <c r="A135" s="67"/>
      <c r="B135" s="62"/>
      <c r="C135" s="62"/>
      <c r="D135" s="62"/>
      <c r="E135" s="62"/>
      <c r="F135" s="62"/>
      <c r="G135" s="62"/>
      <c r="H135" s="62"/>
      <c r="I135" s="62"/>
      <c r="J135" s="62"/>
      <c r="U135" s="70"/>
    </row>
    <row r="136" ht="15" spans="1:21">
      <c r="A136" s="67"/>
      <c r="B136" s="62"/>
      <c r="C136" s="62"/>
      <c r="D136" s="62"/>
      <c r="E136" s="62"/>
      <c r="F136" s="62"/>
      <c r="G136" s="62"/>
      <c r="H136" s="62"/>
      <c r="I136" s="62"/>
      <c r="J136" s="62"/>
      <c r="U136" s="70"/>
    </row>
    <row r="137" ht="15" spans="1:21">
      <c r="A137" s="67"/>
      <c r="C137" s="62"/>
      <c r="D137" s="62"/>
      <c r="E137" s="62"/>
      <c r="F137" s="62"/>
      <c r="G137" s="62"/>
      <c r="H137" s="62"/>
      <c r="I137" s="62"/>
      <c r="J137" s="62"/>
      <c r="U137" s="70"/>
    </row>
    <row r="138" ht="15" spans="1:21">
      <c r="A138" s="67"/>
      <c r="B138" s="62"/>
      <c r="C138" s="62"/>
      <c r="D138" s="62"/>
      <c r="E138" s="62"/>
      <c r="F138" s="62"/>
      <c r="G138" s="62"/>
      <c r="H138" s="62"/>
      <c r="I138" s="62"/>
      <c r="J138" s="62"/>
      <c r="U138" s="70"/>
    </row>
    <row r="139" ht="15" spans="1:21">
      <c r="A139" s="67"/>
      <c r="B139" s="62"/>
      <c r="C139" s="62"/>
      <c r="D139" s="62"/>
      <c r="E139" s="62"/>
      <c r="F139" s="62"/>
      <c r="G139" s="62"/>
      <c r="H139" s="62"/>
      <c r="I139" s="62"/>
      <c r="J139" s="62"/>
      <c r="U139" s="70"/>
    </row>
    <row r="140" ht="15" spans="1:21">
      <c r="A140" s="67"/>
      <c r="B140" s="62"/>
      <c r="C140" s="62"/>
      <c r="D140" s="62"/>
      <c r="E140" s="62"/>
      <c r="F140" s="62"/>
      <c r="G140" s="62"/>
      <c r="H140" s="62"/>
      <c r="I140" s="62"/>
      <c r="J140" s="62"/>
      <c r="U140" s="70"/>
    </row>
    <row r="141" ht="15" spans="1:21">
      <c r="A141" s="67"/>
      <c r="C141" s="62"/>
      <c r="D141" s="62"/>
      <c r="E141" s="62"/>
      <c r="F141" s="62"/>
      <c r="G141" s="62"/>
      <c r="H141" s="62"/>
      <c r="I141" s="62"/>
      <c r="J141" s="62"/>
      <c r="U141" s="70"/>
    </row>
    <row r="142" ht="15" spans="1:21">
      <c r="A142" s="67"/>
      <c r="B142" s="62"/>
      <c r="C142" s="62"/>
      <c r="D142" s="62"/>
      <c r="E142" s="62"/>
      <c r="F142" s="62"/>
      <c r="G142" s="62"/>
      <c r="H142" s="62"/>
      <c r="I142" s="62"/>
      <c r="J142" s="62"/>
      <c r="U142" s="70"/>
    </row>
    <row r="143" ht="15" spans="1:21">
      <c r="A143" s="67"/>
      <c r="B143" s="62"/>
      <c r="C143" s="62"/>
      <c r="D143" s="62"/>
      <c r="E143" s="62"/>
      <c r="F143" s="62"/>
      <c r="G143" s="62"/>
      <c r="H143" s="62"/>
      <c r="I143" s="62"/>
      <c r="J143" s="62"/>
      <c r="U143" s="70"/>
    </row>
    <row r="144" ht="15" spans="1:21">
      <c r="A144" s="67"/>
      <c r="B144" s="62"/>
      <c r="C144" s="62"/>
      <c r="D144" s="62"/>
      <c r="E144" s="62"/>
      <c r="F144" s="62"/>
      <c r="G144" s="62"/>
      <c r="H144" s="62"/>
      <c r="I144" s="62"/>
      <c r="J144" s="62"/>
      <c r="U144" s="70"/>
    </row>
    <row r="145" ht="15" spans="1:21">
      <c r="A145" s="71"/>
      <c r="B145" s="62"/>
      <c r="C145" s="62"/>
      <c r="D145" s="62"/>
      <c r="E145" s="62"/>
      <c r="F145" s="62"/>
      <c r="G145" s="62"/>
      <c r="H145" s="62"/>
      <c r="I145" s="62"/>
      <c r="J145" s="62"/>
      <c r="U145" s="70"/>
    </row>
    <row r="146" ht="15" spans="1:21">
      <c r="A146" s="67"/>
      <c r="B146" s="62"/>
      <c r="C146" s="62"/>
      <c r="D146" s="62"/>
      <c r="E146" s="62"/>
      <c r="F146" s="62"/>
      <c r="G146" s="62"/>
      <c r="H146" s="62"/>
      <c r="I146" s="62"/>
      <c r="J146" s="62"/>
      <c r="U146" s="70"/>
    </row>
    <row r="147" ht="15" spans="1:21">
      <c r="A147" s="67"/>
      <c r="B147" s="62"/>
      <c r="C147" s="62"/>
      <c r="D147" s="62"/>
      <c r="E147" s="62"/>
      <c r="F147" s="62"/>
      <c r="G147" s="62"/>
      <c r="H147" s="62"/>
      <c r="I147" s="62"/>
      <c r="J147" s="62"/>
      <c r="U147" s="70"/>
    </row>
    <row r="148" ht="15" spans="1:21">
      <c r="A148" s="67"/>
      <c r="B148" s="62"/>
      <c r="C148" s="62"/>
      <c r="D148" s="62"/>
      <c r="E148" s="62"/>
      <c r="F148" s="62"/>
      <c r="G148" s="62"/>
      <c r="H148" s="62"/>
      <c r="I148" s="62"/>
      <c r="J148" s="62"/>
      <c r="U148" s="70"/>
    </row>
    <row r="149" ht="15" spans="1:21">
      <c r="A149" s="67"/>
      <c r="B149" s="62"/>
      <c r="C149" s="62"/>
      <c r="D149" s="62"/>
      <c r="E149" s="62"/>
      <c r="F149" s="62"/>
      <c r="G149" s="62"/>
      <c r="H149" s="62"/>
      <c r="I149" s="62"/>
      <c r="J149" s="62"/>
      <c r="U149" s="70"/>
    </row>
    <row r="150" ht="15" spans="1:21">
      <c r="A150" s="67"/>
      <c r="B150" s="62"/>
      <c r="C150" s="62"/>
      <c r="D150" s="62"/>
      <c r="E150" s="62"/>
      <c r="F150" s="62"/>
      <c r="G150" s="62"/>
      <c r="H150" s="62"/>
      <c r="I150" s="62"/>
      <c r="J150" s="62"/>
      <c r="U150" s="70"/>
    </row>
    <row r="151" ht="15" spans="1:21">
      <c r="A151" s="67"/>
      <c r="B151" s="62"/>
      <c r="C151" s="62"/>
      <c r="D151" s="62"/>
      <c r="E151" s="62"/>
      <c r="F151" s="62"/>
      <c r="G151" s="62"/>
      <c r="H151" s="62"/>
      <c r="I151" s="62"/>
      <c r="J151" s="62"/>
      <c r="U151" s="70"/>
    </row>
    <row r="152" ht="15" spans="1:21">
      <c r="A152" s="67"/>
      <c r="B152" s="62"/>
      <c r="C152" s="62"/>
      <c r="D152" s="62"/>
      <c r="E152" s="62"/>
      <c r="F152" s="62"/>
      <c r="G152" s="62"/>
      <c r="H152" s="62"/>
      <c r="I152" s="62"/>
      <c r="J152" s="62"/>
      <c r="U152" s="70"/>
    </row>
    <row r="153" ht="15" spans="1:21">
      <c r="A153" s="67"/>
      <c r="B153" s="62"/>
      <c r="C153" s="62"/>
      <c r="D153" s="62"/>
      <c r="E153" s="62"/>
      <c r="F153" s="62"/>
      <c r="G153" s="62"/>
      <c r="H153" s="62"/>
      <c r="I153" s="62"/>
      <c r="J153" s="62"/>
      <c r="U153" s="70"/>
    </row>
    <row r="154" ht="15" spans="1:21">
      <c r="A154" s="67"/>
      <c r="B154" s="62"/>
      <c r="C154" s="62"/>
      <c r="D154" s="62"/>
      <c r="E154" s="62"/>
      <c r="F154" s="62"/>
      <c r="G154" s="62"/>
      <c r="H154" s="62"/>
      <c r="I154" s="62"/>
      <c r="J154" s="62"/>
      <c r="U154" s="70"/>
    </row>
    <row r="155" ht="15" spans="1:21">
      <c r="A155" s="67"/>
      <c r="B155" s="62"/>
      <c r="C155" s="62"/>
      <c r="D155" s="62"/>
      <c r="E155" s="62"/>
      <c r="F155" s="62"/>
      <c r="G155" s="62"/>
      <c r="H155" s="62"/>
      <c r="I155" s="62"/>
      <c r="J155" s="62"/>
      <c r="U155" s="70"/>
    </row>
    <row r="156" ht="15" spans="1:21">
      <c r="A156" s="67"/>
      <c r="B156" s="62"/>
      <c r="C156" s="62"/>
      <c r="D156" s="62"/>
      <c r="E156" s="62"/>
      <c r="F156" s="62"/>
      <c r="G156" s="62"/>
      <c r="H156" s="62"/>
      <c r="I156" s="62"/>
      <c r="J156" s="62"/>
      <c r="U156" s="70"/>
    </row>
    <row r="157" ht="15" spans="1:21">
      <c r="A157" s="67"/>
      <c r="B157" s="62"/>
      <c r="C157" s="62"/>
      <c r="D157" s="62"/>
      <c r="E157" s="62"/>
      <c r="F157" s="62"/>
      <c r="G157" s="62"/>
      <c r="H157" s="62"/>
      <c r="I157" s="62"/>
      <c r="J157" s="62"/>
      <c r="U157" s="70"/>
    </row>
    <row r="158" ht="15" spans="1:21">
      <c r="A158" s="67"/>
      <c r="B158" s="62"/>
      <c r="C158" s="62"/>
      <c r="D158" s="62"/>
      <c r="E158" s="62"/>
      <c r="F158" s="62"/>
      <c r="G158" s="62"/>
      <c r="H158" s="62"/>
      <c r="I158" s="62"/>
      <c r="J158" s="62"/>
      <c r="U158" s="70"/>
    </row>
    <row r="159" ht="15" spans="1:21">
      <c r="A159" s="67"/>
      <c r="B159" s="62"/>
      <c r="C159" s="62"/>
      <c r="D159" s="62"/>
      <c r="E159" s="62"/>
      <c r="F159" s="62"/>
      <c r="G159" s="62"/>
      <c r="H159" s="62"/>
      <c r="I159" s="62"/>
      <c r="J159" s="62"/>
      <c r="U159" s="70"/>
    </row>
    <row r="160" ht="15" spans="1:21">
      <c r="A160" s="67"/>
      <c r="B160" s="62"/>
      <c r="C160" s="62"/>
      <c r="D160" s="62"/>
      <c r="E160" s="62"/>
      <c r="F160" s="62"/>
      <c r="G160" s="62"/>
      <c r="H160" s="62"/>
      <c r="I160" s="62"/>
      <c r="J160" s="62"/>
      <c r="U160" s="70"/>
    </row>
    <row r="161" ht="15" spans="1:21">
      <c r="A161" s="67"/>
      <c r="B161" s="62"/>
      <c r="C161" s="62"/>
      <c r="D161" s="62"/>
      <c r="E161" s="62"/>
      <c r="F161" s="62"/>
      <c r="G161" s="62"/>
      <c r="H161" s="62"/>
      <c r="I161" s="62"/>
      <c r="J161" s="62"/>
      <c r="U161" s="70"/>
    </row>
    <row r="162" ht="15" spans="1:21">
      <c r="A162" s="67"/>
      <c r="B162" s="62"/>
      <c r="C162" s="62"/>
      <c r="D162" s="62"/>
      <c r="E162" s="62"/>
      <c r="F162" s="62"/>
      <c r="G162" s="62"/>
      <c r="H162" s="62"/>
      <c r="I162" s="62"/>
      <c r="J162" s="62"/>
      <c r="U162" s="70"/>
    </row>
    <row r="163" ht="15" spans="1:21">
      <c r="A163" s="67"/>
      <c r="B163" s="62"/>
      <c r="C163" s="62"/>
      <c r="D163" s="62"/>
      <c r="E163" s="62"/>
      <c r="F163" s="62"/>
      <c r="G163" s="62"/>
      <c r="H163" s="62"/>
      <c r="I163" s="62"/>
      <c r="J163" s="62"/>
      <c r="U163" s="70"/>
    </row>
    <row r="164" ht="15" spans="1:21">
      <c r="A164" s="67"/>
      <c r="B164" s="62"/>
      <c r="C164" s="62"/>
      <c r="D164" s="62"/>
      <c r="E164" s="62"/>
      <c r="F164" s="62"/>
      <c r="G164" s="62"/>
      <c r="H164" s="62"/>
      <c r="I164" s="62"/>
      <c r="J164" s="62"/>
      <c r="U164" s="70"/>
    </row>
    <row r="165" ht="15" spans="1:21">
      <c r="A165" s="67"/>
      <c r="B165" s="62"/>
      <c r="C165" s="62"/>
      <c r="D165" s="62"/>
      <c r="E165" s="62"/>
      <c r="F165" s="62"/>
      <c r="G165" s="62"/>
      <c r="H165" s="62"/>
      <c r="I165" s="62"/>
      <c r="J165" s="62"/>
      <c r="U165" s="70"/>
    </row>
    <row r="166" ht="15" spans="1:21">
      <c r="A166" s="67"/>
      <c r="B166" s="62"/>
      <c r="C166" s="62"/>
      <c r="D166" s="62"/>
      <c r="E166" s="62"/>
      <c r="F166" s="62"/>
      <c r="G166" s="62"/>
      <c r="H166" s="62"/>
      <c r="I166" s="62"/>
      <c r="J166" s="62"/>
      <c r="U166" s="70"/>
    </row>
    <row r="167" ht="15" spans="1:21">
      <c r="A167" s="67"/>
      <c r="B167" s="62"/>
      <c r="C167" s="62"/>
      <c r="D167" s="62"/>
      <c r="E167" s="62"/>
      <c r="F167" s="62"/>
      <c r="G167" s="62"/>
      <c r="H167" s="62"/>
      <c r="I167" s="62"/>
      <c r="J167" s="62"/>
      <c r="U167" s="70"/>
    </row>
    <row r="168" ht="15" spans="1:21">
      <c r="A168" s="67"/>
      <c r="B168" s="62"/>
      <c r="C168" s="62"/>
      <c r="D168" s="62"/>
      <c r="E168" s="62"/>
      <c r="F168" s="62"/>
      <c r="G168" s="62"/>
      <c r="H168" s="62"/>
      <c r="I168" s="62"/>
      <c r="J168" s="62"/>
      <c r="U168" s="70"/>
    </row>
    <row r="169" ht="15" spans="1:21">
      <c r="A169" s="67"/>
      <c r="B169" s="62"/>
      <c r="C169" s="62"/>
      <c r="D169" s="62"/>
      <c r="E169" s="62"/>
      <c r="F169" s="62"/>
      <c r="G169" s="62"/>
      <c r="H169" s="62"/>
      <c r="I169" s="62"/>
      <c r="J169" s="62"/>
      <c r="U169" s="70"/>
    </row>
    <row r="170" ht="15" spans="1:21">
      <c r="A170" s="67"/>
      <c r="B170" s="62"/>
      <c r="C170" s="62"/>
      <c r="D170" s="62"/>
      <c r="E170" s="62"/>
      <c r="F170" s="62"/>
      <c r="G170" s="62"/>
      <c r="H170" s="62"/>
      <c r="I170" s="62"/>
      <c r="J170" s="62"/>
      <c r="U170" s="70"/>
    </row>
    <row r="171" ht="15" spans="1:21">
      <c r="A171" s="67"/>
      <c r="B171" s="62"/>
      <c r="C171" s="62"/>
      <c r="D171" s="62"/>
      <c r="E171" s="62"/>
      <c r="F171" s="62"/>
      <c r="G171" s="62"/>
      <c r="H171" s="62"/>
      <c r="I171" s="62"/>
      <c r="J171" s="62"/>
      <c r="U171" s="70"/>
    </row>
    <row r="172" ht="15" spans="1:21">
      <c r="A172" s="67"/>
      <c r="B172" s="62"/>
      <c r="C172" s="62"/>
      <c r="D172" s="62"/>
      <c r="E172" s="62"/>
      <c r="F172" s="62"/>
      <c r="G172" s="62"/>
      <c r="H172" s="62"/>
      <c r="I172" s="62"/>
      <c r="J172" s="62"/>
      <c r="U172" s="70"/>
    </row>
    <row r="173" ht="15" spans="1:21">
      <c r="A173" s="67"/>
      <c r="B173" s="62"/>
      <c r="C173" s="62"/>
      <c r="D173" s="62"/>
      <c r="E173" s="62"/>
      <c r="F173" s="62"/>
      <c r="G173" s="62"/>
      <c r="H173" s="62"/>
      <c r="I173" s="62"/>
      <c r="J173" s="62"/>
      <c r="U173" s="70"/>
    </row>
    <row r="174" ht="15" spans="1:21">
      <c r="A174" s="67"/>
      <c r="B174" s="62"/>
      <c r="C174" s="62"/>
      <c r="D174" s="62"/>
      <c r="E174" s="62"/>
      <c r="F174" s="62"/>
      <c r="G174" s="62"/>
      <c r="H174" s="62"/>
      <c r="I174" s="62"/>
      <c r="J174" s="62"/>
      <c r="U174" s="70"/>
    </row>
    <row r="175" ht="15" spans="1:21">
      <c r="A175" s="67"/>
      <c r="B175" s="62"/>
      <c r="C175" s="62"/>
      <c r="D175" s="62"/>
      <c r="E175" s="62"/>
      <c r="F175" s="62"/>
      <c r="G175" s="62"/>
      <c r="H175" s="62"/>
      <c r="I175" s="62"/>
      <c r="J175" s="62"/>
      <c r="U175" s="70"/>
    </row>
    <row r="176" ht="15" spans="1:21">
      <c r="A176" s="67"/>
      <c r="B176" s="62"/>
      <c r="C176" s="62"/>
      <c r="D176" s="62"/>
      <c r="E176" s="62"/>
      <c r="F176" s="62"/>
      <c r="G176" s="62"/>
      <c r="H176" s="62"/>
      <c r="I176" s="62"/>
      <c r="J176" s="62"/>
      <c r="U176" s="70"/>
    </row>
    <row r="177" ht="15" spans="1:21">
      <c r="A177" s="67"/>
      <c r="B177" s="62"/>
      <c r="C177" s="62"/>
      <c r="D177" s="62"/>
      <c r="E177" s="62"/>
      <c r="F177" s="62"/>
      <c r="G177" s="62"/>
      <c r="H177" s="62"/>
      <c r="I177" s="62"/>
      <c r="J177" s="62"/>
      <c r="U177" s="70"/>
    </row>
    <row r="178" ht="15" spans="1:21">
      <c r="A178" s="67"/>
      <c r="B178" s="62"/>
      <c r="C178" s="62"/>
      <c r="D178" s="62"/>
      <c r="E178" s="62"/>
      <c r="F178" s="62"/>
      <c r="G178" s="62"/>
      <c r="H178" s="62"/>
      <c r="I178" s="62"/>
      <c r="J178" s="62"/>
      <c r="U178" s="70"/>
    </row>
    <row r="179" ht="15" spans="1:21">
      <c r="A179" s="67"/>
      <c r="B179" s="62"/>
      <c r="C179" s="62"/>
      <c r="D179" s="62"/>
      <c r="E179" s="62"/>
      <c r="F179" s="62"/>
      <c r="G179" s="62"/>
      <c r="H179" s="62"/>
      <c r="I179" s="62"/>
      <c r="J179" s="62"/>
      <c r="U179" s="70"/>
    </row>
    <row r="180" ht="15" spans="1:21">
      <c r="A180" s="67"/>
      <c r="B180" s="62"/>
      <c r="C180" s="62"/>
      <c r="D180" s="62"/>
      <c r="E180" s="62"/>
      <c r="F180" s="62"/>
      <c r="G180" s="62"/>
      <c r="H180" s="62"/>
      <c r="I180" s="62"/>
      <c r="J180" s="62"/>
      <c r="U180" s="70"/>
    </row>
    <row r="181" ht="15" spans="1:21">
      <c r="A181" s="67"/>
      <c r="B181" s="62"/>
      <c r="C181" s="62"/>
      <c r="D181" s="62"/>
      <c r="E181" s="62"/>
      <c r="F181" s="62"/>
      <c r="G181" s="62"/>
      <c r="H181" s="62"/>
      <c r="I181" s="62"/>
      <c r="J181" s="62"/>
      <c r="U181" s="70"/>
    </row>
    <row r="182" ht="15" spans="1:21">
      <c r="A182" s="67"/>
      <c r="B182" s="62"/>
      <c r="C182" s="62"/>
      <c r="D182" s="62"/>
      <c r="E182" s="62"/>
      <c r="F182" s="62"/>
      <c r="G182" s="62"/>
      <c r="H182" s="62"/>
      <c r="I182" s="62"/>
      <c r="J182" s="62"/>
      <c r="U182" s="70"/>
    </row>
    <row r="183" ht="15" spans="1:21">
      <c r="A183" s="67"/>
      <c r="B183" s="62"/>
      <c r="C183" s="62"/>
      <c r="D183" s="62"/>
      <c r="E183" s="62"/>
      <c r="F183" s="62"/>
      <c r="G183" s="62"/>
      <c r="H183" s="62"/>
      <c r="I183" s="62"/>
      <c r="J183" s="62"/>
      <c r="U183" s="70"/>
    </row>
    <row r="184" ht="15" spans="1:21">
      <c r="A184" s="67"/>
      <c r="B184" s="62"/>
      <c r="C184" s="62"/>
      <c r="D184" s="62"/>
      <c r="E184" s="62"/>
      <c r="F184" s="62"/>
      <c r="G184" s="62"/>
      <c r="H184" s="62"/>
      <c r="I184" s="62"/>
      <c r="J184" s="62"/>
      <c r="U184" s="70"/>
    </row>
    <row r="185" ht="15" spans="1:21">
      <c r="A185" s="67"/>
      <c r="B185" s="62"/>
      <c r="C185" s="62"/>
      <c r="D185" s="62"/>
      <c r="E185" s="62"/>
      <c r="F185" s="62"/>
      <c r="G185" s="62"/>
      <c r="H185" s="62"/>
      <c r="I185" s="62"/>
      <c r="J185" s="62"/>
      <c r="U185" s="70"/>
    </row>
    <row r="186" ht="15" spans="1:21">
      <c r="A186" s="67"/>
      <c r="B186" s="62"/>
      <c r="C186" s="62"/>
      <c r="D186" s="62"/>
      <c r="E186" s="62"/>
      <c r="F186" s="62"/>
      <c r="G186" s="62"/>
      <c r="H186" s="62"/>
      <c r="I186" s="62"/>
      <c r="J186" s="62"/>
      <c r="U186" s="70"/>
    </row>
    <row r="187" ht="15" spans="1:21">
      <c r="A187" s="67"/>
      <c r="B187" s="62"/>
      <c r="C187" s="62"/>
      <c r="D187" s="62"/>
      <c r="E187" s="62"/>
      <c r="F187" s="62"/>
      <c r="G187" s="62"/>
      <c r="H187" s="62"/>
      <c r="I187" s="62"/>
      <c r="J187" s="62"/>
      <c r="U187" s="70"/>
    </row>
    <row r="188" ht="15" spans="1:21">
      <c r="A188" s="67"/>
      <c r="B188" s="62"/>
      <c r="C188" s="62"/>
      <c r="D188" s="62"/>
      <c r="E188" s="62"/>
      <c r="F188" s="62"/>
      <c r="G188" s="62"/>
      <c r="H188" s="62"/>
      <c r="I188" s="62"/>
      <c r="J188" s="62"/>
      <c r="U188" s="70"/>
    </row>
    <row r="189" ht="15" spans="1:21">
      <c r="A189" s="67"/>
      <c r="B189" s="62"/>
      <c r="C189" s="62"/>
      <c r="D189" s="62"/>
      <c r="E189" s="62"/>
      <c r="F189" s="62"/>
      <c r="G189" s="62"/>
      <c r="H189" s="62"/>
      <c r="I189" s="62"/>
      <c r="J189" s="62"/>
      <c r="U189" s="70"/>
    </row>
    <row r="190" ht="15" spans="1:21">
      <c r="A190" s="67"/>
      <c r="B190" s="62"/>
      <c r="C190" s="62"/>
      <c r="D190" s="62"/>
      <c r="E190" s="62"/>
      <c r="F190" s="62"/>
      <c r="G190" s="62"/>
      <c r="H190" s="62"/>
      <c r="I190" s="62"/>
      <c r="J190" s="62"/>
      <c r="U190" s="70"/>
    </row>
    <row r="191" ht="15" spans="1:21">
      <c r="A191" s="67"/>
      <c r="B191" s="62"/>
      <c r="C191" s="62"/>
      <c r="D191" s="62"/>
      <c r="E191" s="62"/>
      <c r="F191" s="62"/>
      <c r="G191" s="62"/>
      <c r="H191" s="62"/>
      <c r="I191" s="62"/>
      <c r="J191" s="62"/>
      <c r="U191" s="70"/>
    </row>
    <row r="192" ht="15" spans="1:21">
      <c r="A192" s="67"/>
      <c r="B192" s="62"/>
      <c r="C192" s="62"/>
      <c r="D192" s="62"/>
      <c r="E192" s="62"/>
      <c r="F192" s="62"/>
      <c r="G192" s="62"/>
      <c r="H192" s="62"/>
      <c r="I192" s="62"/>
      <c r="J192" s="62"/>
      <c r="U192" s="70"/>
    </row>
    <row r="193" ht="15" spans="1:21">
      <c r="A193" s="67"/>
      <c r="B193" s="62"/>
      <c r="C193" s="62"/>
      <c r="D193" s="62"/>
      <c r="E193" s="62"/>
      <c r="F193" s="62"/>
      <c r="G193" s="62"/>
      <c r="H193" s="62"/>
      <c r="I193" s="62"/>
      <c r="J193" s="62"/>
      <c r="U193" s="70"/>
    </row>
    <row r="194" ht="15" spans="1:21">
      <c r="A194" s="67"/>
      <c r="B194" s="62"/>
      <c r="C194" s="62"/>
      <c r="D194" s="62"/>
      <c r="E194" s="62"/>
      <c r="F194" s="62"/>
      <c r="G194" s="62"/>
      <c r="H194" s="62"/>
      <c r="I194" s="62"/>
      <c r="J194" s="62"/>
      <c r="U194" s="70"/>
    </row>
    <row r="195" ht="15" spans="1:21">
      <c r="A195" s="67"/>
      <c r="B195" s="62"/>
      <c r="C195" s="62"/>
      <c r="D195" s="62"/>
      <c r="E195" s="62"/>
      <c r="F195" s="62"/>
      <c r="G195" s="62"/>
      <c r="H195" s="62"/>
      <c r="I195" s="62"/>
      <c r="J195" s="62"/>
      <c r="U195" s="70"/>
    </row>
    <row r="196" ht="15" spans="1:21">
      <c r="A196" s="67"/>
      <c r="B196" s="62"/>
      <c r="C196" s="62"/>
      <c r="D196" s="62"/>
      <c r="E196" s="62"/>
      <c r="F196" s="62"/>
      <c r="G196" s="62"/>
      <c r="H196" s="62"/>
      <c r="I196" s="62"/>
      <c r="J196" s="62"/>
      <c r="U196" s="70"/>
    </row>
    <row r="197" ht="15" spans="1:21">
      <c r="A197" s="67"/>
      <c r="B197" s="62"/>
      <c r="C197" s="62"/>
      <c r="D197" s="62"/>
      <c r="E197" s="62"/>
      <c r="F197" s="62"/>
      <c r="G197" s="62"/>
      <c r="H197" s="62"/>
      <c r="I197" s="62"/>
      <c r="J197" s="62"/>
      <c r="U197" s="70"/>
    </row>
    <row r="198" ht="15" spans="1:21">
      <c r="A198" s="67"/>
      <c r="B198" s="62"/>
      <c r="C198" s="62"/>
      <c r="D198" s="62"/>
      <c r="E198" s="62"/>
      <c r="F198" s="62"/>
      <c r="G198" s="62"/>
      <c r="H198" s="62"/>
      <c r="I198" s="62"/>
      <c r="J198" s="62"/>
      <c r="U198" s="70"/>
    </row>
    <row r="199" ht="15" spans="1:21">
      <c r="A199" s="67"/>
      <c r="B199" s="62"/>
      <c r="C199" s="62"/>
      <c r="D199" s="62"/>
      <c r="E199" s="62"/>
      <c r="F199" s="62"/>
      <c r="G199" s="62"/>
      <c r="H199" s="62"/>
      <c r="I199" s="62"/>
      <c r="J199" s="62"/>
      <c r="U199" s="70"/>
    </row>
    <row r="200" ht="15" spans="1:21">
      <c r="A200" s="67"/>
      <c r="B200" s="62"/>
      <c r="C200" s="62"/>
      <c r="D200" s="62"/>
      <c r="E200" s="62"/>
      <c r="F200" s="62"/>
      <c r="G200" s="62"/>
      <c r="H200" s="62"/>
      <c r="I200" s="62"/>
      <c r="J200" s="62"/>
      <c r="U200" s="70"/>
    </row>
    <row r="201" ht="15" spans="1:21">
      <c r="A201" s="67"/>
      <c r="B201" s="62"/>
      <c r="C201" s="62"/>
      <c r="D201" s="62"/>
      <c r="E201" s="62"/>
      <c r="F201" s="62"/>
      <c r="G201" s="62"/>
      <c r="H201" s="62"/>
      <c r="I201" s="62"/>
      <c r="J201" s="62"/>
      <c r="U201" s="70"/>
    </row>
    <row r="202" ht="15" spans="1:21">
      <c r="A202" s="67"/>
      <c r="B202" s="62"/>
      <c r="C202" s="62"/>
      <c r="D202" s="62"/>
      <c r="E202" s="62"/>
      <c r="F202" s="62"/>
      <c r="G202" s="62"/>
      <c r="H202" s="62"/>
      <c r="I202" s="62"/>
      <c r="J202" s="62"/>
      <c r="U202" s="70"/>
    </row>
    <row r="203" ht="15" spans="1:21">
      <c r="A203" s="67"/>
      <c r="B203" s="62"/>
      <c r="C203" s="62"/>
      <c r="D203" s="62"/>
      <c r="E203" s="62"/>
      <c r="F203" s="62"/>
      <c r="G203" s="62"/>
      <c r="H203" s="62"/>
      <c r="I203" s="62"/>
      <c r="J203" s="62"/>
      <c r="U203" s="70"/>
    </row>
    <row r="204" ht="15" spans="1:21">
      <c r="A204" s="67"/>
      <c r="B204" s="62"/>
      <c r="C204" s="62"/>
      <c r="D204" s="62"/>
      <c r="E204" s="62"/>
      <c r="F204" s="62"/>
      <c r="G204" s="62"/>
      <c r="H204" s="62"/>
      <c r="I204" s="62"/>
      <c r="J204" s="62"/>
      <c r="U204" s="70"/>
    </row>
    <row r="205" ht="15" spans="1:21">
      <c r="A205" s="67"/>
      <c r="B205" s="62"/>
      <c r="C205" s="62"/>
      <c r="D205" s="62"/>
      <c r="E205" s="62"/>
      <c r="F205" s="62"/>
      <c r="G205" s="62"/>
      <c r="H205" s="62"/>
      <c r="I205" s="62"/>
      <c r="J205" s="62"/>
      <c r="U205" s="70"/>
    </row>
    <row r="206" ht="15" spans="1:21">
      <c r="A206" s="67"/>
      <c r="B206" s="62"/>
      <c r="C206" s="62"/>
      <c r="D206" s="62"/>
      <c r="E206" s="62"/>
      <c r="F206" s="62"/>
      <c r="G206" s="62"/>
      <c r="H206" s="62"/>
      <c r="I206" s="62"/>
      <c r="J206" s="62"/>
      <c r="U206" s="70"/>
    </row>
    <row r="207" ht="15" spans="1:21">
      <c r="A207" s="67"/>
      <c r="B207" s="62"/>
      <c r="C207" s="62"/>
      <c r="D207" s="62"/>
      <c r="E207" s="62"/>
      <c r="F207" s="62"/>
      <c r="G207" s="62"/>
      <c r="H207" s="62"/>
      <c r="I207" s="62"/>
      <c r="J207" s="62"/>
      <c r="U207" s="70"/>
    </row>
    <row r="208" ht="15" spans="1:21">
      <c r="A208" s="67"/>
      <c r="B208" s="62"/>
      <c r="C208" s="62"/>
      <c r="D208" s="62"/>
      <c r="E208" s="62"/>
      <c r="F208" s="62"/>
      <c r="G208" s="62"/>
      <c r="H208" s="62"/>
      <c r="I208" s="62"/>
      <c r="J208" s="62"/>
      <c r="U208" s="70"/>
    </row>
    <row r="209" ht="15" spans="1:21">
      <c r="A209" s="67"/>
      <c r="B209" s="62"/>
      <c r="C209" s="62"/>
      <c r="D209" s="62"/>
      <c r="E209" s="62"/>
      <c r="F209" s="62"/>
      <c r="G209" s="62"/>
      <c r="H209" s="62"/>
      <c r="I209" s="62"/>
      <c r="J209" s="62"/>
      <c r="U209" s="70"/>
    </row>
    <row r="210" ht="15" spans="1:21">
      <c r="A210" s="67"/>
      <c r="B210" s="62"/>
      <c r="C210" s="62"/>
      <c r="D210" s="62"/>
      <c r="E210" s="62"/>
      <c r="F210" s="62"/>
      <c r="G210" s="62"/>
      <c r="H210" s="62"/>
      <c r="I210" s="62"/>
      <c r="J210" s="62"/>
      <c r="U210" s="70"/>
    </row>
    <row r="211" ht="15" spans="1:21">
      <c r="A211" s="67"/>
      <c r="B211" s="62"/>
      <c r="C211" s="62"/>
      <c r="D211" s="62"/>
      <c r="E211" s="62"/>
      <c r="F211" s="62"/>
      <c r="G211" s="62"/>
      <c r="H211" s="62"/>
      <c r="I211" s="62"/>
      <c r="J211" s="62"/>
      <c r="U211" s="70"/>
    </row>
    <row r="212" ht="15" spans="1:21">
      <c r="A212" s="67"/>
      <c r="B212" s="62"/>
      <c r="C212" s="62"/>
      <c r="D212" s="62"/>
      <c r="E212" s="62"/>
      <c r="F212" s="62"/>
      <c r="G212" s="62"/>
      <c r="H212" s="62"/>
      <c r="I212" s="62"/>
      <c r="J212" s="62"/>
      <c r="U212" s="70"/>
    </row>
    <row r="213" ht="17.5" customHeight="1" spans="1:21">
      <c r="A213" s="72"/>
      <c r="B213" s="10"/>
      <c r="C213" s="10"/>
      <c r="D213" s="10"/>
      <c r="E213" s="10"/>
      <c r="F213" s="10"/>
      <c r="G213" s="10"/>
      <c r="H213" s="10"/>
      <c r="I213" s="10"/>
      <c r="J213" s="10"/>
      <c r="K213" s="10"/>
      <c r="L213" s="10"/>
      <c r="M213" s="10"/>
      <c r="N213" s="10"/>
      <c r="O213" s="10"/>
      <c r="P213" s="10"/>
      <c r="Q213" s="10"/>
      <c r="R213" s="10"/>
      <c r="S213" s="10"/>
      <c r="T213" s="10"/>
      <c r="U213" s="82"/>
    </row>
    <row r="214" ht="17.5" customHeight="1" spans="1:21">
      <c r="A214" s="72"/>
      <c r="B214" s="10"/>
      <c r="C214" s="10"/>
      <c r="D214" s="10"/>
      <c r="E214" s="10"/>
      <c r="F214" s="10"/>
      <c r="G214" s="10"/>
      <c r="H214" s="10"/>
      <c r="I214" s="10"/>
      <c r="J214" s="10"/>
      <c r="K214" s="10"/>
      <c r="L214" s="10"/>
      <c r="M214" s="10"/>
      <c r="N214" s="10"/>
      <c r="O214" s="10"/>
      <c r="P214" s="10"/>
      <c r="Q214" s="10"/>
      <c r="R214" s="10"/>
      <c r="S214" s="10"/>
      <c r="T214" s="10"/>
      <c r="U214" s="82"/>
    </row>
    <row r="215" ht="17.5" customHeight="1" spans="1:21">
      <c r="A215" s="72"/>
      <c r="B215" s="10"/>
      <c r="C215" s="10"/>
      <c r="D215" s="10"/>
      <c r="E215" s="10"/>
      <c r="F215" s="10"/>
      <c r="G215" s="10"/>
      <c r="H215" s="10"/>
      <c r="I215" s="10"/>
      <c r="J215" s="10"/>
      <c r="K215" s="10"/>
      <c r="L215" s="10"/>
      <c r="M215" s="10"/>
      <c r="N215" s="10"/>
      <c r="O215" s="10"/>
      <c r="P215" s="10"/>
      <c r="Q215" s="10"/>
      <c r="R215" s="10"/>
      <c r="S215" s="10"/>
      <c r="T215" s="10"/>
      <c r="U215" s="82"/>
    </row>
    <row r="216" ht="17.5" customHeight="1" spans="1:21">
      <c r="A216" s="72"/>
      <c r="B216" s="10"/>
      <c r="C216" s="10"/>
      <c r="D216" s="10"/>
      <c r="E216" s="10"/>
      <c r="F216" s="10"/>
      <c r="G216" s="10"/>
      <c r="H216" s="10"/>
      <c r="I216" s="10"/>
      <c r="J216" s="10"/>
      <c r="K216" s="10"/>
      <c r="L216" s="10"/>
      <c r="M216" s="10"/>
      <c r="N216" s="10"/>
      <c r="O216" s="10"/>
      <c r="P216" s="10"/>
      <c r="Q216" s="10"/>
      <c r="R216" s="10"/>
      <c r="S216" s="10"/>
      <c r="T216" s="10"/>
      <c r="U216" s="82"/>
    </row>
    <row r="217" ht="17.5" customHeight="1" spans="1:21">
      <c r="A217" s="72"/>
      <c r="B217" s="10"/>
      <c r="C217" s="10"/>
      <c r="D217" s="10"/>
      <c r="E217" s="10"/>
      <c r="F217" s="10"/>
      <c r="G217" s="10"/>
      <c r="H217" s="10"/>
      <c r="I217" s="10"/>
      <c r="J217" s="10"/>
      <c r="K217" s="10"/>
      <c r="L217" s="10"/>
      <c r="M217" s="10"/>
      <c r="N217" s="10"/>
      <c r="O217" s="10"/>
      <c r="P217" s="10"/>
      <c r="Q217" s="10"/>
      <c r="R217" s="10"/>
      <c r="S217" s="10"/>
      <c r="T217" s="10"/>
      <c r="U217" s="82"/>
    </row>
    <row r="218" ht="17.5" customHeight="1" spans="1:21">
      <c r="A218" s="72"/>
      <c r="B218" s="10"/>
      <c r="C218" s="10"/>
      <c r="D218" s="10"/>
      <c r="E218" s="10"/>
      <c r="F218" s="10"/>
      <c r="G218" s="10"/>
      <c r="H218" s="10"/>
      <c r="I218" s="10"/>
      <c r="J218" s="10"/>
      <c r="K218" s="10"/>
      <c r="L218" s="10"/>
      <c r="M218" s="10"/>
      <c r="N218" s="10"/>
      <c r="O218" s="10"/>
      <c r="P218" s="10"/>
      <c r="Q218" s="10"/>
      <c r="R218" s="10"/>
      <c r="S218" s="10"/>
      <c r="T218" s="10"/>
      <c r="U218" s="82"/>
    </row>
    <row r="219" ht="17.5" customHeight="1" spans="1:21">
      <c r="A219" s="72"/>
      <c r="B219" s="10"/>
      <c r="C219" s="10"/>
      <c r="D219" s="10"/>
      <c r="E219" s="10"/>
      <c r="F219" s="10"/>
      <c r="G219" s="10"/>
      <c r="H219" s="10"/>
      <c r="I219" s="10"/>
      <c r="J219" s="10"/>
      <c r="K219" s="10"/>
      <c r="L219" s="10"/>
      <c r="M219" s="10"/>
      <c r="N219" s="10"/>
      <c r="O219" s="10"/>
      <c r="P219" s="10"/>
      <c r="Q219" s="10"/>
      <c r="R219" s="10"/>
      <c r="S219" s="10"/>
      <c r="T219" s="10"/>
      <c r="U219" s="82"/>
    </row>
    <row r="220" ht="17.5" customHeight="1" spans="1:21">
      <c r="A220" s="72"/>
      <c r="B220" s="10"/>
      <c r="C220" s="10"/>
      <c r="D220" s="10"/>
      <c r="E220" s="10"/>
      <c r="F220" s="10"/>
      <c r="G220" s="10"/>
      <c r="H220" s="10"/>
      <c r="I220" s="10"/>
      <c r="J220" s="10"/>
      <c r="K220" s="10"/>
      <c r="L220" s="10"/>
      <c r="M220" s="10"/>
      <c r="N220" s="10"/>
      <c r="O220" s="10"/>
      <c r="P220" s="10"/>
      <c r="Q220" s="10"/>
      <c r="R220" s="10"/>
      <c r="S220" s="10"/>
      <c r="T220" s="10"/>
      <c r="U220" s="82"/>
    </row>
    <row r="221" ht="17.5" customHeight="1" spans="1:21">
      <c r="A221" s="72" t="s">
        <v>431</v>
      </c>
      <c r="B221" s="10"/>
      <c r="C221" s="10"/>
      <c r="D221" s="10"/>
      <c r="E221" s="10"/>
      <c r="F221" s="10"/>
      <c r="G221" s="10"/>
      <c r="H221" s="10"/>
      <c r="I221" s="10"/>
      <c r="J221" s="10"/>
      <c r="K221" s="10"/>
      <c r="L221" s="10"/>
      <c r="M221" s="10"/>
      <c r="N221" s="10"/>
      <c r="O221" s="10"/>
      <c r="P221" s="10"/>
      <c r="Q221" s="10"/>
      <c r="R221" s="10"/>
      <c r="S221" s="10"/>
      <c r="T221" s="10"/>
      <c r="U221" s="82"/>
    </row>
    <row r="222" ht="10" customHeight="1" spans="1:21">
      <c r="A222" s="73"/>
      <c r="B222" s="74"/>
      <c r="C222" s="74"/>
      <c r="D222" s="74"/>
      <c r="E222" s="74"/>
      <c r="F222" s="74"/>
      <c r="G222" s="74"/>
      <c r="H222" s="74"/>
      <c r="I222" s="74"/>
      <c r="J222" s="74"/>
      <c r="K222" s="74"/>
      <c r="L222" s="74"/>
      <c r="M222" s="74"/>
      <c r="N222" s="74"/>
      <c r="O222" s="74"/>
      <c r="P222" s="74"/>
      <c r="Q222" s="74"/>
      <c r="R222" s="74"/>
      <c r="S222" s="74"/>
      <c r="T222" s="74"/>
      <c r="U222" s="83"/>
    </row>
    <row r="223" ht="17.5" spans="1:21">
      <c r="A223" s="72"/>
      <c r="B223" s="10"/>
      <c r="C223" s="10"/>
      <c r="D223" s="10"/>
      <c r="E223" s="10"/>
      <c r="F223" s="10"/>
      <c r="G223" s="10"/>
      <c r="H223" s="10"/>
      <c r="I223" s="10"/>
      <c r="J223" s="10"/>
      <c r="K223" s="10"/>
      <c r="L223" s="10"/>
      <c r="M223" s="10"/>
      <c r="N223" s="10"/>
      <c r="O223" s="10"/>
      <c r="P223" s="10"/>
      <c r="Q223" s="10"/>
      <c r="R223" s="10"/>
      <c r="S223" s="10"/>
      <c r="T223" s="10"/>
      <c r="U223" s="82"/>
    </row>
    <row r="224" ht="17.5" spans="1:21">
      <c r="A224" s="72"/>
      <c r="B224" s="10"/>
      <c r="C224" s="10"/>
      <c r="D224" s="10"/>
      <c r="E224" s="10"/>
      <c r="F224" s="10"/>
      <c r="G224" s="10"/>
      <c r="H224" s="10"/>
      <c r="I224" s="10"/>
      <c r="J224" s="10"/>
      <c r="K224" s="10"/>
      <c r="L224" s="10"/>
      <c r="M224" s="10"/>
      <c r="N224" s="10"/>
      <c r="O224" s="10"/>
      <c r="P224" s="10"/>
      <c r="Q224" s="10"/>
      <c r="R224" s="10"/>
      <c r="S224" s="10"/>
      <c r="T224" s="10"/>
      <c r="U224" s="82"/>
    </row>
    <row r="225" ht="17.5" spans="1:21">
      <c r="A225" s="72"/>
      <c r="B225" s="10"/>
      <c r="C225" s="10"/>
      <c r="D225" s="10"/>
      <c r="E225" s="10"/>
      <c r="F225" s="10"/>
      <c r="G225" s="10"/>
      <c r="H225" s="10"/>
      <c r="I225" s="10"/>
      <c r="J225" s="10"/>
      <c r="K225" s="10"/>
      <c r="L225" s="10"/>
      <c r="M225" s="10"/>
      <c r="N225" s="10"/>
      <c r="O225" s="10"/>
      <c r="P225" s="10"/>
      <c r="Q225" s="10"/>
      <c r="R225" s="10"/>
      <c r="S225" s="10"/>
      <c r="T225" s="10"/>
      <c r="U225" s="82"/>
    </row>
    <row r="226" ht="17.5" spans="1:21">
      <c r="A226" s="72"/>
      <c r="B226" s="10"/>
      <c r="C226" s="10"/>
      <c r="D226" s="10"/>
      <c r="E226" s="10"/>
      <c r="F226" s="10"/>
      <c r="G226" s="10"/>
      <c r="H226" s="10"/>
      <c r="I226" s="10"/>
      <c r="J226" s="10"/>
      <c r="K226" s="10"/>
      <c r="L226" s="10"/>
      <c r="M226" s="10"/>
      <c r="N226" s="10"/>
      <c r="O226" s="10"/>
      <c r="P226" s="10"/>
      <c r="Q226" s="10"/>
      <c r="R226" s="10"/>
      <c r="S226" s="10"/>
      <c r="T226" s="10"/>
      <c r="U226" s="82"/>
    </row>
    <row r="227" ht="17.5" spans="1:21">
      <c r="A227" s="72"/>
      <c r="B227" s="10"/>
      <c r="C227" s="10"/>
      <c r="D227" s="10"/>
      <c r="E227" s="10"/>
      <c r="F227" s="10"/>
      <c r="G227" s="10"/>
      <c r="H227" s="10"/>
      <c r="I227" s="10"/>
      <c r="J227" s="10"/>
      <c r="K227" s="10"/>
      <c r="L227" s="10"/>
      <c r="M227" s="10"/>
      <c r="N227" s="10"/>
      <c r="O227" s="10"/>
      <c r="P227" s="10"/>
      <c r="Q227" s="10"/>
      <c r="R227" s="10"/>
      <c r="S227" s="10"/>
      <c r="T227" s="10"/>
      <c r="U227" s="82"/>
    </row>
    <row r="228" ht="17.5" spans="1:21">
      <c r="A228" s="72"/>
      <c r="B228" s="10"/>
      <c r="C228" s="10"/>
      <c r="D228" s="10"/>
      <c r="E228" s="10"/>
      <c r="F228" s="10"/>
      <c r="G228" s="10"/>
      <c r="H228" s="10"/>
      <c r="I228" s="10"/>
      <c r="J228" s="10"/>
      <c r="K228" s="10"/>
      <c r="L228" s="10"/>
      <c r="M228" s="10"/>
      <c r="N228" s="10"/>
      <c r="O228" s="10"/>
      <c r="P228" s="10"/>
      <c r="Q228" s="10"/>
      <c r="R228" s="10"/>
      <c r="S228" s="10"/>
      <c r="T228" s="10"/>
      <c r="U228" s="82"/>
    </row>
    <row r="229" ht="17.5" spans="1:21">
      <c r="A229" s="72"/>
      <c r="B229" s="10"/>
      <c r="C229" s="10"/>
      <c r="D229" s="10"/>
      <c r="E229" s="10"/>
      <c r="F229" s="10"/>
      <c r="G229" s="10"/>
      <c r="H229" s="10"/>
      <c r="I229" s="10"/>
      <c r="J229" s="10"/>
      <c r="K229" s="10"/>
      <c r="L229" s="10"/>
      <c r="M229" s="10"/>
      <c r="N229" s="10"/>
      <c r="O229" s="10"/>
      <c r="P229" s="10"/>
      <c r="Q229" s="10"/>
      <c r="R229" s="10"/>
      <c r="S229" s="10"/>
      <c r="T229" s="10"/>
      <c r="U229" s="82"/>
    </row>
    <row r="230" ht="17.5" spans="1:21">
      <c r="A230" s="72"/>
      <c r="B230" s="10"/>
      <c r="C230" s="10"/>
      <c r="D230" s="10"/>
      <c r="E230" s="10"/>
      <c r="F230" s="10"/>
      <c r="G230" s="10"/>
      <c r="H230" s="10"/>
      <c r="I230" s="10"/>
      <c r="J230" s="10"/>
      <c r="K230" s="10"/>
      <c r="L230" s="10"/>
      <c r="M230" s="10"/>
      <c r="N230" s="10"/>
      <c r="O230" s="10"/>
      <c r="P230" s="10"/>
      <c r="Q230" s="10"/>
      <c r="R230" s="10"/>
      <c r="S230" s="10"/>
      <c r="T230" s="10"/>
      <c r="U230" s="82"/>
    </row>
    <row r="231" ht="17.5" spans="1:21">
      <c r="A231" s="72"/>
      <c r="B231" s="10"/>
      <c r="C231" s="10"/>
      <c r="D231" s="10"/>
      <c r="E231" s="10"/>
      <c r="F231" s="10"/>
      <c r="G231" s="10"/>
      <c r="H231" s="10"/>
      <c r="I231" s="10"/>
      <c r="J231" s="10"/>
      <c r="K231" s="10"/>
      <c r="L231" s="10"/>
      <c r="M231" s="10"/>
      <c r="N231" s="10"/>
      <c r="O231" s="10"/>
      <c r="P231" s="10"/>
      <c r="Q231" s="10"/>
      <c r="R231" s="10"/>
      <c r="S231" s="10"/>
      <c r="T231" s="10"/>
      <c r="U231" s="82"/>
    </row>
    <row r="232" ht="17.5" spans="1:21">
      <c r="A232" s="72"/>
      <c r="B232" s="10"/>
      <c r="C232" s="10"/>
      <c r="D232" s="10"/>
      <c r="E232" s="10"/>
      <c r="F232" s="10"/>
      <c r="G232" s="10"/>
      <c r="H232" s="10"/>
      <c r="I232" s="10"/>
      <c r="J232" s="10"/>
      <c r="K232" s="10"/>
      <c r="L232" s="10"/>
      <c r="M232" s="10"/>
      <c r="N232" s="10"/>
      <c r="O232" s="10"/>
      <c r="P232" s="10"/>
      <c r="Q232" s="10"/>
      <c r="R232" s="10"/>
      <c r="S232" s="10"/>
      <c r="T232" s="10"/>
      <c r="U232" s="82"/>
    </row>
    <row r="233" ht="17.5" spans="1:21">
      <c r="A233" s="72"/>
      <c r="B233" s="10"/>
      <c r="C233" s="10"/>
      <c r="D233" s="10"/>
      <c r="E233" s="10"/>
      <c r="F233" s="10"/>
      <c r="G233" s="10"/>
      <c r="H233" s="10"/>
      <c r="I233" s="10"/>
      <c r="J233" s="10"/>
      <c r="K233" s="10"/>
      <c r="L233" s="10"/>
      <c r="M233" s="10"/>
      <c r="N233" s="10"/>
      <c r="O233" s="10"/>
      <c r="P233" s="10"/>
      <c r="Q233" s="10"/>
      <c r="R233" s="10"/>
      <c r="S233" s="10"/>
      <c r="T233" s="10"/>
      <c r="U233" s="82"/>
    </row>
    <row r="234" ht="17.5" spans="1:21">
      <c r="A234" s="72"/>
      <c r="B234" s="10"/>
      <c r="C234" s="10"/>
      <c r="D234" s="10"/>
      <c r="E234" s="10"/>
      <c r="F234" s="10"/>
      <c r="G234" s="10"/>
      <c r="H234" s="10"/>
      <c r="I234" s="10"/>
      <c r="J234" s="10"/>
      <c r="K234" s="10"/>
      <c r="L234" s="10"/>
      <c r="M234" s="10"/>
      <c r="N234" s="10"/>
      <c r="O234" s="10"/>
      <c r="P234" s="10"/>
      <c r="Q234" s="10"/>
      <c r="R234" s="10"/>
      <c r="S234" s="10"/>
      <c r="T234" s="10"/>
      <c r="U234" s="82"/>
    </row>
    <row r="235" ht="17.5" spans="1:21">
      <c r="A235" s="72"/>
      <c r="B235" s="10"/>
      <c r="C235" s="10"/>
      <c r="D235" s="10"/>
      <c r="E235" s="10"/>
      <c r="F235" s="10"/>
      <c r="G235" s="10"/>
      <c r="H235" s="10"/>
      <c r="I235" s="10"/>
      <c r="J235" s="10"/>
      <c r="K235" s="10"/>
      <c r="L235" s="10"/>
      <c r="M235" s="10"/>
      <c r="N235" s="10"/>
      <c r="O235" s="10"/>
      <c r="P235" s="10"/>
      <c r="Q235" s="10"/>
      <c r="R235" s="10"/>
      <c r="S235" s="10"/>
      <c r="T235" s="10"/>
      <c r="U235" s="82"/>
    </row>
    <row r="236" ht="17.5" spans="1:21">
      <c r="A236" s="72"/>
      <c r="B236" s="10"/>
      <c r="C236" s="10"/>
      <c r="D236" s="10"/>
      <c r="E236" s="10"/>
      <c r="F236" s="10"/>
      <c r="G236" s="10"/>
      <c r="H236" s="10"/>
      <c r="I236" s="10"/>
      <c r="J236" s="10"/>
      <c r="K236" s="10"/>
      <c r="L236" s="10"/>
      <c r="M236" s="10"/>
      <c r="N236" s="10"/>
      <c r="O236" s="10"/>
      <c r="P236" s="10"/>
      <c r="Q236" s="10"/>
      <c r="R236" s="10"/>
      <c r="S236" s="10"/>
      <c r="T236" s="10"/>
      <c r="U236" s="82"/>
    </row>
    <row r="237" ht="13.5" customHeight="1" spans="1:21">
      <c r="A237" s="75" t="s">
        <v>432</v>
      </c>
      <c r="B237" s="76"/>
      <c r="C237" s="76"/>
      <c r="D237" s="76"/>
      <c r="E237" s="76"/>
      <c r="F237" s="76"/>
      <c r="G237" s="76"/>
      <c r="H237" s="76"/>
      <c r="I237" s="76"/>
      <c r="J237" s="76"/>
      <c r="K237" s="76"/>
      <c r="L237" s="76"/>
      <c r="M237" s="76"/>
      <c r="N237" s="76"/>
      <c r="O237" s="76"/>
      <c r="P237" s="76"/>
      <c r="Q237" s="76"/>
      <c r="R237" s="76"/>
      <c r="S237" s="76"/>
      <c r="T237" s="76"/>
      <c r="U237" s="84"/>
    </row>
    <row r="238" ht="13.5" customHeight="1" spans="1:21">
      <c r="A238" s="75"/>
      <c r="B238" s="76"/>
      <c r="C238" s="76"/>
      <c r="D238" s="76"/>
      <c r="E238" s="76"/>
      <c r="F238" s="76"/>
      <c r="G238" s="76"/>
      <c r="H238" s="76"/>
      <c r="I238" s="76"/>
      <c r="J238" s="76"/>
      <c r="K238" s="76"/>
      <c r="L238" s="76"/>
      <c r="M238" s="76"/>
      <c r="N238" s="76"/>
      <c r="O238" s="76"/>
      <c r="P238" s="76"/>
      <c r="Q238" s="76"/>
      <c r="R238" s="76"/>
      <c r="S238" s="76"/>
      <c r="T238" s="76"/>
      <c r="U238" s="84"/>
    </row>
    <row r="239" ht="13.5" customHeight="1" spans="1:21">
      <c r="A239" s="75"/>
      <c r="B239" s="76"/>
      <c r="C239" s="76"/>
      <c r="D239" s="76"/>
      <c r="E239" s="76"/>
      <c r="F239" s="76"/>
      <c r="G239" s="76"/>
      <c r="H239" s="76"/>
      <c r="I239" s="76"/>
      <c r="J239" s="76"/>
      <c r="K239" s="76"/>
      <c r="L239" s="76"/>
      <c r="M239" s="76"/>
      <c r="N239" s="76"/>
      <c r="O239" s="76"/>
      <c r="P239" s="76"/>
      <c r="Q239" s="76"/>
      <c r="R239" s="76"/>
      <c r="S239" s="76"/>
      <c r="T239" s="76"/>
      <c r="U239" s="84"/>
    </row>
    <row r="240" ht="13.5" customHeight="1" spans="1:21">
      <c r="A240" s="75"/>
      <c r="B240" s="76"/>
      <c r="C240" s="76"/>
      <c r="D240" s="76"/>
      <c r="E240" s="76"/>
      <c r="F240" s="76"/>
      <c r="G240" s="76"/>
      <c r="H240" s="76"/>
      <c r="I240" s="76"/>
      <c r="J240" s="76"/>
      <c r="K240" s="76"/>
      <c r="L240" s="76"/>
      <c r="M240" s="76"/>
      <c r="N240" s="76"/>
      <c r="O240" s="76"/>
      <c r="P240" s="76"/>
      <c r="Q240" s="76"/>
      <c r="R240" s="76"/>
      <c r="S240" s="76"/>
      <c r="T240" s="76"/>
      <c r="U240" s="84"/>
    </row>
    <row r="241" ht="13.5" customHeight="1" spans="1:21">
      <c r="A241" s="75"/>
      <c r="B241" s="76"/>
      <c r="C241" s="76"/>
      <c r="D241" s="76"/>
      <c r="E241" s="76"/>
      <c r="F241" s="76"/>
      <c r="G241" s="76"/>
      <c r="H241" s="76"/>
      <c r="I241" s="76"/>
      <c r="J241" s="76"/>
      <c r="K241" s="76"/>
      <c r="L241" s="76"/>
      <c r="M241" s="76"/>
      <c r="N241" s="76"/>
      <c r="O241" s="76"/>
      <c r="P241" s="76"/>
      <c r="Q241" s="76"/>
      <c r="R241" s="76"/>
      <c r="S241" s="76"/>
      <c r="T241" s="76"/>
      <c r="U241" s="84"/>
    </row>
    <row r="242" ht="269.15" customHeight="1" spans="1:21">
      <c r="A242" s="77"/>
      <c r="B242" s="78"/>
      <c r="C242" s="78"/>
      <c r="D242" s="78"/>
      <c r="E242" s="78"/>
      <c r="F242" s="78"/>
      <c r="G242" s="78"/>
      <c r="H242" s="78"/>
      <c r="I242" s="78"/>
      <c r="J242" s="78"/>
      <c r="K242" s="78"/>
      <c r="L242" s="78"/>
      <c r="M242" s="78"/>
      <c r="N242" s="78"/>
      <c r="O242" s="78"/>
      <c r="P242" s="78"/>
      <c r="Q242" s="78"/>
      <c r="R242" s="78"/>
      <c r="S242" s="78"/>
      <c r="T242" s="78"/>
      <c r="U242" s="85"/>
    </row>
    <row r="243" ht="20.15" customHeight="1" spans="1:21">
      <c r="A243" s="71" t="s">
        <v>433</v>
      </c>
      <c r="B243" s="79"/>
      <c r="C243" s="79"/>
      <c r="D243" s="79"/>
      <c r="E243" s="79"/>
      <c r="F243" s="79"/>
      <c r="G243" s="79"/>
      <c r="H243" s="79"/>
      <c r="I243" s="79"/>
      <c r="J243" s="79"/>
      <c r="K243" s="79"/>
      <c r="L243" s="79"/>
      <c r="M243" s="79"/>
      <c r="N243" s="79"/>
      <c r="O243" s="79"/>
      <c r="P243" s="79"/>
      <c r="Q243" s="79"/>
      <c r="R243" s="79"/>
      <c r="S243" s="79"/>
      <c r="T243" s="79"/>
      <c r="U243" s="86"/>
    </row>
    <row r="244" ht="12" customHeight="1" spans="1:21">
      <c r="A244" s="75" t="s">
        <v>434</v>
      </c>
      <c r="B244" s="76"/>
      <c r="C244" s="76"/>
      <c r="D244" s="76"/>
      <c r="E244" s="76"/>
      <c r="F244" s="76"/>
      <c r="G244" s="76"/>
      <c r="H244" s="76"/>
      <c r="I244" s="76"/>
      <c r="J244" s="76"/>
      <c r="K244" s="76"/>
      <c r="L244" s="76"/>
      <c r="M244" s="76"/>
      <c r="N244" s="76"/>
      <c r="O244" s="76"/>
      <c r="P244" s="76"/>
      <c r="Q244" s="76"/>
      <c r="R244" s="76"/>
      <c r="S244" s="76"/>
      <c r="T244" s="76"/>
      <c r="U244" s="84"/>
    </row>
    <row r="245" ht="12" customHeight="1" spans="1:21">
      <c r="A245" s="75"/>
      <c r="B245" s="76"/>
      <c r="C245" s="76"/>
      <c r="D245" s="76"/>
      <c r="E245" s="76"/>
      <c r="F245" s="76"/>
      <c r="G245" s="76"/>
      <c r="H245" s="76"/>
      <c r="I245" s="76"/>
      <c r="J245" s="76"/>
      <c r="K245" s="76"/>
      <c r="L245" s="76"/>
      <c r="M245" s="76"/>
      <c r="N245" s="76"/>
      <c r="O245" s="76"/>
      <c r="P245" s="76"/>
      <c r="Q245" s="76"/>
      <c r="R245" s="76"/>
      <c r="S245" s="76"/>
      <c r="T245" s="76"/>
      <c r="U245" s="84"/>
    </row>
    <row r="246" ht="12" customHeight="1" spans="1:21">
      <c r="A246" s="75"/>
      <c r="B246" s="76"/>
      <c r="C246" s="76"/>
      <c r="D246" s="76"/>
      <c r="E246" s="76"/>
      <c r="F246" s="76"/>
      <c r="G246" s="76"/>
      <c r="H246" s="76"/>
      <c r="I246" s="76"/>
      <c r="J246" s="76"/>
      <c r="K246" s="76"/>
      <c r="L246" s="76"/>
      <c r="M246" s="76"/>
      <c r="N246" s="76"/>
      <c r="O246" s="76"/>
      <c r="P246" s="76"/>
      <c r="Q246" s="76"/>
      <c r="R246" s="76"/>
      <c r="S246" s="76"/>
      <c r="T246" s="76"/>
      <c r="U246" s="84"/>
    </row>
    <row r="247" ht="129" customHeight="1" spans="1:21">
      <c r="A247" s="77"/>
      <c r="B247" s="78"/>
      <c r="C247" s="78"/>
      <c r="D247" s="78"/>
      <c r="E247" s="78"/>
      <c r="F247" s="78"/>
      <c r="G247" s="78"/>
      <c r="H247" s="78"/>
      <c r="I247" s="78"/>
      <c r="J247" s="78"/>
      <c r="K247" s="78"/>
      <c r="L247" s="78"/>
      <c r="M247" s="78"/>
      <c r="N247" s="78"/>
      <c r="O247" s="78"/>
      <c r="P247" s="78"/>
      <c r="Q247" s="78"/>
      <c r="R247" s="78"/>
      <c r="S247" s="78"/>
      <c r="T247" s="78"/>
      <c r="U247" s="85"/>
    </row>
    <row r="248" ht="10" customHeight="1" spans="1:21">
      <c r="A248" s="66"/>
      <c r="B248" s="66"/>
      <c r="C248" s="66"/>
      <c r="D248" s="66"/>
      <c r="E248" s="66"/>
      <c r="F248" s="66"/>
      <c r="G248" s="66"/>
      <c r="H248" s="66"/>
      <c r="I248" s="66"/>
      <c r="J248" s="66"/>
      <c r="K248" s="66"/>
      <c r="L248" s="66"/>
      <c r="M248" s="66"/>
      <c r="N248" s="66"/>
      <c r="O248" s="66"/>
      <c r="P248" s="66"/>
      <c r="Q248" s="66"/>
      <c r="R248" s="66"/>
      <c r="S248" s="66"/>
      <c r="T248" s="66"/>
      <c r="U248" s="66"/>
    </row>
    <row r="249" ht="20.15" customHeight="1" spans="1:21">
      <c r="A249" s="32" t="s">
        <v>435</v>
      </c>
      <c r="B249" s="32"/>
      <c r="C249" s="32"/>
      <c r="D249" s="32"/>
      <c r="E249" s="32"/>
      <c r="F249" s="32"/>
      <c r="G249" s="32"/>
      <c r="H249" s="32"/>
      <c r="I249" s="32"/>
      <c r="J249" s="32"/>
      <c r="K249" s="32"/>
      <c r="L249" s="32"/>
      <c r="M249" s="32"/>
      <c r="N249" s="32"/>
      <c r="O249" s="32"/>
      <c r="P249" s="32"/>
      <c r="Q249" s="32"/>
      <c r="R249" s="32"/>
      <c r="S249" s="32"/>
      <c r="T249" s="32"/>
      <c r="U249" s="32"/>
    </row>
    <row r="250" ht="14.25" customHeight="1" spans="1:21">
      <c r="A250" s="80" t="s">
        <v>436</v>
      </c>
      <c r="B250" s="80"/>
      <c r="C250" s="80"/>
      <c r="D250" s="80"/>
      <c r="E250" s="80"/>
      <c r="F250" s="80"/>
      <c r="G250" s="80"/>
      <c r="H250" s="80"/>
      <c r="I250" s="80"/>
      <c r="J250" s="80"/>
      <c r="K250" s="80"/>
      <c r="L250" s="80"/>
      <c r="M250" s="80"/>
      <c r="N250" s="80"/>
      <c r="O250" s="80"/>
      <c r="P250" s="80"/>
      <c r="Q250" s="80"/>
      <c r="R250" s="80"/>
      <c r="S250" s="80"/>
      <c r="T250" s="80"/>
      <c r="U250" s="80"/>
    </row>
    <row r="251" ht="10" customHeight="1" spans="1:21">
      <c r="A251" s="79"/>
      <c r="B251" s="79"/>
      <c r="C251" s="79"/>
      <c r="D251" s="79"/>
      <c r="E251" s="79"/>
      <c r="F251" s="79"/>
      <c r="G251" s="79"/>
      <c r="H251" s="79"/>
      <c r="I251" s="79"/>
      <c r="J251" s="79"/>
      <c r="K251" s="79"/>
      <c r="L251" s="79"/>
      <c r="M251" s="79"/>
      <c r="N251" s="79"/>
      <c r="O251" s="79"/>
      <c r="P251" s="79"/>
      <c r="Q251" s="79"/>
      <c r="R251" s="79"/>
      <c r="S251" s="79"/>
      <c r="T251" s="79"/>
      <c r="U251" s="79"/>
    </row>
    <row r="252" ht="14.25" customHeight="1" spans="1:21">
      <c r="A252" s="80" t="s">
        <v>437</v>
      </c>
      <c r="B252" s="80"/>
      <c r="C252" s="80"/>
      <c r="D252" s="80"/>
      <c r="E252" s="80"/>
      <c r="F252" s="80"/>
      <c r="G252" s="80"/>
      <c r="H252" s="80"/>
      <c r="I252" s="80"/>
      <c r="J252" s="80"/>
      <c r="K252" s="80"/>
      <c r="L252" s="80"/>
      <c r="M252" s="80"/>
      <c r="N252" s="80"/>
      <c r="O252" s="80"/>
      <c r="P252" s="80"/>
      <c r="Q252" s="80"/>
      <c r="R252" s="80"/>
      <c r="S252" s="80"/>
      <c r="T252" s="80"/>
      <c r="U252" s="80"/>
    </row>
    <row r="253" ht="10" customHeight="1" spans="1:21">
      <c r="A253" s="79"/>
      <c r="B253" s="79"/>
      <c r="C253" s="79"/>
      <c r="D253" s="79"/>
      <c r="E253" s="79"/>
      <c r="F253" s="79"/>
      <c r="G253" s="79"/>
      <c r="H253" s="79"/>
      <c r="I253" s="79"/>
      <c r="J253" s="79"/>
      <c r="K253" s="79"/>
      <c r="L253" s="79"/>
      <c r="M253" s="79"/>
      <c r="N253" s="79"/>
      <c r="O253" s="79"/>
      <c r="P253" s="79"/>
      <c r="Q253" s="79"/>
      <c r="R253" s="79"/>
      <c r="S253" s="79"/>
      <c r="T253" s="79"/>
      <c r="U253" s="79"/>
    </row>
    <row r="254" ht="14.25" customHeight="1" spans="1:21">
      <c r="A254" s="80" t="s">
        <v>438</v>
      </c>
      <c r="B254" s="80"/>
      <c r="C254" s="80"/>
      <c r="D254" s="80"/>
      <c r="E254" s="80"/>
      <c r="F254" s="80"/>
      <c r="G254" s="80"/>
      <c r="H254" s="80"/>
      <c r="I254" s="80"/>
      <c r="J254" s="80"/>
      <c r="K254" s="80"/>
      <c r="L254" s="80"/>
      <c r="M254" s="80"/>
      <c r="N254" s="80"/>
      <c r="O254" s="80"/>
      <c r="P254" s="80"/>
      <c r="Q254" s="80"/>
      <c r="R254" s="80"/>
      <c r="S254" s="80"/>
      <c r="T254" s="80"/>
      <c r="U254" s="80"/>
    </row>
    <row r="255" ht="14.25" customHeight="1" spans="1:21">
      <c r="A255" s="81"/>
      <c r="B255" s="81"/>
      <c r="C255" s="81"/>
      <c r="D255" s="81"/>
      <c r="E255" s="81"/>
      <c r="F255" s="81"/>
      <c r="G255" s="81"/>
      <c r="H255" s="81"/>
      <c r="I255" s="81"/>
      <c r="J255" s="81"/>
      <c r="K255" s="81"/>
      <c r="L255" s="81"/>
      <c r="M255" s="81"/>
      <c r="N255" s="81"/>
      <c r="O255" s="81"/>
      <c r="P255" s="81"/>
      <c r="Q255" s="81"/>
      <c r="R255" s="81"/>
      <c r="S255" s="81"/>
      <c r="T255" s="81"/>
      <c r="U255" s="81"/>
    </row>
  </sheetData>
  <mergeCells count="406">
    <mergeCell ref="A1:U1"/>
    <mergeCell ref="A2:U2"/>
    <mergeCell ref="A3:U3"/>
    <mergeCell ref="A4:C4"/>
    <mergeCell ref="D4:J4"/>
    <mergeCell ref="K4:O4"/>
    <mergeCell ref="P4:U4"/>
    <mergeCell ref="A5:C5"/>
    <mergeCell ref="D5:J5"/>
    <mergeCell ref="K5:O5"/>
    <mergeCell ref="P5:U5"/>
    <mergeCell ref="A6:C6"/>
    <mergeCell ref="D6:J6"/>
    <mergeCell ref="K6:O6"/>
    <mergeCell ref="P6:U6"/>
    <mergeCell ref="A7:C7"/>
    <mergeCell ref="D7:J7"/>
    <mergeCell ref="K7:O7"/>
    <mergeCell ref="P7:U7"/>
    <mergeCell ref="A8:C8"/>
    <mergeCell ref="D8:J8"/>
    <mergeCell ref="K8:O8"/>
    <mergeCell ref="P8:U8"/>
    <mergeCell ref="A10:T10"/>
    <mergeCell ref="A11:E11"/>
    <mergeCell ref="F11:S11"/>
    <mergeCell ref="T11:U11"/>
    <mergeCell ref="B12:E12"/>
    <mergeCell ref="F12:S12"/>
    <mergeCell ref="T12:U12"/>
    <mergeCell ref="B13:E13"/>
    <mergeCell ref="F13:S13"/>
    <mergeCell ref="T13:U13"/>
    <mergeCell ref="B14:E14"/>
    <mergeCell ref="F14:S14"/>
    <mergeCell ref="T14:U14"/>
    <mergeCell ref="B15:E15"/>
    <mergeCell ref="F15:S15"/>
    <mergeCell ref="T15:U15"/>
    <mergeCell ref="B16:E16"/>
    <mergeCell ref="F16:S16"/>
    <mergeCell ref="T16:U16"/>
    <mergeCell ref="B17:E17"/>
    <mergeCell ref="F17:S17"/>
    <mergeCell ref="T17:U17"/>
    <mergeCell ref="B18:E18"/>
    <mergeCell ref="F18:S18"/>
    <mergeCell ref="T18:U18"/>
    <mergeCell ref="A20:T20"/>
    <mergeCell ref="C21:Q21"/>
    <mergeCell ref="R21:U21"/>
    <mergeCell ref="C22:N22"/>
    <mergeCell ref="C23:E23"/>
    <mergeCell ref="F23:H23"/>
    <mergeCell ref="I23:K23"/>
    <mergeCell ref="L23:N23"/>
    <mergeCell ref="A24:B24"/>
    <mergeCell ref="C24:E24"/>
    <mergeCell ref="F24:H24"/>
    <mergeCell ref="I24:K24"/>
    <mergeCell ref="L24:N24"/>
    <mergeCell ref="O24:Q24"/>
    <mergeCell ref="R24:S24"/>
    <mergeCell ref="T24:U24"/>
    <mergeCell ref="A25:B25"/>
    <mergeCell ref="C25:E25"/>
    <mergeCell ref="F25:H25"/>
    <mergeCell ref="I25:K25"/>
    <mergeCell ref="L25:N25"/>
    <mergeCell ref="O25:Q25"/>
    <mergeCell ref="R25:S25"/>
    <mergeCell ref="T25:U25"/>
    <mergeCell ref="A26:B26"/>
    <mergeCell ref="C26:E26"/>
    <mergeCell ref="F26:H26"/>
    <mergeCell ref="I26:K26"/>
    <mergeCell ref="L26:N26"/>
    <mergeCell ref="O26:Q26"/>
    <mergeCell ref="R26:S26"/>
    <mergeCell ref="T26:U26"/>
    <mergeCell ref="A27:B27"/>
    <mergeCell ref="C27:E27"/>
    <mergeCell ref="F27:H27"/>
    <mergeCell ref="I27:K27"/>
    <mergeCell ref="L27:N27"/>
    <mergeCell ref="O27:Q27"/>
    <mergeCell ref="R27:S27"/>
    <mergeCell ref="T27:U27"/>
    <mergeCell ref="A28:B28"/>
    <mergeCell ref="C28:E28"/>
    <mergeCell ref="F28:H28"/>
    <mergeCell ref="I28:K28"/>
    <mergeCell ref="L28:N28"/>
    <mergeCell ref="O28:Q28"/>
    <mergeCell ref="R28:S28"/>
    <mergeCell ref="T28:U28"/>
    <mergeCell ref="A29:B29"/>
    <mergeCell ref="C29:E29"/>
    <mergeCell ref="F29:H29"/>
    <mergeCell ref="I29:K29"/>
    <mergeCell ref="L29:N29"/>
    <mergeCell ref="O29:Q29"/>
    <mergeCell ref="R29:S29"/>
    <mergeCell ref="T29:U29"/>
    <mergeCell ref="A30:B30"/>
    <mergeCell ref="C30:E30"/>
    <mergeCell ref="F30:H30"/>
    <mergeCell ref="I30:K30"/>
    <mergeCell ref="L30:N30"/>
    <mergeCell ref="O30:Q30"/>
    <mergeCell ref="R30:S30"/>
    <mergeCell ref="T30:U30"/>
    <mergeCell ref="A32:T32"/>
    <mergeCell ref="S33:U33"/>
    <mergeCell ref="S34:U34"/>
    <mergeCell ref="S35:U35"/>
    <mergeCell ref="S36:U36"/>
    <mergeCell ref="S37:U37"/>
    <mergeCell ref="S38:U38"/>
    <mergeCell ref="S39:U39"/>
    <mergeCell ref="S40:U40"/>
    <mergeCell ref="S41:U41"/>
    <mergeCell ref="S42:U42"/>
    <mergeCell ref="S43:U43"/>
    <mergeCell ref="S44:U44"/>
    <mergeCell ref="S45:U45"/>
    <mergeCell ref="S46:U46"/>
    <mergeCell ref="A47:R47"/>
    <mergeCell ref="S47:U47"/>
    <mergeCell ref="A49:T49"/>
    <mergeCell ref="B50:J50"/>
    <mergeCell ref="K50:M50"/>
    <mergeCell ref="N50:O50"/>
    <mergeCell ref="P50:Q50"/>
    <mergeCell ref="R50:S50"/>
    <mergeCell ref="T50:U50"/>
    <mergeCell ref="D51:H51"/>
    <mergeCell ref="I51:J51"/>
    <mergeCell ref="K51:M51"/>
    <mergeCell ref="N51:O51"/>
    <mergeCell ref="P51:Q51"/>
    <mergeCell ref="D52:H52"/>
    <mergeCell ref="I52:J52"/>
    <mergeCell ref="K52:M52"/>
    <mergeCell ref="N52:O52"/>
    <mergeCell ref="P52:Q52"/>
    <mergeCell ref="D53:H53"/>
    <mergeCell ref="I53:J53"/>
    <mergeCell ref="K53:M53"/>
    <mergeCell ref="N53:O53"/>
    <mergeCell ref="P53:Q53"/>
    <mergeCell ref="D54:H54"/>
    <mergeCell ref="I54:J54"/>
    <mergeCell ref="K54:M54"/>
    <mergeCell ref="N54:O54"/>
    <mergeCell ref="P54:Q54"/>
    <mergeCell ref="C55:H55"/>
    <mergeCell ref="I55:J55"/>
    <mergeCell ref="K55:M55"/>
    <mergeCell ref="N55:O55"/>
    <mergeCell ref="P55:Q55"/>
    <mergeCell ref="B56:H56"/>
    <mergeCell ref="I56:J56"/>
    <mergeCell ref="K56:M56"/>
    <mergeCell ref="N56:O56"/>
    <mergeCell ref="P56:Q56"/>
    <mergeCell ref="D57:H57"/>
    <mergeCell ref="I57:J57"/>
    <mergeCell ref="K57:M57"/>
    <mergeCell ref="N57:O57"/>
    <mergeCell ref="P57:Q57"/>
    <mergeCell ref="D58:H58"/>
    <mergeCell ref="I58:J58"/>
    <mergeCell ref="K58:M58"/>
    <mergeCell ref="N58:O58"/>
    <mergeCell ref="P58:Q58"/>
    <mergeCell ref="D59:H59"/>
    <mergeCell ref="I59:J59"/>
    <mergeCell ref="K59:M59"/>
    <mergeCell ref="N59:O59"/>
    <mergeCell ref="P59:Q59"/>
    <mergeCell ref="D60:H60"/>
    <mergeCell ref="I60:J60"/>
    <mergeCell ref="K60:M60"/>
    <mergeCell ref="N60:O60"/>
    <mergeCell ref="P60:Q60"/>
    <mergeCell ref="C61:H61"/>
    <mergeCell ref="I61:J61"/>
    <mergeCell ref="K61:M61"/>
    <mergeCell ref="N61:O61"/>
    <mergeCell ref="P61:Q61"/>
    <mergeCell ref="B62:H62"/>
    <mergeCell ref="I62:J62"/>
    <mergeCell ref="K62:M62"/>
    <mergeCell ref="N62:O62"/>
    <mergeCell ref="P62:Q62"/>
    <mergeCell ref="D63:H63"/>
    <mergeCell ref="I63:J63"/>
    <mergeCell ref="K63:M63"/>
    <mergeCell ref="N63:O63"/>
    <mergeCell ref="P63:Q63"/>
    <mergeCell ref="D64:H64"/>
    <mergeCell ref="I64:J64"/>
    <mergeCell ref="K64:M64"/>
    <mergeCell ref="N64:O64"/>
    <mergeCell ref="P64:Q64"/>
    <mergeCell ref="D65:H65"/>
    <mergeCell ref="I65:J65"/>
    <mergeCell ref="K65:M65"/>
    <mergeCell ref="N65:O65"/>
    <mergeCell ref="P65:Q65"/>
    <mergeCell ref="D66:H66"/>
    <mergeCell ref="I66:J66"/>
    <mergeCell ref="K66:M66"/>
    <mergeCell ref="N66:O66"/>
    <mergeCell ref="P66:Q66"/>
    <mergeCell ref="C67:H67"/>
    <mergeCell ref="I67:J67"/>
    <mergeCell ref="K67:M67"/>
    <mergeCell ref="N67:O67"/>
    <mergeCell ref="P67:Q67"/>
    <mergeCell ref="B68:H68"/>
    <mergeCell ref="I68:J68"/>
    <mergeCell ref="K68:M68"/>
    <mergeCell ref="N68:O68"/>
    <mergeCell ref="P68:Q68"/>
    <mergeCell ref="D69:H69"/>
    <mergeCell ref="I69:J69"/>
    <mergeCell ref="K69:M69"/>
    <mergeCell ref="N69:O69"/>
    <mergeCell ref="P69:Q69"/>
    <mergeCell ref="D70:H70"/>
    <mergeCell ref="I70:J70"/>
    <mergeCell ref="K70:M70"/>
    <mergeCell ref="N70:O70"/>
    <mergeCell ref="P70:Q70"/>
    <mergeCell ref="D71:H71"/>
    <mergeCell ref="I71:J71"/>
    <mergeCell ref="K71:M71"/>
    <mergeCell ref="N71:O71"/>
    <mergeCell ref="P71:Q71"/>
    <mergeCell ref="D72:H72"/>
    <mergeCell ref="I72:J72"/>
    <mergeCell ref="K72:M72"/>
    <mergeCell ref="N72:O72"/>
    <mergeCell ref="P72:Q72"/>
    <mergeCell ref="C73:H73"/>
    <mergeCell ref="I73:J73"/>
    <mergeCell ref="K73:M73"/>
    <mergeCell ref="N73:O73"/>
    <mergeCell ref="P73:Q73"/>
    <mergeCell ref="B74:H74"/>
    <mergeCell ref="I74:J74"/>
    <mergeCell ref="K74:M74"/>
    <mergeCell ref="N74:O74"/>
    <mergeCell ref="P74:Q74"/>
    <mergeCell ref="D75:H75"/>
    <mergeCell ref="I75:J75"/>
    <mergeCell ref="K75:M75"/>
    <mergeCell ref="N75:O75"/>
    <mergeCell ref="P75:Q75"/>
    <mergeCell ref="D76:H76"/>
    <mergeCell ref="I76:J76"/>
    <mergeCell ref="K76:M76"/>
    <mergeCell ref="N76:O76"/>
    <mergeCell ref="P76:Q76"/>
    <mergeCell ref="D77:H77"/>
    <mergeCell ref="I77:J77"/>
    <mergeCell ref="K77:M77"/>
    <mergeCell ref="N77:O77"/>
    <mergeCell ref="P77:Q77"/>
    <mergeCell ref="D78:H78"/>
    <mergeCell ref="I78:J78"/>
    <mergeCell ref="K78:M78"/>
    <mergeCell ref="N78:O78"/>
    <mergeCell ref="P78:Q78"/>
    <mergeCell ref="C79:H79"/>
    <mergeCell ref="I79:J79"/>
    <mergeCell ref="K79:M79"/>
    <mergeCell ref="N79:O79"/>
    <mergeCell ref="P79:Q79"/>
    <mergeCell ref="B80:H80"/>
    <mergeCell ref="I80:J80"/>
    <mergeCell ref="K80:M80"/>
    <mergeCell ref="N80:O80"/>
    <mergeCell ref="P80:Q80"/>
    <mergeCell ref="D81:H81"/>
    <mergeCell ref="I81:J81"/>
    <mergeCell ref="K81:M81"/>
    <mergeCell ref="N81:O81"/>
    <mergeCell ref="P81:Q81"/>
    <mergeCell ref="D82:H82"/>
    <mergeCell ref="I82:J82"/>
    <mergeCell ref="K82:M82"/>
    <mergeCell ref="N82:O82"/>
    <mergeCell ref="P82:Q82"/>
    <mergeCell ref="D83:H83"/>
    <mergeCell ref="I83:J83"/>
    <mergeCell ref="K83:M83"/>
    <mergeCell ref="N83:O83"/>
    <mergeCell ref="P83:Q83"/>
    <mergeCell ref="D84:H84"/>
    <mergeCell ref="I84:J84"/>
    <mergeCell ref="K84:M84"/>
    <mergeCell ref="N84:O84"/>
    <mergeCell ref="P84:Q84"/>
    <mergeCell ref="C85:H85"/>
    <mergeCell ref="I85:J85"/>
    <mergeCell ref="K85:M85"/>
    <mergeCell ref="N85:O85"/>
    <mergeCell ref="P85:Q85"/>
    <mergeCell ref="B86:H86"/>
    <mergeCell ref="I86:J86"/>
    <mergeCell ref="K86:M86"/>
    <mergeCell ref="N86:O86"/>
    <mergeCell ref="P86:Q86"/>
    <mergeCell ref="D87:H87"/>
    <mergeCell ref="I87:J87"/>
    <mergeCell ref="K87:M87"/>
    <mergeCell ref="N87:O87"/>
    <mergeCell ref="P87:Q87"/>
    <mergeCell ref="D88:H88"/>
    <mergeCell ref="I88:J88"/>
    <mergeCell ref="K88:M88"/>
    <mergeCell ref="N88:O88"/>
    <mergeCell ref="P88:Q88"/>
    <mergeCell ref="D89:H89"/>
    <mergeCell ref="I89:J89"/>
    <mergeCell ref="K89:M89"/>
    <mergeCell ref="N89:O89"/>
    <mergeCell ref="P89:Q89"/>
    <mergeCell ref="D90:H90"/>
    <mergeCell ref="I90:J90"/>
    <mergeCell ref="K90:M90"/>
    <mergeCell ref="N90:O90"/>
    <mergeCell ref="P90:Q90"/>
    <mergeCell ref="C91:H91"/>
    <mergeCell ref="I91:J91"/>
    <mergeCell ref="K91:M91"/>
    <mergeCell ref="N91:O91"/>
    <mergeCell ref="P91:Q91"/>
    <mergeCell ref="B92:H92"/>
    <mergeCell ref="I92:J92"/>
    <mergeCell ref="K92:M92"/>
    <mergeCell ref="N92:O92"/>
    <mergeCell ref="P92:Q92"/>
    <mergeCell ref="A93:S93"/>
    <mergeCell ref="T93:U93"/>
    <mergeCell ref="A95:T95"/>
    <mergeCell ref="A221:U221"/>
    <mergeCell ref="A243:U243"/>
    <mergeCell ref="A249:U249"/>
    <mergeCell ref="A250:U250"/>
    <mergeCell ref="A252:U252"/>
    <mergeCell ref="A254:U254"/>
    <mergeCell ref="A255:U255"/>
    <mergeCell ref="A12:A18"/>
    <mergeCell ref="A51:A56"/>
    <mergeCell ref="A57:A62"/>
    <mergeCell ref="A63:A68"/>
    <mergeCell ref="A69:A74"/>
    <mergeCell ref="A75:A80"/>
    <mergeCell ref="A81:A86"/>
    <mergeCell ref="A87:A92"/>
    <mergeCell ref="B51:B55"/>
    <mergeCell ref="B57:B61"/>
    <mergeCell ref="B63:B67"/>
    <mergeCell ref="B69:B73"/>
    <mergeCell ref="B75:B79"/>
    <mergeCell ref="B81:B85"/>
    <mergeCell ref="B87:B91"/>
    <mergeCell ref="C51:C54"/>
    <mergeCell ref="C57:C60"/>
    <mergeCell ref="C63:C66"/>
    <mergeCell ref="C69:C72"/>
    <mergeCell ref="C75:C78"/>
    <mergeCell ref="C81:C84"/>
    <mergeCell ref="C87:C90"/>
    <mergeCell ref="R63:S68"/>
    <mergeCell ref="T63:U68"/>
    <mergeCell ref="A39:B40"/>
    <mergeCell ref="A41:B42"/>
    <mergeCell ref="A43:B44"/>
    <mergeCell ref="A45:B46"/>
    <mergeCell ref="A96:U98"/>
    <mergeCell ref="R69:S74"/>
    <mergeCell ref="T69:U74"/>
    <mergeCell ref="R75:S80"/>
    <mergeCell ref="T75:U80"/>
    <mergeCell ref="R81:S86"/>
    <mergeCell ref="T81:U86"/>
    <mergeCell ref="R87:S92"/>
    <mergeCell ref="T87:U92"/>
    <mergeCell ref="R51:S56"/>
    <mergeCell ref="T51:U56"/>
    <mergeCell ref="A33:B34"/>
    <mergeCell ref="A21:B23"/>
    <mergeCell ref="R22:S23"/>
    <mergeCell ref="T22:U23"/>
    <mergeCell ref="O22:Q23"/>
    <mergeCell ref="A37:B38"/>
    <mergeCell ref="A35:B36"/>
    <mergeCell ref="R57:S62"/>
    <mergeCell ref="T57:U62"/>
    <mergeCell ref="A237:U242"/>
    <mergeCell ref="A244:U247"/>
  </mergeCells>
  <pageMargins left="0.7" right="0.7" top="0.75" bottom="0.75" header="0.3" footer="0.3"/>
  <pageSetup paperSize="9" orientation="portrait"/>
  <headerFooter>
    <oddFooter>&amp;C第 &amp;P 页</oddFooter>
  </headerFooter>
  <ignoredErrors>
    <ignoredError sqref="N68 N74 N80 N86" formula="1"/>
  </ignoredErrors>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991"/>
  <sheetViews>
    <sheetView showZeros="0" zoomScale="85" zoomScaleNormal="85" zoomScaleSheetLayoutView="115" topLeftCell="A68" workbookViewId="0">
      <selection activeCell="N10" sqref="N10"/>
    </sheetView>
  </sheetViews>
  <sheetFormatPr defaultColWidth="9" defaultRowHeight="14"/>
  <cols>
    <col min="1" max="1" width="4.90909090909091" customWidth="1"/>
    <col min="2" max="2" width="9.90909090909091" customWidth="1"/>
    <col min="3" max="3" width="7.90909090909091" customWidth="1"/>
    <col min="4" max="4" width="13.4545454545455" customWidth="1"/>
    <col min="5" max="9" width="6.45454545454545" customWidth="1"/>
    <col min="10" max="11" width="8" customWidth="1"/>
  </cols>
  <sheetData>
    <row r="1" ht="54.75" customHeight="1" spans="1:11">
      <c r="A1" s="12" t="s">
        <v>439</v>
      </c>
      <c r="B1" s="12"/>
      <c r="C1" s="12"/>
      <c r="D1" s="12"/>
      <c r="E1" s="12"/>
      <c r="F1" s="12"/>
      <c r="G1" s="12"/>
      <c r="H1" s="12"/>
      <c r="I1" s="12"/>
      <c r="J1" s="12"/>
      <c r="K1" s="12"/>
    </row>
    <row r="2" ht="33" customHeight="1" spans="1:11">
      <c r="A2" s="13" t="s">
        <v>440</v>
      </c>
      <c r="B2" s="14"/>
      <c r="C2" s="14"/>
      <c r="D2" s="15" t="s">
        <v>441</v>
      </c>
      <c r="E2" s="15" t="s">
        <v>442</v>
      </c>
      <c r="F2" s="15" t="s">
        <v>443</v>
      </c>
      <c r="G2" s="15" t="s">
        <v>444</v>
      </c>
      <c r="H2" s="15" t="s">
        <v>445</v>
      </c>
      <c r="I2" s="15" t="s">
        <v>446</v>
      </c>
      <c r="J2" s="22" t="s">
        <v>447</v>
      </c>
      <c r="K2" s="22" t="s">
        <v>448</v>
      </c>
    </row>
    <row r="3" ht="125.15" customHeight="1" spans="1:11">
      <c r="A3" s="14"/>
      <c r="B3" s="14"/>
      <c r="C3" s="14"/>
      <c r="D3" s="15"/>
      <c r="E3" s="15" t="str">
        <f>'0信息维护'!E24</f>
        <v>平时作业</v>
      </c>
      <c r="F3" s="15" t="str">
        <f>'0信息维护'!I24</f>
        <v>实验考核</v>
      </c>
      <c r="G3" s="15">
        <f>'0信息维护'!L24</f>
        <v>0</v>
      </c>
      <c r="H3" s="15">
        <f>'0信息维护'!O24</f>
        <v>0</v>
      </c>
      <c r="I3" s="23" t="str">
        <f>'0信息维护'!I34</f>
        <v>结果性评价</v>
      </c>
      <c r="J3" s="22"/>
      <c r="K3" s="22"/>
    </row>
    <row r="4" ht="25" customHeight="1" spans="1:11">
      <c r="A4" s="14"/>
      <c r="B4" s="14"/>
      <c r="C4" s="14"/>
      <c r="D4" s="15"/>
      <c r="E4" s="16"/>
      <c r="F4" s="16"/>
      <c r="G4" s="16"/>
      <c r="H4" s="16"/>
      <c r="I4" s="24"/>
      <c r="J4" s="22"/>
      <c r="K4" s="22"/>
    </row>
    <row r="5" spans="1:11">
      <c r="A5" s="17">
        <v>1</v>
      </c>
      <c r="B5" s="17" t="str">
        <f ca="1">OFFSET('1课程考核方式及成绩组成'!$D$10,(ROW(B5)-5)/7,)</f>
        <v>180202041</v>
      </c>
      <c r="C5" s="17" t="str">
        <f ca="1">OFFSET('1课程考核方式及成绩组成'!$E$10,(ROW(C5)-5)/7,)</f>
        <v>林振杨</v>
      </c>
      <c r="D5" s="18" t="str">
        <f>'0信息维护'!A$25</f>
        <v>课程目标1</v>
      </c>
      <c r="E5" s="19">
        <f ca="1">OFFSET('1课程考核方式及成绩组成'!$F$10,(ROW(E5)-5)/7,MOD((ROW(E5)-5),7))</f>
        <v>30</v>
      </c>
      <c r="F5" s="19">
        <f ca="1">OFFSET('1课程考核方式及成绩组成'!$N$10,(ROW(F5)-5)/7,MOD((ROW(F5)-5),7))</f>
        <v>0</v>
      </c>
      <c r="G5" s="19">
        <f ca="1">OFFSET('1课程考核方式及成绩组成'!$V$10,(ROW(G5)-5)/7,MOD((ROW(G5)-5),7))</f>
        <v>0</v>
      </c>
      <c r="H5" s="19">
        <f ca="1">OFFSET('1课程考核方式及成绩组成'!$AD$10,(ROW(H5)-5)/7,MOD((ROW(H5)-5),7))</f>
        <v>0</v>
      </c>
      <c r="I5" s="19">
        <f ca="1">OFFSET('1课程考核方式及成绩组成'!$AL$10,(ROW(I5)-5)/7,MOD((ROW(I5)-5),7))</f>
        <v>28</v>
      </c>
      <c r="J5" s="25">
        <f ca="1">IF('0信息维护'!$I$85=0,0,E5/('0信息维护'!$I$85)*'0信息维护'!$E$35*'0信息维护'!$S$25)+IF('0信息维护'!$I$86=0,0,F5/('0信息维护'!$I$86)*'0信息维护'!$E$35*'0信息维护'!$T$25)+IF('0信息维护'!$I$87=0,0,G5/('0信息维护'!$I$87)*'0信息维护'!$E$35*'0信息维护'!$U$25)+IF('0信息维护'!$I$88=0,0,H5/('0信息维护'!$I$88)*'0信息维护'!$E$35*'0信息维护'!$V$25)+IF('0信息维护'!$I$89=0,0,I5/'0信息维护'!$I$89*'0信息维护'!$I$35)</f>
        <v>0.763888888888889</v>
      </c>
      <c r="K5" s="26">
        <f ca="1">J5*'0信息维护'!$D$132+J6*'0信息维护'!$D$133+J7*'0信息维护'!$D$134+J8*'0信息维护'!$D$135+J9*'0信息维护'!$D$136+J10*'0信息维护'!$D$137+J11*'0信息维护'!$D$138</f>
        <v>0.661524509803922</v>
      </c>
    </row>
    <row r="6" spans="1:14">
      <c r="A6" s="20"/>
      <c r="B6" s="20"/>
      <c r="C6" s="20"/>
      <c r="D6" s="18" t="str">
        <f>'0信息维护'!A$26</f>
        <v>课程目标2</v>
      </c>
      <c r="E6" s="19">
        <f ca="1">OFFSET('1课程考核方式及成绩组成'!$F$10,(ROW(E6)-5)/7,MOD((ROW(E6)-5),7))</f>
        <v>50</v>
      </c>
      <c r="F6" s="19">
        <f ca="1">OFFSET('1课程考核方式及成绩组成'!$N$10,(ROW(F6)-5)/7,MOD((ROW(F6)-5),7))</f>
        <v>0</v>
      </c>
      <c r="G6" s="19">
        <f ca="1">OFFSET('1课程考核方式及成绩组成'!$V$10,(ROW(G6)-5)/7,MOD((ROW(G6)-5),7))</f>
        <v>0</v>
      </c>
      <c r="H6" s="19">
        <f ca="1">OFFSET('1课程考核方式及成绩组成'!$AD$10,(ROW(H6)-5)/7,MOD((ROW(H6)-5),7))</f>
        <v>0</v>
      </c>
      <c r="I6" s="19">
        <f ca="1">OFFSET('1课程考核方式及成绩组成'!$AL$10,(ROW(I6)-5)/7,MOD((ROW(I6)-5),7))</f>
        <v>20</v>
      </c>
      <c r="J6" s="25">
        <f ca="1">IF('0信息维护'!$I$91=0,0,E6/('0信息维护'!$I$91)*'0信息维护'!$S$26*'0信息维护'!$E$36)+IF('0信息维护'!$I$92=0,0,F6/('0信息维护'!$I$92)*'0信息维护'!$T$26*'0信息维护'!$E$36)+IF('0信息维护'!$I$93=0,0,G6/('0信息维护'!$I$93)*'0信息维护'!$U$26*'0信息维护'!$E$36)+IF('0信息维护'!$I$94=0,0,H6/('0信息维护'!$I$94)*'0信息维护'!$V$26*'0信息维护'!$E$36)+IF('0信息维护'!$I$95=0,0,I6/'0信息维护'!$I$95*'0信息维护'!$I$36)</f>
        <v>0.75</v>
      </c>
      <c r="K6" s="27"/>
      <c r="M6" s="28"/>
      <c r="N6" s="29"/>
    </row>
    <row r="7" spans="1:11">
      <c r="A7" s="20"/>
      <c r="B7" s="20"/>
      <c r="C7" s="20"/>
      <c r="D7" s="18" t="str">
        <f>'0信息维护'!A$27</f>
        <v>课程目标3</v>
      </c>
      <c r="E7" s="19">
        <f ca="1">OFFSET('1课程考核方式及成绩组成'!$F$10,(ROW(E7)-5)/7,MOD((ROW(E7)-5),7))</f>
        <v>0</v>
      </c>
      <c r="F7" s="19">
        <f ca="1">OFFSET('1课程考核方式及成绩组成'!$N$10,(ROW(F7)-5)/7,MOD((ROW(F7)-5),7))</f>
        <v>0</v>
      </c>
      <c r="G7" s="19">
        <f ca="1">OFFSET('1课程考核方式及成绩组成'!$V$10,(ROW(G7)-5)/7,MOD((ROW(G7)-5),7))</f>
        <v>0</v>
      </c>
      <c r="H7" s="19">
        <f ca="1">OFFSET('1课程考核方式及成绩组成'!$AD$10,(ROW(H7)-5)/7,MOD((ROW(H7)-5),7))</f>
        <v>0</v>
      </c>
      <c r="I7" s="19">
        <f ca="1">OFFSET('1课程考核方式及成绩组成'!$AL$10,(ROW(I7)-5)/7,MOD((ROW(I7)-5),7))</f>
        <v>14</v>
      </c>
      <c r="J7" s="25">
        <f ca="1">IF('0信息维护'!$I$97=0,0,E7/('0信息维护'!$I$97)*'0信息维护'!$E$37*'0信息维护'!$S$27)+IF('0信息维护'!$I$98=0,0,F7/('0信息维护'!$I$98)*'0信息维护'!$E$37*'0信息维护'!$T$27)+IF('0信息维护'!$I$99=0,0,G7/('0信息维护'!$I$99)*'0信息维护'!$E$37*'0信息维护'!$U$27)+IF('0信息维护'!$I$100=0,0,H7/('0信息维护'!$I$100)*'0信息维护'!$E$37*'0信息维护'!$V$27)+IF('0信息维护'!$I$101=0,0,I7/'0信息维护'!$I$101*'0信息维护'!$I$37)</f>
        <v>0.411764705882353</v>
      </c>
      <c r="K7" s="27"/>
    </row>
    <row r="8" spans="1:11">
      <c r="A8" s="20"/>
      <c r="B8" s="20"/>
      <c r="C8" s="20"/>
      <c r="D8" s="18" t="str">
        <f>'0信息维护'!A$28</f>
        <v>课程目标4</v>
      </c>
      <c r="E8" s="19">
        <f ca="1">OFFSET('1课程考核方式及成绩组成'!$F$10,(ROW(E8)-5)/7,MOD((ROW(E8)-5),7))</f>
        <v>0</v>
      </c>
      <c r="F8" s="19">
        <f ca="1">OFFSET('1课程考核方式及成绩组成'!$N$10,(ROW(F8)-5)/7,MOD((ROW(F8)-5),7))</f>
        <v>73</v>
      </c>
      <c r="G8" s="19">
        <f ca="1">OFFSET('1课程考核方式及成绩组成'!$V$10,(ROW(G8)-5)/7,MOD((ROW(G8)-5),7))</f>
        <v>0</v>
      </c>
      <c r="H8" s="19">
        <f ca="1">OFFSET('1课程考核方式及成绩组成'!$AD$10,(ROW(H8)-5)/7,MOD((ROW(H8)-5),7))</f>
        <v>0</v>
      </c>
      <c r="I8" s="19">
        <f ca="1">OFFSET('1课程考核方式及成绩组成'!$AL$10,(ROW(I8)-5)/7,MOD((ROW(I8)-5),7))</f>
        <v>0</v>
      </c>
      <c r="J8" s="25">
        <f ca="1">IF('0信息维护'!$I$103=0,0,E8/('0信息维护'!$I$103)*'0信息维护'!$E$38*'0信息维护'!$S$28)+IF('0信息维护'!$I$104=0,0,F8/('0信息维护'!$I$104)*'0信息维护'!$E$38*'0信息维护'!$T$28)+IF('0信息维护'!$I$105=0,0,G8/('0信息维护'!$I$105)*'0信息维护'!$E$38*'0信息维护'!$U$28)+IF('0信息维护'!$I$106=0,0,H8/('0信息维护'!$I$106)*'0信息维护'!$E$38*'0信息维护'!$V$28)+IF('0信息维护'!$I$107=0,0,I8/'0信息维护'!$I$107*'0信息维护'!$I$38)</f>
        <v>0.73</v>
      </c>
      <c r="K8" s="27"/>
    </row>
    <row r="9" spans="1:11">
      <c r="A9" s="20"/>
      <c r="B9" s="20"/>
      <c r="C9" s="20"/>
      <c r="D9" s="18" t="str">
        <f>'0信息维护'!A$29</f>
        <v>课程目标5</v>
      </c>
      <c r="E9" s="19">
        <f ca="1">OFFSET('1课程考核方式及成绩组成'!$F$10,(ROW(E9)-5)/7,MOD((ROW(E9)-5),7))</f>
        <v>0</v>
      </c>
      <c r="F9" s="19">
        <f ca="1">OFFSET('1课程考核方式及成绩组成'!$N$10,(ROW(F9)-5)/7,MOD((ROW(F9)-5),7))</f>
        <v>0</v>
      </c>
      <c r="G9" s="19">
        <f ca="1">OFFSET('1课程考核方式及成绩组成'!$V$10,(ROW(G9)-5)/7,MOD((ROW(G9)-5),7))</f>
        <v>0</v>
      </c>
      <c r="H9" s="19">
        <f ca="1">OFFSET('1课程考核方式及成绩组成'!$AD$10,(ROW(H9)-5)/7,MOD((ROW(H9)-5),7))</f>
        <v>0</v>
      </c>
      <c r="I9" s="19">
        <f ca="1">OFFSET('1课程考核方式及成绩组成'!$AL$10,(ROW(I9)-5)/7,MOD((ROW(I9)-5),7))</f>
        <v>0</v>
      </c>
      <c r="J9" s="25">
        <f ca="1">IF('0信息维护'!$I$109=0,0,E9/('0信息维护'!$I$109)*'0信息维护'!$E$39*'0信息维护'!$S$29)+IF('0信息维护'!$I$110=0,0,F9/('0信息维护'!$I$110)*'0信息维护'!$E$39*'0信息维护'!$T$29)+IF('0信息维护'!$I$111=0,0,G9/('0信息维护'!$I$111)*'0信息维护'!$E$39*'0信息维护'!$U$29)+IF('0信息维护'!$I$112=0,0,H9/('0信息维护'!$I$112)*'0信息维护'!$E$39*'0信息维护'!$V$29)+IF('0信息维护'!$I$113=0,0,I9/'0信息维护'!$I$113*'0信息维护'!$I$39)</f>
        <v>0</v>
      </c>
      <c r="K9" s="27"/>
    </row>
    <row r="10" spans="1:11">
      <c r="A10" s="20"/>
      <c r="B10" s="20"/>
      <c r="C10" s="20"/>
      <c r="D10" s="18" t="str">
        <f>'0信息维护'!A$30</f>
        <v>课程目标6</v>
      </c>
      <c r="E10" s="19">
        <f ca="1">OFFSET('1课程考核方式及成绩组成'!$F$10,(ROW(E10)-5)/7,MOD((ROW(E10)-5),7))</f>
        <v>0</v>
      </c>
      <c r="F10" s="19">
        <f ca="1">OFFSET('1课程考核方式及成绩组成'!$N$10,(ROW(F10)-5)/7,MOD((ROW(F10)-5),7))</f>
        <v>0</v>
      </c>
      <c r="G10" s="19">
        <f ca="1">OFFSET('1课程考核方式及成绩组成'!$V$10,(ROW(G10)-5)/7,MOD((ROW(G10)-5),7))</f>
        <v>0</v>
      </c>
      <c r="H10" s="19">
        <f ca="1">OFFSET('1课程考核方式及成绩组成'!$AD$10,(ROW(H10)-5)/7,MOD((ROW(H10)-5),7))</f>
        <v>0</v>
      </c>
      <c r="I10" s="19">
        <f ca="1">OFFSET('1课程考核方式及成绩组成'!$AL$10,(ROW(I10)-5)/7,MOD((ROW(I10)-5),7))</f>
        <v>0</v>
      </c>
      <c r="J10" s="25">
        <f ca="1">IF('0信息维护'!$I$115=0,0,E10/('0信息维护'!$I$115)*'0信息维护'!$E$40*'0信息维护'!$S$30)+IF('0信息维护'!$I$116=0,0,F10/('0信息维护'!$I$116)*'0信息维护'!$E$40*'0信息维护'!$T$30)+IF('0信息维护'!$I$117=0,0,G10/('0信息维护'!$I$117)*'0信息维护'!$E$40*'0信息维护'!$U$30)+IF('0信息维护'!$I$118=0,0,H10/('0信息维护'!$I$118)*'0信息维护'!$E$40*'0信息维护'!$V$30)+IF('0信息维护'!$I$119=0,0,I10/'0信息维护'!$I$119*'0信息维护'!$I$40)</f>
        <v>0</v>
      </c>
      <c r="K10" s="27"/>
    </row>
    <row r="11" spans="1:11">
      <c r="A11" s="21"/>
      <c r="B11" s="21"/>
      <c r="C11" s="21"/>
      <c r="D11" s="18" t="str">
        <f>'0信息维护'!A$31</f>
        <v>课程目标7</v>
      </c>
      <c r="E11" s="19">
        <f ca="1">OFFSET('1课程考核方式及成绩组成'!$F$10,(ROW(E11)-5)/7,MOD((ROW(E11)-5),7))</f>
        <v>0</v>
      </c>
      <c r="F11" s="19">
        <f ca="1">OFFSET('1课程考核方式及成绩组成'!$N$10,(ROW(F11)-5)/7,MOD((ROW(F11)-5),7))</f>
        <v>0</v>
      </c>
      <c r="G11" s="19">
        <f ca="1">OFFSET('1课程考核方式及成绩组成'!$V$10,(ROW(G11)-5)/7,MOD((ROW(G11)-5),7))</f>
        <v>0</v>
      </c>
      <c r="H11" s="19">
        <f ca="1">OFFSET('1课程考核方式及成绩组成'!$AD$10,(ROW(H11)-5)/7,MOD((ROW(H11)-5),7))</f>
        <v>0</v>
      </c>
      <c r="I11" s="19">
        <f ca="1">OFFSET('1课程考核方式及成绩组成'!$AL$10,(ROW(I11)-5)/7,MOD((ROW(I11)-5),7))</f>
        <v>0</v>
      </c>
      <c r="J11" s="25">
        <f ca="1">IF('0信息维护'!$I$121=0,0,E11/('0信息维护'!$I$121)*'0信息维护'!$E$41*'0信息维护'!$S$31)+IF('0信息维护'!$I$122=0,0,F11/('0信息维护'!$I$122)*'0信息维护'!$E$41*'0信息维护'!$T$31)+IF('0信息维护'!$I$123=0,0,G11/('0信息维护'!$I$123)*'0信息维护'!$E$41*'0信息维护'!$U$31)+IF('0信息维护'!$I$124=0,0,H11/('0信息维护'!$I$124)*'0信息维护'!$E$41*'0信息维护'!$V$31)+IF('0信息维护'!$I$125=0,0,I11/'0信息维护'!$I$125*'0信息维护'!$I$41)</f>
        <v>0</v>
      </c>
      <c r="K11" s="30"/>
    </row>
    <row r="12" spans="1:11">
      <c r="A12" s="17">
        <v>2</v>
      </c>
      <c r="B12" s="17" t="str">
        <f ca="1">OFFSET('1课程考核方式及成绩组成'!$D$10,(ROW(B12)-5)/7,)</f>
        <v>180301007</v>
      </c>
      <c r="C12" s="17" t="str">
        <f ca="1">OFFSET('1课程考核方式及成绩组成'!$E$10,(ROW(C12)-5)/7,)</f>
        <v>刘彪</v>
      </c>
      <c r="D12" s="18" t="str">
        <f>'0信息维护'!A$25</f>
        <v>课程目标1</v>
      </c>
      <c r="E12" s="19">
        <f ca="1">OFFSET('1课程考核方式及成绩组成'!$F$10,(ROW(E12)-5)/7,MOD((ROW(E12)-5),7))</f>
        <v>40</v>
      </c>
      <c r="F12" s="19">
        <f ca="1">OFFSET('1课程考核方式及成绩组成'!$N$10,(ROW(F12)-5)/7,MOD((ROW(F12)-5),7))</f>
        <v>0</v>
      </c>
      <c r="G12" s="19">
        <f ca="1">OFFSET('1课程考核方式及成绩组成'!$V$10,(ROW(G12)-5)/7,MOD((ROW(G12)-5),7))</f>
        <v>0</v>
      </c>
      <c r="H12" s="19">
        <f ca="1">OFFSET('1课程考核方式及成绩组成'!$AD$10,(ROW(H12)-5)/7,MOD((ROW(H12)-5),7))</f>
        <v>0</v>
      </c>
      <c r="I12" s="19">
        <f ca="1">OFFSET('1课程考核方式及成绩组成'!$AL$10,(ROW(I12)-5)/7,MOD((ROW(I12)-5),7))</f>
        <v>30</v>
      </c>
      <c r="J12" s="25">
        <f ca="1">IF('0信息维护'!$I$85=0,0,E12/('0信息维护'!$I$85)*'0信息维护'!$E$35*'0信息维护'!$S$25)+IF('0信息维护'!$I$86=0,0,F12/('0信息维护'!$I$86)*'0信息维护'!$E$35*'0信息维护'!$T$25)+IF('0信息维护'!$I$87=0,0,G12/('0信息维护'!$I$87)*'0信息维护'!$E$35*'0信息维护'!$U$25)+IF('0信息维护'!$I$88=0,0,H12/('0信息维护'!$I$88)*'0信息维护'!$E$35*'0信息维护'!$V$25)+IF('0信息维护'!$I$89=0,0,I12/'0信息维护'!$I$89*'0信息维护'!$I$35)</f>
        <v>0.916666666666667</v>
      </c>
      <c r="K12" s="26">
        <f ca="1">J12*'0信息维护'!$D$132+J13*'0信息维护'!$D$133+J14*'0信息维护'!$D$134+J15*'0信息维护'!$D$135+J16*'0信息维护'!$D$136+J17*'0信息维护'!$D$137+J18*'0信息维护'!$D$138</f>
        <v>0.796205882352941</v>
      </c>
    </row>
    <row r="13" spans="1:14">
      <c r="A13" s="20"/>
      <c r="B13" s="20"/>
      <c r="C13" s="20"/>
      <c r="D13" s="18" t="str">
        <f>'0信息维护'!A$26</f>
        <v>课程目标2</v>
      </c>
      <c r="E13" s="19">
        <f ca="1">OFFSET('1课程考核方式及成绩组成'!$F$10,(ROW(E13)-5)/7,MOD((ROW(E13)-5),7))</f>
        <v>60</v>
      </c>
      <c r="F13" s="19">
        <f ca="1">OFFSET('1课程考核方式及成绩组成'!$N$10,(ROW(F13)-5)/7,MOD((ROW(F13)-5),7))</f>
        <v>0</v>
      </c>
      <c r="G13" s="19">
        <f ca="1">OFFSET('1课程考核方式及成绩组成'!$V$10,(ROW(G13)-5)/7,MOD((ROW(G13)-5),7))</f>
        <v>0</v>
      </c>
      <c r="H13" s="19">
        <f ca="1">OFFSET('1课程考核方式及成绩组成'!$AD$10,(ROW(H13)-5)/7,MOD((ROW(H13)-5),7))</f>
        <v>0</v>
      </c>
      <c r="I13" s="19">
        <f ca="1">OFFSET('1课程考核方式及成绩组成'!$AL$10,(ROW(I13)-5)/7,MOD((ROW(I13)-5),7))</f>
        <v>24</v>
      </c>
      <c r="J13" s="25">
        <f ca="1">IF('0信息维护'!$I$91=0,0,E13/('0信息维护'!$I$91)*'0信息维护'!$S$26*'0信息维护'!$E$36)+IF('0信息维护'!$I$92=0,0,F13/('0信息维护'!$I$92)*'0信息维护'!$T$26*'0信息维护'!$E$36)+IF('0信息维护'!$I$93=0,0,G13/('0信息维护'!$I$93)*'0信息维护'!$U$26*'0信息维护'!$E$36)+IF('0信息维护'!$I$94=0,0,H13/('0信息维护'!$I$94)*'0信息维护'!$V$26*'0信息维护'!$E$36)+IF('0信息维护'!$I$95=0,0,I13/'0信息维护'!$I$95*'0信息维护'!$I$36)</f>
        <v>0.9</v>
      </c>
      <c r="K13" s="27"/>
      <c r="M13" s="28"/>
      <c r="N13" s="29"/>
    </row>
    <row r="14" spans="1:11">
      <c r="A14" s="20"/>
      <c r="B14" s="20"/>
      <c r="C14" s="20"/>
      <c r="D14" s="18" t="str">
        <f>'0信息维护'!A$27</f>
        <v>课程目标3</v>
      </c>
      <c r="E14" s="19">
        <f ca="1">OFFSET('1课程考核方式及成绩组成'!$F$10,(ROW(E14)-5)/7,MOD((ROW(E14)-5),7))</f>
        <v>0</v>
      </c>
      <c r="F14" s="19">
        <f ca="1">OFFSET('1课程考核方式及成绩组成'!$N$10,(ROW(F14)-5)/7,MOD((ROW(F14)-5),7))</f>
        <v>0</v>
      </c>
      <c r="G14" s="19">
        <f ca="1">OFFSET('1课程考核方式及成绩组成'!$V$10,(ROW(G14)-5)/7,MOD((ROW(G14)-5),7))</f>
        <v>0</v>
      </c>
      <c r="H14" s="19">
        <f ca="1">OFFSET('1课程考核方式及成绩组成'!$AD$10,(ROW(H14)-5)/7,MOD((ROW(H14)-5),7))</f>
        <v>0</v>
      </c>
      <c r="I14" s="19">
        <f ca="1">OFFSET('1课程考核方式及成绩组成'!$AL$10,(ROW(I14)-5)/7,MOD((ROW(I14)-5),7))</f>
        <v>19</v>
      </c>
      <c r="J14" s="25">
        <f ca="1">IF('0信息维护'!$I$97=0,0,E14/('0信息维护'!$I$97)*'0信息维护'!$E$37*'0信息维护'!$S$27)+IF('0信息维护'!$I$98=0,0,F14/('0信息维护'!$I$98)*'0信息维护'!$E$37*'0信息维护'!$T$27)+IF('0信息维护'!$I$99=0,0,G14/('0信息维护'!$I$99)*'0信息维护'!$E$37*'0信息维护'!$U$27)+IF('0信息维护'!$I$100=0,0,H14/('0信息维护'!$I$100)*'0信息维护'!$E$37*'0信息维护'!$V$27)+IF('0信息维护'!$I$101=0,0,I14/'0信息维护'!$I$101*'0信息维护'!$I$37)</f>
        <v>0.558823529411765</v>
      </c>
      <c r="K14" s="27"/>
    </row>
    <row r="15" spans="1:11">
      <c r="A15" s="20"/>
      <c r="B15" s="20"/>
      <c r="C15" s="20"/>
      <c r="D15" s="18" t="str">
        <f>'0信息维护'!A$28</f>
        <v>课程目标4</v>
      </c>
      <c r="E15" s="19">
        <f ca="1">OFFSET('1课程考核方式及成绩组成'!$F$10,(ROW(E15)-5)/7,MOD((ROW(E15)-5),7))</f>
        <v>0</v>
      </c>
      <c r="F15" s="19">
        <f ca="1">OFFSET('1课程考核方式及成绩组成'!$N$10,(ROW(F15)-5)/7,MOD((ROW(F15)-5),7))</f>
        <v>83</v>
      </c>
      <c r="G15" s="19">
        <f ca="1">OFFSET('1课程考核方式及成绩组成'!$V$10,(ROW(G15)-5)/7,MOD((ROW(G15)-5),7))</f>
        <v>0</v>
      </c>
      <c r="H15" s="19">
        <f ca="1">OFFSET('1课程考核方式及成绩组成'!$AD$10,(ROW(H15)-5)/7,MOD((ROW(H15)-5),7))</f>
        <v>0</v>
      </c>
      <c r="I15" s="19">
        <f ca="1">OFFSET('1课程考核方式及成绩组成'!$AL$10,(ROW(I15)-5)/7,MOD((ROW(I15)-5),7))</f>
        <v>0</v>
      </c>
      <c r="J15" s="25">
        <f ca="1">IF('0信息维护'!$I$103=0,0,E15/('0信息维护'!$I$103)*'0信息维护'!$E$38*'0信息维护'!$S$28)+IF('0信息维护'!$I$104=0,0,F15/('0信息维护'!$I$104)*'0信息维护'!$E$38*'0信息维护'!$T$28)+IF('0信息维护'!$I$105=0,0,G15/('0信息维护'!$I$105)*'0信息维护'!$E$38*'0信息维护'!$U$28)+IF('0信息维护'!$I$106=0,0,H15/('0信息维护'!$I$106)*'0信息维护'!$E$38*'0信息维护'!$V$28)+IF('0信息维护'!$I$107=0,0,I15/'0信息维护'!$I$107*'0信息维护'!$I$38)</f>
        <v>0.83</v>
      </c>
      <c r="K15" s="27"/>
    </row>
    <row r="16" spans="1:11">
      <c r="A16" s="20"/>
      <c r="B16" s="20"/>
      <c r="C16" s="20"/>
      <c r="D16" s="18" t="str">
        <f>'0信息维护'!A$29</f>
        <v>课程目标5</v>
      </c>
      <c r="E16" s="19">
        <f ca="1">OFFSET('1课程考核方式及成绩组成'!$F$10,(ROW(E16)-5)/7,MOD((ROW(E16)-5),7))</f>
        <v>0</v>
      </c>
      <c r="F16" s="19">
        <f ca="1">OFFSET('1课程考核方式及成绩组成'!$N$10,(ROW(F16)-5)/7,MOD((ROW(F16)-5),7))</f>
        <v>0</v>
      </c>
      <c r="G16" s="19">
        <f ca="1">OFFSET('1课程考核方式及成绩组成'!$V$10,(ROW(G16)-5)/7,MOD((ROW(G16)-5),7))</f>
        <v>0</v>
      </c>
      <c r="H16" s="19">
        <f ca="1">OFFSET('1课程考核方式及成绩组成'!$AD$10,(ROW(H16)-5)/7,MOD((ROW(H16)-5),7))</f>
        <v>0</v>
      </c>
      <c r="I16" s="19">
        <f ca="1">OFFSET('1课程考核方式及成绩组成'!$AL$10,(ROW(I16)-5)/7,MOD((ROW(I16)-5),7))</f>
        <v>0</v>
      </c>
      <c r="J16" s="25">
        <f ca="1">IF('0信息维护'!$I$109=0,0,E16/('0信息维护'!$I$109)*'0信息维护'!$E$39*'0信息维护'!$S$29)+IF('0信息维护'!$I$110=0,0,F16/('0信息维护'!$I$110)*'0信息维护'!$E$39*'0信息维护'!$T$29)+IF('0信息维护'!$I$111=0,0,G16/('0信息维护'!$I$111)*'0信息维护'!$E$39*'0信息维护'!$U$29)+IF('0信息维护'!$I$112=0,0,H16/('0信息维护'!$I$112)*'0信息维护'!$E$39*'0信息维护'!$V$29)+IF('0信息维护'!$I$113=0,0,I16/'0信息维护'!$I$113*'0信息维护'!$I$39)</f>
        <v>0</v>
      </c>
      <c r="K16" s="27"/>
    </row>
    <row r="17" spans="1:11">
      <c r="A17" s="20"/>
      <c r="B17" s="20"/>
      <c r="C17" s="20"/>
      <c r="D17" s="18" t="str">
        <f>'0信息维护'!A$30</f>
        <v>课程目标6</v>
      </c>
      <c r="E17" s="19">
        <f ca="1">OFFSET('1课程考核方式及成绩组成'!$F$10,(ROW(E17)-5)/7,MOD((ROW(E17)-5),7))</f>
        <v>0</v>
      </c>
      <c r="F17" s="19">
        <f ca="1">OFFSET('1课程考核方式及成绩组成'!$N$10,(ROW(F17)-5)/7,MOD((ROW(F17)-5),7))</f>
        <v>0</v>
      </c>
      <c r="G17" s="19">
        <f ca="1">OFFSET('1课程考核方式及成绩组成'!$V$10,(ROW(G17)-5)/7,MOD((ROW(G17)-5),7))</f>
        <v>0</v>
      </c>
      <c r="H17" s="19">
        <f ca="1">OFFSET('1课程考核方式及成绩组成'!$AD$10,(ROW(H17)-5)/7,MOD((ROW(H17)-5),7))</f>
        <v>0</v>
      </c>
      <c r="I17" s="19">
        <f ca="1">OFFSET('1课程考核方式及成绩组成'!$AL$10,(ROW(I17)-5)/7,MOD((ROW(I17)-5),7))</f>
        <v>0</v>
      </c>
      <c r="J17" s="25">
        <f ca="1">IF('0信息维护'!$I$115=0,0,E17/('0信息维护'!$I$115)*'0信息维护'!$E$40*'0信息维护'!$S$30)+IF('0信息维护'!$I$116=0,0,F17/('0信息维护'!$I$116)*'0信息维护'!$E$40*'0信息维护'!$T$30)+IF('0信息维护'!$I$117=0,0,G17/('0信息维护'!$I$117)*'0信息维护'!$E$40*'0信息维护'!$U$30)+IF('0信息维护'!$I$118=0,0,H17/('0信息维护'!$I$118)*'0信息维护'!$E$40*'0信息维护'!$V$30)+IF('0信息维护'!$I$119=0,0,I17/'0信息维护'!$I$119*'0信息维护'!$I$40)</f>
        <v>0</v>
      </c>
      <c r="K17" s="27"/>
    </row>
    <row r="18" spans="1:11">
      <c r="A18" s="21"/>
      <c r="B18" s="21"/>
      <c r="C18" s="21"/>
      <c r="D18" s="18" t="str">
        <f>'0信息维护'!A$31</f>
        <v>课程目标7</v>
      </c>
      <c r="E18" s="19">
        <f ca="1">OFFSET('1课程考核方式及成绩组成'!$F$10,(ROW(E18)-5)/7,MOD((ROW(E18)-5),7))</f>
        <v>0</v>
      </c>
      <c r="F18" s="19">
        <f ca="1">OFFSET('1课程考核方式及成绩组成'!$N$10,(ROW(F18)-5)/7,MOD((ROW(F18)-5),7))</f>
        <v>0</v>
      </c>
      <c r="G18" s="19">
        <f ca="1">OFFSET('1课程考核方式及成绩组成'!$V$10,(ROW(G18)-5)/7,MOD((ROW(G18)-5),7))</f>
        <v>0</v>
      </c>
      <c r="H18" s="19">
        <f ca="1">OFFSET('1课程考核方式及成绩组成'!$AD$10,(ROW(H18)-5)/7,MOD((ROW(H18)-5),7))</f>
        <v>0</v>
      </c>
      <c r="I18" s="19">
        <f ca="1">OFFSET('1课程考核方式及成绩组成'!$AL$10,(ROW(I18)-5)/7,MOD((ROW(I18)-5),7))</f>
        <v>0</v>
      </c>
      <c r="J18" s="25">
        <f ca="1">IF('0信息维护'!$I$121=0,0,E18/('0信息维护'!$I$121)*'0信息维护'!$E$41*'0信息维护'!$S$31)+IF('0信息维护'!$I$122=0,0,F18/('0信息维护'!$I$122)*'0信息维护'!$E$41*'0信息维护'!$T$31)+IF('0信息维护'!$I$123=0,0,G18/('0信息维护'!$I$123)*'0信息维护'!$E$41*'0信息维护'!$U$31)+IF('0信息维护'!$I$124=0,0,H18/('0信息维护'!$I$124)*'0信息维护'!$E$41*'0信息维护'!$T$31)+IF('0信息维护'!$I$125=0,0,I18/'0信息维护'!$I$125*'0信息维护'!$I$41)</f>
        <v>0</v>
      </c>
      <c r="K18" s="30"/>
    </row>
    <row r="19" spans="1:11">
      <c r="A19" s="17">
        <v>3</v>
      </c>
      <c r="B19" s="17" t="str">
        <f ca="1">OFFSET('1课程考核方式及成绩组成'!$D$10,(ROW(B19)-5)/7,)</f>
        <v>180301010</v>
      </c>
      <c r="C19" s="17" t="str">
        <f ca="1">OFFSET('1课程考核方式及成绩组成'!$E$10,(ROW(C19)-5)/7,)</f>
        <v>童祉昂</v>
      </c>
      <c r="D19" s="18" t="str">
        <f>'0信息维护'!A$25</f>
        <v>课程目标1</v>
      </c>
      <c r="E19" s="19">
        <f ca="1">OFFSET('1课程考核方式及成绩组成'!$F$10,(ROW(E19)-5)/7,MOD((ROW(E19)-5),7))</f>
        <v>40</v>
      </c>
      <c r="F19" s="19">
        <f ca="1">OFFSET('1课程考核方式及成绩组成'!$N$10,(ROW(F19)-5)/7,MOD((ROW(F19)-5),7))</f>
        <v>0</v>
      </c>
      <c r="G19" s="19">
        <f ca="1">OFFSET('1课程考核方式及成绩组成'!$V$10,(ROW(G19)-5)/7,MOD((ROW(G19)-5),7))</f>
        <v>0</v>
      </c>
      <c r="H19" s="19">
        <f ca="1">OFFSET('1课程考核方式及成绩组成'!$AD$10,(ROW(H19)-5)/7,MOD((ROW(H19)-5),7))</f>
        <v>0</v>
      </c>
      <c r="I19" s="19">
        <f ca="1">OFFSET('1课程考核方式及成绩组成'!$AL$10,(ROW(I19)-5)/7,MOD((ROW(I19)-5),7))</f>
        <v>34</v>
      </c>
      <c r="J19" s="25">
        <f ca="1">IF('0信息维护'!$I$85=0,0,E19/('0信息维护'!$I$85)*'0信息维护'!$E$35*'0信息维护'!$S$25)+IF('0信息维护'!$I$86=0,0,F19/('0信息维护'!$I$86)*'0信息维护'!$E$35*'0信息维护'!$T$25)+IF('0信息维护'!$I$87=0,0,G19/('0信息维护'!$I$87)*'0信息维护'!$E$35*'0信息维护'!$U$25)+IF('0信息维护'!$I$88=0,0,H19/('0信息维护'!$I$88)*'0信息维护'!$E$35*'0信息维护'!$V$25)+IF('0信息维护'!$I$89=0,0,I19/'0信息维护'!$I$89*'0信息维护'!$I$35)</f>
        <v>0.972222222222222</v>
      </c>
      <c r="K19" s="26">
        <f ca="1">J19*'0信息维护'!$D$132+J20*'0信息维护'!$D$133+J21*'0信息维护'!$D$134+J22*'0信息维护'!$D$135+J23*'0信息维护'!$D$136+J24*'0信息维护'!$D$137+J25*'0信息维护'!$D$138</f>
        <v>0.740539215686274</v>
      </c>
    </row>
    <row r="20" spans="1:14">
      <c r="A20" s="20"/>
      <c r="B20" s="20"/>
      <c r="C20" s="20"/>
      <c r="D20" s="18" t="str">
        <f>'0信息维护'!A$26</f>
        <v>课程目标2</v>
      </c>
      <c r="E20" s="19">
        <f ca="1">OFFSET('1课程考核方式及成绩组成'!$F$10,(ROW(E20)-5)/7,MOD((ROW(E20)-5),7))</f>
        <v>60</v>
      </c>
      <c r="F20" s="19">
        <f ca="1">OFFSET('1课程考核方式及成绩组成'!$N$10,(ROW(F20)-5)/7,MOD((ROW(F20)-5),7))</f>
        <v>0</v>
      </c>
      <c r="G20" s="19">
        <f ca="1">OFFSET('1课程考核方式及成绩组成'!$V$10,(ROW(G20)-5)/7,MOD((ROW(G20)-5),7))</f>
        <v>0</v>
      </c>
      <c r="H20" s="19">
        <f ca="1">OFFSET('1课程考核方式及成绩组成'!$AD$10,(ROW(H20)-5)/7,MOD((ROW(H20)-5),7))</f>
        <v>0</v>
      </c>
      <c r="I20" s="19">
        <f ca="1">OFFSET('1课程考核方式及成绩组成'!$AL$10,(ROW(I20)-5)/7,MOD((ROW(I20)-5),7))</f>
        <v>25</v>
      </c>
      <c r="J20" s="25">
        <f ca="1">IF('0信息维护'!$I$91=0,0,E20/('0信息维护'!$I$91)*'0信息维护'!$S$26*'0信息维护'!$E$36)+IF('0信息维护'!$I$92=0,0,F20/('0信息维护'!$I$92)*'0信息维护'!$T$26*'0信息维护'!$E$36)+IF('0信息维护'!$I$93=0,0,G20/('0信息维护'!$I$93)*'0信息维护'!$U$26*'0信息维护'!$E$36)+IF('0信息维护'!$I$94=0,0,H20/('0信息维护'!$I$94)*'0信息维护'!$V$26*'0信息维护'!$E$36)+IF('0信息维护'!$I$95=0,0,I20/'0信息维护'!$I$95*'0信息维护'!$I$36)</f>
        <v>0.916666666666667</v>
      </c>
      <c r="K20" s="27"/>
      <c r="M20" s="28"/>
      <c r="N20" s="29"/>
    </row>
    <row r="21" spans="1:11">
      <c r="A21" s="20"/>
      <c r="B21" s="20"/>
      <c r="C21" s="20"/>
      <c r="D21" s="18" t="str">
        <f>'0信息维护'!A$27</f>
        <v>课程目标3</v>
      </c>
      <c r="E21" s="19">
        <f ca="1">OFFSET('1课程考核方式及成绩组成'!$F$10,(ROW(E21)-5)/7,MOD((ROW(E21)-5),7))</f>
        <v>0</v>
      </c>
      <c r="F21" s="19">
        <f ca="1">OFFSET('1课程考核方式及成绩组成'!$N$10,(ROW(F21)-5)/7,MOD((ROW(F21)-5),7))</f>
        <v>0</v>
      </c>
      <c r="G21" s="19">
        <f ca="1">OFFSET('1课程考核方式及成绩组成'!$V$10,(ROW(G21)-5)/7,MOD((ROW(G21)-5),7))</f>
        <v>0</v>
      </c>
      <c r="H21" s="19">
        <f ca="1">OFFSET('1课程考核方式及成绩组成'!$AD$10,(ROW(H21)-5)/7,MOD((ROW(H21)-5),7))</f>
        <v>0</v>
      </c>
      <c r="I21" s="19">
        <f ca="1">OFFSET('1课程考核方式及成绩组成'!$AL$10,(ROW(I21)-5)/7,MOD((ROW(I21)-5),7))</f>
        <v>19</v>
      </c>
      <c r="J21" s="25">
        <f ca="1">IF('0信息维护'!$I$97=0,0,E21/('0信息维护'!$I$97)*'0信息维护'!$E$37*'0信息维护'!$S$27)+IF('0信息维护'!$I$98=0,0,F21/('0信息维护'!$I$98)*'0信息维护'!$E$37*'0信息维护'!$T$27)+IF('0信息维护'!$I$99=0,0,G21/('0信息维护'!$I$99)*'0信息维护'!$E$37*'0信息维护'!$U$27)+IF('0信息维护'!$I$100=0,0,H21/('0信息维护'!$I$100)*'0信息维护'!$E$37*'0信息维护'!$V$27)+IF('0信息维护'!$I$101=0,0,I21/'0信息维护'!$I$101*'0信息维护'!$I$37)</f>
        <v>0.558823529411765</v>
      </c>
      <c r="K21" s="27"/>
    </row>
    <row r="22" spans="1:11">
      <c r="A22" s="20"/>
      <c r="B22" s="20"/>
      <c r="C22" s="20"/>
      <c r="D22" s="18" t="str">
        <f>'0信息维护'!A$28</f>
        <v>课程目标4</v>
      </c>
      <c r="E22" s="19">
        <f ca="1">OFFSET('1课程考核方式及成绩组成'!$F$10,(ROW(E22)-5)/7,MOD((ROW(E22)-5),7))</f>
        <v>0</v>
      </c>
      <c r="F22" s="19">
        <f ca="1">OFFSET('1课程考核方式及成绩组成'!$N$10,(ROW(F22)-5)/7,MOD((ROW(F22)-5),7))</f>
        <v>60</v>
      </c>
      <c r="G22" s="19">
        <f ca="1">OFFSET('1课程考核方式及成绩组成'!$V$10,(ROW(G22)-5)/7,MOD((ROW(G22)-5),7))</f>
        <v>0</v>
      </c>
      <c r="H22" s="19">
        <f ca="1">OFFSET('1课程考核方式及成绩组成'!$AD$10,(ROW(H22)-5)/7,MOD((ROW(H22)-5),7))</f>
        <v>0</v>
      </c>
      <c r="I22" s="19">
        <f ca="1">OFFSET('1课程考核方式及成绩组成'!$AL$10,(ROW(I22)-5)/7,MOD((ROW(I22)-5),7))</f>
        <v>0</v>
      </c>
      <c r="J22" s="25">
        <f ca="1">IF('0信息维护'!$I$103=0,0,E22/('0信息维护'!$I$103)*'0信息维护'!$E$38*'0信息维护'!$S$28)+IF('0信息维护'!$I$104=0,0,F22/('0信息维护'!$I$104)*'0信息维护'!$E$38*'0信息维护'!$T$28)+IF('0信息维护'!$I$105=0,0,G22/('0信息维护'!$I$105)*'0信息维护'!$E$38*'0信息维护'!$U$28)+IF('0信息维护'!$I$106=0,0,H22/('0信息维护'!$I$106)*'0信息维护'!$E$38*'0信息维护'!$V$28)+IF('0信息维护'!$I$107=0,0,I22/'0信息维护'!$I$107*'0信息维护'!$I$38)</f>
        <v>0.6</v>
      </c>
      <c r="K22" s="27"/>
    </row>
    <row r="23" spans="1:11">
      <c r="A23" s="20"/>
      <c r="B23" s="20"/>
      <c r="C23" s="20"/>
      <c r="D23" s="18" t="str">
        <f>'0信息维护'!A$29</f>
        <v>课程目标5</v>
      </c>
      <c r="E23" s="19">
        <f ca="1">OFFSET('1课程考核方式及成绩组成'!$F$10,(ROW(E23)-5)/7,MOD((ROW(E23)-5),7))</f>
        <v>0</v>
      </c>
      <c r="F23" s="19">
        <f ca="1">OFFSET('1课程考核方式及成绩组成'!$N$10,(ROW(F23)-5)/7,MOD((ROW(F23)-5),7))</f>
        <v>0</v>
      </c>
      <c r="G23" s="19">
        <f ca="1">OFFSET('1课程考核方式及成绩组成'!$V$10,(ROW(G23)-5)/7,MOD((ROW(G23)-5),7))</f>
        <v>0</v>
      </c>
      <c r="H23" s="19">
        <f ca="1">OFFSET('1课程考核方式及成绩组成'!$AD$10,(ROW(H23)-5)/7,MOD((ROW(H23)-5),7))</f>
        <v>0</v>
      </c>
      <c r="I23" s="19">
        <f ca="1">OFFSET('1课程考核方式及成绩组成'!$AL$10,(ROW(I23)-5)/7,MOD((ROW(I23)-5),7))</f>
        <v>0</v>
      </c>
      <c r="J23" s="25">
        <f ca="1">IF('0信息维护'!$I$109=0,0,E23/('0信息维护'!$I$109)*'0信息维护'!$E$39*'0信息维护'!$S$29)+IF('0信息维护'!$I$110=0,0,F23/('0信息维护'!$I$110)*'0信息维护'!$E$39*'0信息维护'!$T$29)+IF('0信息维护'!$I$111=0,0,G23/('0信息维护'!$I$111)*'0信息维护'!$E$39*'0信息维护'!$U$29)+IF('0信息维护'!$I$112=0,0,H23/('0信息维护'!$I$112)*'0信息维护'!$E$39*'0信息维护'!$V$29)+IF('0信息维护'!$I$113=0,0,I23/'0信息维护'!$I$113*'0信息维护'!$I$39)</f>
        <v>0</v>
      </c>
      <c r="K23" s="27"/>
    </row>
    <row r="24" spans="1:11">
      <c r="A24" s="20"/>
      <c r="B24" s="20"/>
      <c r="C24" s="20"/>
      <c r="D24" s="18" t="str">
        <f>'0信息维护'!A$30</f>
        <v>课程目标6</v>
      </c>
      <c r="E24" s="19">
        <f ca="1">OFFSET('1课程考核方式及成绩组成'!$F$10,(ROW(E24)-5)/7,MOD((ROW(E24)-5),7))</f>
        <v>0</v>
      </c>
      <c r="F24" s="19">
        <f ca="1">OFFSET('1课程考核方式及成绩组成'!$N$10,(ROW(F24)-5)/7,MOD((ROW(F24)-5),7))</f>
        <v>0</v>
      </c>
      <c r="G24" s="19">
        <f ca="1">OFFSET('1课程考核方式及成绩组成'!$V$10,(ROW(G24)-5)/7,MOD((ROW(G24)-5),7))</f>
        <v>0</v>
      </c>
      <c r="H24" s="19">
        <f ca="1">OFFSET('1课程考核方式及成绩组成'!$AD$10,(ROW(H24)-5)/7,MOD((ROW(H24)-5),7))</f>
        <v>0</v>
      </c>
      <c r="I24" s="19">
        <f ca="1">OFFSET('1课程考核方式及成绩组成'!$AL$10,(ROW(I24)-5)/7,MOD((ROW(I24)-5),7))</f>
        <v>0</v>
      </c>
      <c r="J24" s="25">
        <f ca="1">IF('0信息维护'!$I$115=0,0,E24/('0信息维护'!$I$115)*'0信息维护'!$E$40*'0信息维护'!$S$30)+IF('0信息维护'!$I$116=0,0,F24/('0信息维护'!$I$116)*'0信息维护'!$E$40*'0信息维护'!$T$30)+IF('0信息维护'!$I$117=0,0,G24/('0信息维护'!$I$117)*'0信息维护'!$E$40*'0信息维护'!$U$30)+IF('0信息维护'!$I$118=0,0,H24/('0信息维护'!$I$118)*'0信息维护'!$E$40*'0信息维护'!$V$30)+IF('0信息维护'!$I$119=0,0,I24/'0信息维护'!$I$119*'0信息维护'!$I$40)</f>
        <v>0</v>
      </c>
      <c r="K24" s="27"/>
    </row>
    <row r="25" spans="1:11">
      <c r="A25" s="21"/>
      <c r="B25" s="21"/>
      <c r="C25" s="21"/>
      <c r="D25" s="18" t="str">
        <f>'0信息维护'!A$31</f>
        <v>课程目标7</v>
      </c>
      <c r="E25" s="19">
        <f ca="1">OFFSET('1课程考核方式及成绩组成'!$F$10,(ROW(E25)-5)/7,MOD((ROW(E25)-5),7))</f>
        <v>0</v>
      </c>
      <c r="F25" s="19">
        <f ca="1">OFFSET('1课程考核方式及成绩组成'!$N$10,(ROW(F25)-5)/7,MOD((ROW(F25)-5),7))</f>
        <v>0</v>
      </c>
      <c r="G25" s="19">
        <f ca="1">OFFSET('1课程考核方式及成绩组成'!$V$10,(ROW(G25)-5)/7,MOD((ROW(G25)-5),7))</f>
        <v>0</v>
      </c>
      <c r="H25" s="19">
        <f ca="1">OFFSET('1课程考核方式及成绩组成'!$AD$10,(ROW(H25)-5)/7,MOD((ROW(H25)-5),7))</f>
        <v>0</v>
      </c>
      <c r="I25" s="19">
        <f ca="1">OFFSET('1课程考核方式及成绩组成'!$AL$10,(ROW(I25)-5)/7,MOD((ROW(I25)-5),7))</f>
        <v>0</v>
      </c>
      <c r="J25" s="25">
        <f ca="1">IF('0信息维护'!$I$121=0,0,E25/('0信息维护'!$I$121)*'0信息维护'!$E$41*'0信息维护'!$S$31)+IF('0信息维护'!$I$122=0,0,F25/('0信息维护'!$I$122)*'0信息维护'!$E$41*'0信息维护'!$T$31)+IF('0信息维护'!$I$123=0,0,G25/('0信息维护'!$I$123)*'0信息维护'!$E$41*'0信息维护'!$U$31)+IF('0信息维护'!$I$124=0,0,H25/('0信息维护'!$I$124)*'0信息维护'!$E$41*'0信息维护'!$T$31)+IF('0信息维护'!$I$125=0,0,I25/'0信息维护'!$I$125*'0信息维护'!$I$41)</f>
        <v>0</v>
      </c>
      <c r="K25" s="30"/>
    </row>
    <row r="26" spans="1:11">
      <c r="A26" s="17">
        <v>4</v>
      </c>
      <c r="B26" s="17" t="str">
        <f ca="1">OFFSET('1课程考核方式及成绩组成'!$D$10,(ROW(B26)-5)/7,)</f>
        <v>180301042</v>
      </c>
      <c r="C26" s="17" t="str">
        <f ca="1">OFFSET('1课程考核方式及成绩组成'!$E$10,(ROW(C26)-5)/7,)</f>
        <v>覃朝雄</v>
      </c>
      <c r="D26" s="18" t="str">
        <f>'0信息维护'!A$25</f>
        <v>课程目标1</v>
      </c>
      <c r="E26" s="19">
        <f ca="1">OFFSET('1课程考核方式及成绩组成'!$F$10,(ROW(E26)-5)/7,MOD((ROW(E26)-5),7))</f>
        <v>40</v>
      </c>
      <c r="F26" s="19">
        <f ca="1">OFFSET('1课程考核方式及成绩组成'!$N$10,(ROW(F26)-5)/7,MOD((ROW(F26)-5),7))</f>
        <v>0</v>
      </c>
      <c r="G26" s="19">
        <f ca="1">OFFSET('1课程考核方式及成绩组成'!$V$10,(ROW(G26)-5)/7,MOD((ROW(G26)-5),7))</f>
        <v>0</v>
      </c>
      <c r="H26" s="19">
        <f ca="1">OFFSET('1课程考核方式及成绩组成'!$AD$10,(ROW(H26)-5)/7,MOD((ROW(H26)-5),7))</f>
        <v>0</v>
      </c>
      <c r="I26" s="19">
        <f ca="1">OFFSET('1课程考核方式及成绩组成'!$AL$10,(ROW(I26)-5)/7,MOD((ROW(I26)-5),7))</f>
        <v>34</v>
      </c>
      <c r="J26" s="25">
        <f ca="1">IF('0信息维护'!$I$85=0,0,E26/('0信息维护'!$I$85)*'0信息维护'!$E$35*'0信息维护'!$S$25)+IF('0信息维护'!$I$86=0,0,F26/('0信息维护'!$I$86)*'0信息维护'!$E$35*'0信息维护'!$T$25)+IF('0信息维护'!$I$87=0,0,G26/('0信息维护'!$I$87)*'0信息维护'!$E$35*'0信息维护'!$U$25)+IF('0信息维护'!$I$88=0,0,H26/('0信息维护'!$I$88)*'0信息维护'!$E$35*'0信息维护'!$V$25)+IF('0信息维护'!$I$89=0,0,I26/'0信息维护'!$I$89*'0信息维护'!$I$35)</f>
        <v>0.972222222222222</v>
      </c>
      <c r="K26" s="26">
        <f ca="1">J26*'0信息维护'!$D$132+J27*'0信息维护'!$D$133+J28*'0信息维护'!$D$134+J29*'0信息维护'!$D$135+J30*'0信息维护'!$D$136+J31*'0信息维护'!$D$137+J32*'0信息维护'!$D$138</f>
        <v>0.772892156862745</v>
      </c>
    </row>
    <row r="27" spans="1:14">
      <c r="A27" s="20"/>
      <c r="B27" s="20"/>
      <c r="C27" s="20"/>
      <c r="D27" s="18" t="str">
        <f>'0信息维护'!A$26</f>
        <v>课程目标2</v>
      </c>
      <c r="E27" s="19">
        <f ca="1">OFFSET('1课程考核方式及成绩组成'!$F$10,(ROW(E27)-5)/7,MOD((ROW(E27)-5),7))</f>
        <v>60</v>
      </c>
      <c r="F27" s="19">
        <f ca="1">OFFSET('1课程考核方式及成绩组成'!$N$10,(ROW(F27)-5)/7,MOD((ROW(F27)-5),7))</f>
        <v>0</v>
      </c>
      <c r="G27" s="19">
        <f ca="1">OFFSET('1课程考核方式及成绩组成'!$V$10,(ROW(G27)-5)/7,MOD((ROW(G27)-5),7))</f>
        <v>0</v>
      </c>
      <c r="H27" s="19">
        <f ca="1">OFFSET('1课程考核方式及成绩组成'!$AD$10,(ROW(H27)-5)/7,MOD((ROW(H27)-5),7))</f>
        <v>0</v>
      </c>
      <c r="I27" s="19">
        <f ca="1">OFFSET('1课程考核方式及成绩组成'!$AL$10,(ROW(I27)-5)/7,MOD((ROW(I27)-5),7))</f>
        <v>21</v>
      </c>
      <c r="J27" s="25">
        <f ca="1">IF('0信息维护'!$I$91=0,0,E27/('0信息维护'!$I$91)*'0信息维护'!$S$26*'0信息维护'!$E$36)+IF('0信息维护'!$I$92=0,0,F27/('0信息维护'!$I$92)*'0信息维护'!$T$26*'0信息维护'!$E$36)+IF('0信息维护'!$I$93=0,0,G27/('0信息维护'!$I$93)*'0信息维护'!$U$26*'0信息维护'!$E$36)+IF('0信息维护'!$I$94=0,0,H27/('0信息维护'!$I$94)*'0信息维护'!$V$26*'0信息维护'!$E$36)+IF('0信息维护'!$I$95=0,0,I27/'0信息维护'!$I$95*'0信息维护'!$I$36)</f>
        <v>0.85</v>
      </c>
      <c r="K27" s="27"/>
      <c r="M27" s="28"/>
      <c r="N27" s="29"/>
    </row>
    <row r="28" spans="1:11">
      <c r="A28" s="20"/>
      <c r="B28" s="20"/>
      <c r="C28" s="20"/>
      <c r="D28" s="18" t="str">
        <f>'0信息维护'!A$27</f>
        <v>课程目标3</v>
      </c>
      <c r="E28" s="19">
        <f ca="1">OFFSET('1课程考核方式及成绩组成'!$F$10,(ROW(E28)-5)/7,MOD((ROW(E28)-5),7))</f>
        <v>0</v>
      </c>
      <c r="F28" s="19">
        <f ca="1">OFFSET('1课程考核方式及成绩组成'!$N$10,(ROW(F28)-5)/7,MOD((ROW(F28)-5),7))</f>
        <v>0</v>
      </c>
      <c r="G28" s="19">
        <f ca="1">OFFSET('1课程考核方式及成绩组成'!$V$10,(ROW(G28)-5)/7,MOD((ROW(G28)-5),7))</f>
        <v>0</v>
      </c>
      <c r="H28" s="19">
        <f ca="1">OFFSET('1课程考核方式及成绩组成'!$AD$10,(ROW(H28)-5)/7,MOD((ROW(H28)-5),7))</f>
        <v>0</v>
      </c>
      <c r="I28" s="19">
        <f ca="1">OFFSET('1课程考核方式及成绩组成'!$AL$10,(ROW(I28)-5)/7,MOD((ROW(I28)-5),7))</f>
        <v>20</v>
      </c>
      <c r="J28" s="25">
        <f ca="1">IF('0信息维护'!$I$97=0,0,E28/('0信息维护'!$I$97)*'0信息维护'!$E$37*'0信息维护'!$S$27)+IF('0信息维护'!$I$98=0,0,F28/('0信息维护'!$I$98)*'0信息维护'!$E$37*'0信息维护'!$T$27)+IF('0信息维护'!$I$99=0,0,G28/('0信息维护'!$I$99)*'0信息维护'!$E$37*'0信息维护'!$U$27)+IF('0信息维护'!$I$100=0,0,H28/('0信息维护'!$I$100)*'0信息维护'!$E$37*'0信息维护'!$V$27)+IF('0信息维护'!$I$101=0,0,I28/'0信息维护'!$I$101*'0信息维护'!$I$37)</f>
        <v>0.588235294117647</v>
      </c>
      <c r="K28" s="27"/>
    </row>
    <row r="29" spans="1:11">
      <c r="A29" s="20"/>
      <c r="B29" s="20"/>
      <c r="C29" s="20"/>
      <c r="D29" s="18" t="str">
        <f>'0信息维护'!A$28</f>
        <v>课程目标4</v>
      </c>
      <c r="E29" s="19">
        <f ca="1">OFFSET('1课程考核方式及成绩组成'!$F$10,(ROW(E29)-5)/7,MOD((ROW(E29)-5),7))</f>
        <v>0</v>
      </c>
      <c r="F29" s="19">
        <f ca="1">OFFSET('1课程考核方式及成绩组成'!$N$10,(ROW(F29)-5)/7,MOD((ROW(F29)-5),7))</f>
        <v>75</v>
      </c>
      <c r="G29" s="19">
        <f ca="1">OFFSET('1课程考核方式及成绩组成'!$V$10,(ROW(G29)-5)/7,MOD((ROW(G29)-5),7))</f>
        <v>0</v>
      </c>
      <c r="H29" s="19">
        <f ca="1">OFFSET('1课程考核方式及成绩组成'!$AD$10,(ROW(H29)-5)/7,MOD((ROW(H29)-5),7))</f>
        <v>0</v>
      </c>
      <c r="I29" s="19">
        <f ca="1">OFFSET('1课程考核方式及成绩组成'!$AL$10,(ROW(I29)-5)/7,MOD((ROW(I29)-5),7))</f>
        <v>0</v>
      </c>
      <c r="J29" s="25">
        <f ca="1">IF('0信息维护'!$I$103=0,0,E29/('0信息维护'!$I$103)*'0信息维护'!$E$38*'0信息维护'!$S$28)+IF('0信息维护'!$I$104=0,0,F29/('0信息维护'!$I$104)*'0信息维护'!$E$38*'0信息维护'!$T$28)+IF('0信息维护'!$I$105=0,0,G29/('0信息维护'!$I$105)*'0信息维护'!$E$38*'0信息维护'!$U$28)+IF('0信息维护'!$I$106=0,0,H29/('0信息维护'!$I$106)*'0信息维护'!$E$38*'0信息维护'!$V$28)+IF('0信息维护'!$I$107=0,0,I29/'0信息维护'!$I$107*'0信息维护'!$I$38)</f>
        <v>0.75</v>
      </c>
      <c r="K29" s="27"/>
    </row>
    <row r="30" spans="1:11">
      <c r="A30" s="20"/>
      <c r="B30" s="20"/>
      <c r="C30" s="20"/>
      <c r="D30" s="18" t="str">
        <f>'0信息维护'!A$29</f>
        <v>课程目标5</v>
      </c>
      <c r="E30" s="19">
        <f ca="1">OFFSET('1课程考核方式及成绩组成'!$F$10,(ROW(E30)-5)/7,MOD((ROW(E30)-5),7))</f>
        <v>0</v>
      </c>
      <c r="F30" s="19">
        <f ca="1">OFFSET('1课程考核方式及成绩组成'!$N$10,(ROW(F30)-5)/7,MOD((ROW(F30)-5),7))</f>
        <v>0</v>
      </c>
      <c r="G30" s="19">
        <f ca="1">OFFSET('1课程考核方式及成绩组成'!$V$10,(ROW(G30)-5)/7,MOD((ROW(G30)-5),7))</f>
        <v>0</v>
      </c>
      <c r="H30" s="19">
        <f ca="1">OFFSET('1课程考核方式及成绩组成'!$AD$10,(ROW(H30)-5)/7,MOD((ROW(H30)-5),7))</f>
        <v>0</v>
      </c>
      <c r="I30" s="19">
        <f ca="1">OFFSET('1课程考核方式及成绩组成'!$AL$10,(ROW(I30)-5)/7,MOD((ROW(I30)-5),7))</f>
        <v>0</v>
      </c>
      <c r="J30" s="25">
        <f ca="1">IF('0信息维护'!$I$109=0,0,E30/('0信息维护'!$I$109)*'0信息维护'!$E$39*'0信息维护'!$S$29)+IF('0信息维护'!$I$110=0,0,F30/('0信息维护'!$I$110)*'0信息维护'!$E$39*'0信息维护'!$T$29)+IF('0信息维护'!$I$111=0,0,G30/('0信息维护'!$I$111)*'0信息维护'!$E$39*'0信息维护'!$U$29)+IF('0信息维护'!$I$112=0,0,H30/('0信息维护'!$I$112)*'0信息维护'!$E$39*'0信息维护'!$V$29)+IF('0信息维护'!$I$113=0,0,I30/'0信息维护'!$I$113*'0信息维护'!$I$39)</f>
        <v>0</v>
      </c>
      <c r="K30" s="27"/>
    </row>
    <row r="31" spans="1:11">
      <c r="A31" s="20"/>
      <c r="B31" s="20"/>
      <c r="C31" s="20"/>
      <c r="D31" s="18" t="str">
        <f>'0信息维护'!A$30</f>
        <v>课程目标6</v>
      </c>
      <c r="E31" s="19">
        <f ca="1">OFFSET('1课程考核方式及成绩组成'!$F$10,(ROW(E31)-5)/7,MOD((ROW(E31)-5),7))</f>
        <v>0</v>
      </c>
      <c r="F31" s="19">
        <f ca="1">OFFSET('1课程考核方式及成绩组成'!$N$10,(ROW(F31)-5)/7,MOD((ROW(F31)-5),7))</f>
        <v>0</v>
      </c>
      <c r="G31" s="19">
        <f ca="1">OFFSET('1课程考核方式及成绩组成'!$V$10,(ROW(G31)-5)/7,MOD((ROW(G31)-5),7))</f>
        <v>0</v>
      </c>
      <c r="H31" s="19">
        <f ca="1">OFFSET('1课程考核方式及成绩组成'!$AD$10,(ROW(H31)-5)/7,MOD((ROW(H31)-5),7))</f>
        <v>0</v>
      </c>
      <c r="I31" s="19">
        <f ca="1">OFFSET('1课程考核方式及成绩组成'!$AL$10,(ROW(I31)-5)/7,MOD((ROW(I31)-5),7))</f>
        <v>0</v>
      </c>
      <c r="J31" s="25">
        <f ca="1">IF('0信息维护'!$I$115=0,0,E31/('0信息维护'!$I$115)*'0信息维护'!$E$40*'0信息维护'!$S$30)+IF('0信息维护'!$I$116=0,0,F31/('0信息维护'!$I$116)*'0信息维护'!$E$40*'0信息维护'!$T$30)+IF('0信息维护'!$I$117=0,0,G31/('0信息维护'!$I$117)*'0信息维护'!$E$40*'0信息维护'!$U$30)+IF('0信息维护'!$I$118=0,0,H31/('0信息维护'!$I$118)*'0信息维护'!$E$40*'0信息维护'!$V$30)+IF('0信息维护'!$I$119=0,0,I31/'0信息维护'!$I$119*'0信息维护'!$I$40)</f>
        <v>0</v>
      </c>
      <c r="K31" s="27"/>
    </row>
    <row r="32" spans="1:11">
      <c r="A32" s="21"/>
      <c r="B32" s="21"/>
      <c r="C32" s="21"/>
      <c r="D32" s="18" t="str">
        <f>'0信息维护'!A$31</f>
        <v>课程目标7</v>
      </c>
      <c r="E32" s="19">
        <f ca="1">OFFSET('1课程考核方式及成绩组成'!$F$10,(ROW(E32)-5)/7,MOD((ROW(E32)-5),7))</f>
        <v>0</v>
      </c>
      <c r="F32" s="19">
        <f ca="1">OFFSET('1课程考核方式及成绩组成'!$N$10,(ROW(F32)-5)/7,MOD((ROW(F32)-5),7))</f>
        <v>0</v>
      </c>
      <c r="G32" s="19">
        <f ca="1">OFFSET('1课程考核方式及成绩组成'!$V$10,(ROW(G32)-5)/7,MOD((ROW(G32)-5),7))</f>
        <v>0</v>
      </c>
      <c r="H32" s="19">
        <f ca="1">OFFSET('1课程考核方式及成绩组成'!$AD$10,(ROW(H32)-5)/7,MOD((ROW(H32)-5),7))</f>
        <v>0</v>
      </c>
      <c r="I32" s="19">
        <f ca="1">OFFSET('1课程考核方式及成绩组成'!$AL$10,(ROW(I32)-5)/7,MOD((ROW(I32)-5),7))</f>
        <v>0</v>
      </c>
      <c r="J32" s="25">
        <f ca="1">IF('0信息维护'!$I$121=0,0,E32/('0信息维护'!$I$121)*'0信息维护'!$E$41*'0信息维护'!$S$31)+IF('0信息维护'!$I$122=0,0,F32/('0信息维护'!$I$122)*'0信息维护'!$E$41*'0信息维护'!$T$31)+IF('0信息维护'!$I$123=0,0,G32/('0信息维护'!$I$123)*'0信息维护'!$E$41*'0信息维护'!$U$31)+IF('0信息维护'!$I$124=0,0,H32/('0信息维护'!$I$124)*'0信息维护'!$E$41*'0信息维护'!$T$31)+IF('0信息维护'!$I$125=0,0,I32/'0信息维护'!$I$125*'0信息维护'!$I$41)</f>
        <v>0</v>
      </c>
      <c r="K32" s="30"/>
    </row>
    <row r="33" spans="1:11">
      <c r="A33" s="17">
        <v>5</v>
      </c>
      <c r="B33" s="17" t="str">
        <f ca="1">OFFSET('1课程考核方式及成绩组成'!$D$10,(ROW(B33)-5)/7,)</f>
        <v>190301001</v>
      </c>
      <c r="C33" s="17" t="str">
        <f ca="1">OFFSET('1课程考核方式及成绩组成'!$E$10,(ROW(C33)-5)/7,)</f>
        <v>温佳洛</v>
      </c>
      <c r="D33" s="18" t="str">
        <f>'0信息维护'!A$25</f>
        <v>课程目标1</v>
      </c>
      <c r="E33" s="19">
        <f ca="1">OFFSET('1课程考核方式及成绩组成'!$F$10,(ROW(E33)-5)/7,MOD((ROW(E33)-5),7))</f>
        <v>35</v>
      </c>
      <c r="F33" s="19">
        <f ca="1">OFFSET('1课程考核方式及成绩组成'!$N$10,(ROW(F33)-5)/7,MOD((ROW(F33)-5),7))</f>
        <v>0</v>
      </c>
      <c r="G33" s="19">
        <f ca="1">OFFSET('1课程考核方式及成绩组成'!$V$10,(ROW(G33)-5)/7,MOD((ROW(G33)-5),7))</f>
        <v>0</v>
      </c>
      <c r="H33" s="19">
        <f ca="1">OFFSET('1课程考核方式及成绩组成'!$AD$10,(ROW(H33)-5)/7,MOD((ROW(H33)-5),7))</f>
        <v>0</v>
      </c>
      <c r="I33" s="19">
        <f ca="1">OFFSET('1课程考核方式及成绩组成'!$AL$10,(ROW(I33)-5)/7,MOD((ROW(I33)-5),7))</f>
        <v>22</v>
      </c>
      <c r="J33" s="25">
        <f ca="1">IF('0信息维护'!$I$85=0,0,E33/('0信息维护'!$I$85)*'0信息维护'!$E$35*'0信息维护'!$S$25)+IF('0信息维护'!$I$86=0,0,F33/('0信息维护'!$I$86)*'0信息维护'!$E$35*'0信息维护'!$T$25)+IF('0信息维护'!$I$87=0,0,G33/('0信息维护'!$I$87)*'0信息维护'!$E$35*'0信息维护'!$U$25)+IF('0信息维护'!$I$88=0,0,H33/('0信息维护'!$I$88)*'0信息维护'!$E$35*'0信息维护'!$V$25)+IF('0信息维护'!$I$89=0,0,I33/'0信息维护'!$I$89*'0信息维护'!$I$35)</f>
        <v>0.743055555555556</v>
      </c>
      <c r="K33" s="26">
        <f ca="1">J33*'0信息维护'!$D$132+J34*'0信息维护'!$D$133+J35*'0信息维护'!$D$134+J36*'0信息维护'!$D$135+J37*'0信息维护'!$D$136+J38*'0信息维护'!$D$137+J39*'0信息维护'!$D$138</f>
        <v>0.639958333333333</v>
      </c>
    </row>
    <row r="34" spans="1:14">
      <c r="A34" s="20"/>
      <c r="B34" s="20"/>
      <c r="C34" s="20"/>
      <c r="D34" s="18" t="str">
        <f>'0信息维护'!A$26</f>
        <v>课程目标2</v>
      </c>
      <c r="E34" s="19">
        <f ca="1">OFFSET('1课程考核方式及成绩组成'!$F$10,(ROW(E34)-5)/7,MOD((ROW(E34)-5),7))</f>
        <v>55</v>
      </c>
      <c r="F34" s="19">
        <f ca="1">OFFSET('1课程考核方式及成绩组成'!$N$10,(ROW(F34)-5)/7,MOD((ROW(F34)-5),7))</f>
        <v>0</v>
      </c>
      <c r="G34" s="19">
        <f ca="1">OFFSET('1课程考核方式及成绩组成'!$V$10,(ROW(G34)-5)/7,MOD((ROW(G34)-5),7))</f>
        <v>0</v>
      </c>
      <c r="H34" s="19">
        <f ca="1">OFFSET('1课程考核方式及成绩组成'!$AD$10,(ROW(H34)-5)/7,MOD((ROW(H34)-5),7))</f>
        <v>0</v>
      </c>
      <c r="I34" s="19">
        <f ca="1">OFFSET('1课程考核方式及成绩组成'!$AL$10,(ROW(I34)-5)/7,MOD((ROW(I34)-5),7))</f>
        <v>7</v>
      </c>
      <c r="J34" s="25">
        <f ca="1">IF('0信息维护'!$I$91=0,0,E34/('0信息维护'!$I$91)*'0信息维护'!$S$26*'0信息维护'!$E$36)+IF('0信息维护'!$I$92=0,0,F34/('0信息维护'!$I$92)*'0信息维护'!$T$26*'0信息维护'!$E$36)+IF('0信息维护'!$I$93=0,0,G34/('0信息维护'!$I$93)*'0信息维护'!$U$26*'0信息维护'!$E$36)+IF('0信息维护'!$I$94=0,0,H34/('0信息维护'!$I$94)*'0信息维护'!$V$26*'0信息维护'!$E$36)+IF('0信息维护'!$I$95=0,0,I34/'0信息维护'!$I$95*'0信息维护'!$I$36)</f>
        <v>0.575</v>
      </c>
      <c r="K34" s="27"/>
      <c r="M34" s="28"/>
      <c r="N34" s="29"/>
    </row>
    <row r="35" spans="1:11">
      <c r="A35" s="20"/>
      <c r="B35" s="20"/>
      <c r="C35" s="20"/>
      <c r="D35" s="18" t="str">
        <f>'0信息维护'!A$27</f>
        <v>课程目标3</v>
      </c>
      <c r="E35" s="19">
        <f ca="1">OFFSET('1课程考核方式及成绩组成'!$F$10,(ROW(E35)-5)/7,MOD((ROW(E35)-5),7))</f>
        <v>0</v>
      </c>
      <c r="F35" s="19">
        <f ca="1">OFFSET('1课程考核方式及成绩组成'!$N$10,(ROW(F35)-5)/7,MOD((ROW(F35)-5),7))</f>
        <v>0</v>
      </c>
      <c r="G35" s="19">
        <f ca="1">OFFSET('1课程考核方式及成绩组成'!$V$10,(ROW(G35)-5)/7,MOD((ROW(G35)-5),7))</f>
        <v>0</v>
      </c>
      <c r="H35" s="19">
        <f ca="1">OFFSET('1课程考核方式及成绩组成'!$AD$10,(ROW(H35)-5)/7,MOD((ROW(H35)-5),7))</f>
        <v>0</v>
      </c>
      <c r="I35" s="19">
        <f ca="1">OFFSET('1课程考核方式及成绩组成'!$AL$10,(ROW(I35)-5)/7,MOD((ROW(I35)-5),7))</f>
        <v>17</v>
      </c>
      <c r="J35" s="25">
        <f ca="1">IF('0信息维护'!$I$97=0,0,E35/('0信息维护'!$I$97)*'0信息维护'!$E$37*'0信息维护'!$S$27)+IF('0信息维护'!$I$98=0,0,F35/('0信息维护'!$I$98)*'0信息维护'!$E$37*'0信息维护'!$T$27)+IF('0信息维护'!$I$99=0,0,G35/('0信息维护'!$I$99)*'0信息维护'!$E$37*'0信息维护'!$U$27)+IF('0信息维护'!$I$100=0,0,H35/('0信息维护'!$I$100)*'0信息维护'!$E$37*'0信息维护'!$V$27)+IF('0信息维护'!$I$101=0,0,I35/'0信息维护'!$I$101*'0信息维护'!$I$37)</f>
        <v>0.5</v>
      </c>
      <c r="K35" s="27"/>
    </row>
    <row r="36" spans="1:11">
      <c r="A36" s="20"/>
      <c r="B36" s="20"/>
      <c r="C36" s="20"/>
      <c r="D36" s="18" t="str">
        <f>'0信息维护'!A$28</f>
        <v>课程目标4</v>
      </c>
      <c r="E36" s="19">
        <f ca="1">OFFSET('1课程考核方式及成绩组成'!$F$10,(ROW(E36)-5)/7,MOD((ROW(E36)-5),7))</f>
        <v>0</v>
      </c>
      <c r="F36" s="19">
        <f ca="1">OFFSET('1课程考核方式及成绩组成'!$N$10,(ROW(F36)-5)/7,MOD((ROW(F36)-5),7))</f>
        <v>77</v>
      </c>
      <c r="G36" s="19">
        <f ca="1">OFFSET('1课程考核方式及成绩组成'!$V$10,(ROW(G36)-5)/7,MOD((ROW(G36)-5),7))</f>
        <v>0</v>
      </c>
      <c r="H36" s="19">
        <f ca="1">OFFSET('1课程考核方式及成绩组成'!$AD$10,(ROW(H36)-5)/7,MOD((ROW(H36)-5),7))</f>
        <v>0</v>
      </c>
      <c r="I36" s="19">
        <f ca="1">OFFSET('1课程考核方式及成绩组成'!$AL$10,(ROW(I36)-5)/7,MOD((ROW(I36)-5),7))</f>
        <v>0</v>
      </c>
      <c r="J36" s="25">
        <f ca="1">IF('0信息维护'!$I$103=0,0,E36/('0信息维护'!$I$103)*'0信息维护'!$E$38*'0信息维护'!$S$28)+IF('0信息维护'!$I$104=0,0,F36/('0信息维护'!$I$104)*'0信息维护'!$E$38*'0信息维护'!$T$28)+IF('0信息维护'!$I$105=0,0,G36/('0信息维护'!$I$105)*'0信息维护'!$E$38*'0信息维护'!$U$28)+IF('0信息维护'!$I$106=0,0,H36/('0信息维护'!$I$106)*'0信息维护'!$E$38*'0信息维护'!$V$28)+IF('0信息维护'!$I$107=0,0,I36/'0信息维护'!$I$107*'0信息维护'!$I$38)</f>
        <v>0.77</v>
      </c>
      <c r="K36" s="27"/>
    </row>
    <row r="37" spans="1:11">
      <c r="A37" s="20"/>
      <c r="B37" s="20"/>
      <c r="C37" s="20"/>
      <c r="D37" s="18" t="str">
        <f>'0信息维护'!A$29</f>
        <v>课程目标5</v>
      </c>
      <c r="E37" s="19">
        <f ca="1">OFFSET('1课程考核方式及成绩组成'!$F$10,(ROW(E37)-5)/7,MOD((ROW(E37)-5),7))</f>
        <v>0</v>
      </c>
      <c r="F37" s="19">
        <f ca="1">OFFSET('1课程考核方式及成绩组成'!$N$10,(ROW(F37)-5)/7,MOD((ROW(F37)-5),7))</f>
        <v>0</v>
      </c>
      <c r="G37" s="19">
        <f ca="1">OFFSET('1课程考核方式及成绩组成'!$V$10,(ROW(G37)-5)/7,MOD((ROW(G37)-5),7))</f>
        <v>0</v>
      </c>
      <c r="H37" s="19">
        <f ca="1">OFFSET('1课程考核方式及成绩组成'!$AD$10,(ROW(H37)-5)/7,MOD((ROW(H37)-5),7))</f>
        <v>0</v>
      </c>
      <c r="I37" s="19">
        <f ca="1">OFFSET('1课程考核方式及成绩组成'!$AL$10,(ROW(I37)-5)/7,MOD((ROW(I37)-5),7))</f>
        <v>0</v>
      </c>
      <c r="J37" s="25">
        <f ca="1">IF('0信息维护'!$I$109=0,0,E37/('0信息维护'!$I$109)*'0信息维护'!$E$39*'0信息维护'!$S$29)+IF('0信息维护'!$I$110=0,0,F37/('0信息维护'!$I$110)*'0信息维护'!$E$39*'0信息维护'!$T$29)+IF('0信息维护'!$I$111=0,0,G37/('0信息维护'!$I$111)*'0信息维护'!$E$39*'0信息维护'!$U$29)+IF('0信息维护'!$I$112=0,0,H37/('0信息维护'!$I$112)*'0信息维护'!$E$39*'0信息维护'!$V$29)+IF('0信息维护'!$I$113=0,0,I37/'0信息维护'!$I$113*'0信息维护'!$I$39)</f>
        <v>0</v>
      </c>
      <c r="K37" s="27"/>
    </row>
    <row r="38" spans="1:11">
      <c r="A38" s="20"/>
      <c r="B38" s="20"/>
      <c r="C38" s="20"/>
      <c r="D38" s="18" t="str">
        <f>'0信息维护'!A$30</f>
        <v>课程目标6</v>
      </c>
      <c r="E38" s="19">
        <f ca="1">OFFSET('1课程考核方式及成绩组成'!$F$10,(ROW(E38)-5)/7,MOD((ROW(E38)-5),7))</f>
        <v>0</v>
      </c>
      <c r="F38" s="19">
        <f ca="1">OFFSET('1课程考核方式及成绩组成'!$N$10,(ROW(F38)-5)/7,MOD((ROW(F38)-5),7))</f>
        <v>0</v>
      </c>
      <c r="G38" s="19">
        <f ca="1">OFFSET('1课程考核方式及成绩组成'!$V$10,(ROW(G38)-5)/7,MOD((ROW(G38)-5),7))</f>
        <v>0</v>
      </c>
      <c r="H38" s="19">
        <f ca="1">OFFSET('1课程考核方式及成绩组成'!$AD$10,(ROW(H38)-5)/7,MOD((ROW(H38)-5),7))</f>
        <v>0</v>
      </c>
      <c r="I38" s="19">
        <f ca="1">OFFSET('1课程考核方式及成绩组成'!$AL$10,(ROW(I38)-5)/7,MOD((ROW(I38)-5),7))</f>
        <v>0</v>
      </c>
      <c r="J38" s="25">
        <f ca="1">IF('0信息维护'!$I$115=0,0,E38/('0信息维护'!$I$115)*'0信息维护'!$E$40*'0信息维护'!$S$30)+IF('0信息维护'!$I$116=0,0,F38/('0信息维护'!$I$116)*'0信息维护'!$E$40*'0信息维护'!$T$30)+IF('0信息维护'!$I$117=0,0,G38/('0信息维护'!$I$117)*'0信息维护'!$E$40*'0信息维护'!$U$30)+IF('0信息维护'!$I$118=0,0,H38/('0信息维护'!$I$118)*'0信息维护'!$E$40*'0信息维护'!$V$30)+IF('0信息维护'!$I$119=0,0,I38/'0信息维护'!$I$119*'0信息维护'!$I$40)</f>
        <v>0</v>
      </c>
      <c r="K38" s="27"/>
    </row>
    <row r="39" spans="1:11">
      <c r="A39" s="21"/>
      <c r="B39" s="21"/>
      <c r="C39" s="21"/>
      <c r="D39" s="18" t="str">
        <f>'0信息维护'!A$31</f>
        <v>课程目标7</v>
      </c>
      <c r="E39" s="19">
        <f ca="1">OFFSET('1课程考核方式及成绩组成'!$F$10,(ROW(E39)-5)/7,MOD((ROW(E39)-5),7))</f>
        <v>0</v>
      </c>
      <c r="F39" s="19">
        <f ca="1">OFFSET('1课程考核方式及成绩组成'!$N$10,(ROW(F39)-5)/7,MOD((ROW(F39)-5),7))</f>
        <v>0</v>
      </c>
      <c r="G39" s="19">
        <f ca="1">OFFSET('1课程考核方式及成绩组成'!$V$10,(ROW(G39)-5)/7,MOD((ROW(G39)-5),7))</f>
        <v>0</v>
      </c>
      <c r="H39" s="19">
        <f ca="1">OFFSET('1课程考核方式及成绩组成'!$AD$10,(ROW(H39)-5)/7,MOD((ROW(H39)-5),7))</f>
        <v>0</v>
      </c>
      <c r="I39" s="19">
        <f ca="1">OFFSET('1课程考核方式及成绩组成'!$AL$10,(ROW(I39)-5)/7,MOD((ROW(I39)-5),7))</f>
        <v>0</v>
      </c>
      <c r="J39" s="25">
        <f ca="1">IF('0信息维护'!$I$121=0,0,E39/('0信息维护'!$I$121)*'0信息维护'!$E$41*'0信息维护'!$S$31)+IF('0信息维护'!$I$122=0,0,F39/('0信息维护'!$I$122)*'0信息维护'!$E$41*'0信息维护'!$T$31)+IF('0信息维护'!$I$123=0,0,G39/('0信息维护'!$I$123)*'0信息维护'!$E$41*'0信息维护'!$U$31)+IF('0信息维护'!$I$124=0,0,H39/('0信息维护'!$I$124)*'0信息维护'!$E$41*'0信息维护'!$T$31)+IF('0信息维护'!$I$125=0,0,I39/'0信息维护'!$I$125*'0信息维护'!$I$41)</f>
        <v>0</v>
      </c>
      <c r="K39" s="30"/>
    </row>
    <row r="40" spans="1:11">
      <c r="A40" s="17">
        <v>6</v>
      </c>
      <c r="B40" s="17" t="str">
        <f ca="1">OFFSET('1课程考核方式及成绩组成'!$D$10,(ROW(B40)-5)/7,)</f>
        <v>190301002</v>
      </c>
      <c r="C40" s="17" t="str">
        <f ca="1">OFFSET('1课程考核方式及成绩组成'!$E$10,(ROW(C40)-5)/7,)</f>
        <v>周涛</v>
      </c>
      <c r="D40" s="18" t="str">
        <f>'0信息维护'!A$25</f>
        <v>课程目标1</v>
      </c>
      <c r="E40" s="19">
        <f ca="1">OFFSET('1课程考核方式及成绩组成'!$F$10,(ROW(E40)-5)/7,MOD((ROW(E40)-5),7))</f>
        <v>40</v>
      </c>
      <c r="F40" s="19">
        <f ca="1">OFFSET('1课程考核方式及成绩组成'!$N$10,(ROW(F40)-5)/7,MOD((ROW(F40)-5),7))</f>
        <v>0</v>
      </c>
      <c r="G40" s="19">
        <f ca="1">OFFSET('1课程考核方式及成绩组成'!$V$10,(ROW(G40)-5)/7,MOD((ROW(G40)-5),7))</f>
        <v>0</v>
      </c>
      <c r="H40" s="19">
        <f ca="1">OFFSET('1课程考核方式及成绩组成'!$AD$10,(ROW(H40)-5)/7,MOD((ROW(H40)-5),7))</f>
        <v>0</v>
      </c>
      <c r="I40" s="19">
        <f ca="1">OFFSET('1课程考核方式及成绩组成'!$AL$10,(ROW(I40)-5)/7,MOD((ROW(I40)-5),7))</f>
        <v>32</v>
      </c>
      <c r="J40" s="25">
        <f ca="1">IF('0信息维护'!$I$85=0,0,E40/('0信息维护'!$I$85)*'0信息维护'!$E$35*'0信息维护'!$S$25)+IF('0信息维护'!$I$86=0,0,F40/('0信息维护'!$I$86)*'0信息维护'!$E$35*'0信息维护'!$T$25)+IF('0信息维护'!$I$87=0,0,G40/('0信息维护'!$I$87)*'0信息维护'!$E$35*'0信息维护'!$U$25)+IF('0信息维护'!$I$88=0,0,H40/('0信息维护'!$I$88)*'0信息维护'!$E$35*'0信息维护'!$V$25)+IF('0信息维护'!$I$89=0,0,I40/'0信息维护'!$I$89*'0信息维护'!$I$35)</f>
        <v>0.944444444444444</v>
      </c>
      <c r="K40" s="26">
        <f ca="1">J40*'0信息维护'!$D$132+J41*'0信息维护'!$D$133+J42*'0信息维护'!$D$134+J43*'0信息维护'!$D$135+J44*'0信息维护'!$D$136+J45*'0信息维护'!$D$137+J46*'0信息维护'!$D$138</f>
        <v>0.886490196078431</v>
      </c>
    </row>
    <row r="41" spans="1:14">
      <c r="A41" s="20"/>
      <c r="B41" s="20"/>
      <c r="C41" s="20"/>
      <c r="D41" s="18" t="str">
        <f>'0信息维护'!A$26</f>
        <v>课程目标2</v>
      </c>
      <c r="E41" s="19">
        <f ca="1">OFFSET('1课程考核方式及成绩组成'!$F$10,(ROW(E41)-5)/7,MOD((ROW(E41)-5),7))</f>
        <v>60</v>
      </c>
      <c r="F41" s="19">
        <f ca="1">OFFSET('1课程考核方式及成绩组成'!$N$10,(ROW(F41)-5)/7,MOD((ROW(F41)-5),7))</f>
        <v>0</v>
      </c>
      <c r="G41" s="19">
        <f ca="1">OFFSET('1课程考核方式及成绩组成'!$V$10,(ROW(G41)-5)/7,MOD((ROW(G41)-5),7))</f>
        <v>0</v>
      </c>
      <c r="H41" s="19">
        <f ca="1">OFFSET('1课程考核方式及成绩组成'!$AD$10,(ROW(H41)-5)/7,MOD((ROW(H41)-5),7))</f>
        <v>0</v>
      </c>
      <c r="I41" s="19">
        <f ca="1">OFFSET('1课程考核方式及成绩组成'!$AL$10,(ROW(I41)-5)/7,MOD((ROW(I41)-5),7))</f>
        <v>30</v>
      </c>
      <c r="J41" s="25">
        <f ca="1">IF('0信息维护'!$I$91=0,0,E41/('0信息维护'!$I$91)*'0信息维护'!$S$26*'0信息维护'!$E$36)+IF('0信息维护'!$I$92=0,0,F41/('0信息维护'!$I$92)*'0信息维护'!$T$26*'0信息维护'!$E$36)+IF('0信息维护'!$I$93=0,0,G41/('0信息维护'!$I$93)*'0信息维护'!$U$26*'0信息维护'!$E$36)+IF('0信息维护'!$I$94=0,0,H41/('0信息维护'!$I$94)*'0信息维护'!$V$26*'0信息维护'!$E$36)+IF('0信息维护'!$I$95=0,0,I41/'0信息维护'!$I$95*'0信息维护'!$I$36)</f>
        <v>1</v>
      </c>
      <c r="K41" s="27"/>
      <c r="M41" s="28"/>
      <c r="N41" s="29"/>
    </row>
    <row r="42" spans="1:11">
      <c r="A42" s="20"/>
      <c r="B42" s="20"/>
      <c r="C42" s="20"/>
      <c r="D42" s="18" t="str">
        <f>'0信息维护'!A$27</f>
        <v>课程目标3</v>
      </c>
      <c r="E42" s="19">
        <f ca="1">OFFSET('1课程考核方式及成绩组成'!$F$10,(ROW(E42)-5)/7,MOD((ROW(E42)-5),7))</f>
        <v>0</v>
      </c>
      <c r="F42" s="19">
        <f ca="1">OFFSET('1课程考核方式及成绩组成'!$N$10,(ROW(F42)-5)/7,MOD((ROW(F42)-5),7))</f>
        <v>0</v>
      </c>
      <c r="G42" s="19">
        <f ca="1">OFFSET('1课程考核方式及成绩组成'!$V$10,(ROW(G42)-5)/7,MOD((ROW(G42)-5),7))</f>
        <v>0</v>
      </c>
      <c r="H42" s="19">
        <f ca="1">OFFSET('1课程考核方式及成绩组成'!$AD$10,(ROW(H42)-5)/7,MOD((ROW(H42)-5),7))</f>
        <v>0</v>
      </c>
      <c r="I42" s="19">
        <f ca="1">OFFSET('1课程考核方式及成绩组成'!$AL$10,(ROW(I42)-5)/7,MOD((ROW(I42)-5),7))</f>
        <v>25</v>
      </c>
      <c r="J42" s="25">
        <f ca="1">IF('0信息维护'!$I$97=0,0,E42/('0信息维护'!$I$97)*'0信息维护'!$E$37*'0信息维护'!$S$27)+IF('0信息维护'!$I$98=0,0,F42/('0信息维护'!$I$98)*'0信息维护'!$E$37*'0信息维护'!$T$27)+IF('0信息维护'!$I$99=0,0,G42/('0信息维护'!$I$99)*'0信息维护'!$E$37*'0信息维护'!$U$27)+IF('0信息维护'!$I$100=0,0,H42/('0信息维护'!$I$100)*'0信息维护'!$E$37*'0信息维护'!$V$27)+IF('0信息维护'!$I$101=0,0,I42/'0信息维护'!$I$101*'0信息维护'!$I$37)</f>
        <v>0.735294117647059</v>
      </c>
      <c r="K42" s="27"/>
    </row>
    <row r="43" spans="1:11">
      <c r="A43" s="20"/>
      <c r="B43" s="20"/>
      <c r="C43" s="20"/>
      <c r="D43" s="18" t="str">
        <f>'0信息维护'!A$28</f>
        <v>课程目标4</v>
      </c>
      <c r="E43" s="19">
        <f ca="1">OFFSET('1课程考核方式及成绩组成'!$F$10,(ROW(E43)-5)/7,MOD((ROW(E43)-5),7))</f>
        <v>0</v>
      </c>
      <c r="F43" s="19">
        <f ca="1">OFFSET('1课程考核方式及成绩组成'!$N$10,(ROW(F43)-5)/7,MOD((ROW(F43)-5),7))</f>
        <v>87</v>
      </c>
      <c r="G43" s="19">
        <f ca="1">OFFSET('1课程考核方式及成绩组成'!$V$10,(ROW(G43)-5)/7,MOD((ROW(G43)-5),7))</f>
        <v>0</v>
      </c>
      <c r="H43" s="19">
        <f ca="1">OFFSET('1课程考核方式及成绩组成'!$AD$10,(ROW(H43)-5)/7,MOD((ROW(H43)-5),7))</f>
        <v>0</v>
      </c>
      <c r="I43" s="19">
        <f ca="1">OFFSET('1课程考核方式及成绩组成'!$AL$10,(ROW(I43)-5)/7,MOD((ROW(I43)-5),7))</f>
        <v>0</v>
      </c>
      <c r="J43" s="25">
        <f ca="1">IF('0信息维护'!$I$103=0,0,E43/('0信息维护'!$I$103)*'0信息维护'!$E$38*'0信息维护'!$S$28)+IF('0信息维护'!$I$104=0,0,F43/('0信息维护'!$I$104)*'0信息维护'!$E$38*'0信息维护'!$T$28)+IF('0信息维护'!$I$105=0,0,G43/('0信息维护'!$I$105)*'0信息维护'!$E$38*'0信息维护'!$U$28)+IF('0信息维护'!$I$106=0,0,H43/('0信息维护'!$I$106)*'0信息维护'!$E$38*'0信息维护'!$V$28)+IF('0信息维护'!$I$107=0,0,I43/'0信息维护'!$I$107*'0信息维护'!$I$38)</f>
        <v>0.87</v>
      </c>
      <c r="K43" s="27"/>
    </row>
    <row r="44" spans="1:11">
      <c r="A44" s="20"/>
      <c r="B44" s="20"/>
      <c r="C44" s="20"/>
      <c r="D44" s="18" t="str">
        <f>'0信息维护'!A$29</f>
        <v>课程目标5</v>
      </c>
      <c r="E44" s="19">
        <f ca="1">OFFSET('1课程考核方式及成绩组成'!$F$10,(ROW(E44)-5)/7,MOD((ROW(E44)-5),7))</f>
        <v>0</v>
      </c>
      <c r="F44" s="19">
        <f ca="1">OFFSET('1课程考核方式及成绩组成'!$N$10,(ROW(F44)-5)/7,MOD((ROW(F44)-5),7))</f>
        <v>0</v>
      </c>
      <c r="G44" s="19">
        <f ca="1">OFFSET('1课程考核方式及成绩组成'!$V$10,(ROW(G44)-5)/7,MOD((ROW(G44)-5),7))</f>
        <v>0</v>
      </c>
      <c r="H44" s="19">
        <f ca="1">OFFSET('1课程考核方式及成绩组成'!$AD$10,(ROW(H44)-5)/7,MOD((ROW(H44)-5),7))</f>
        <v>0</v>
      </c>
      <c r="I44" s="19">
        <f ca="1">OFFSET('1课程考核方式及成绩组成'!$AL$10,(ROW(I44)-5)/7,MOD((ROW(I44)-5),7))</f>
        <v>0</v>
      </c>
      <c r="J44" s="25">
        <f ca="1">IF('0信息维护'!$I$109=0,0,E44/('0信息维护'!$I$109)*'0信息维护'!$E$39*'0信息维护'!$S$29)+IF('0信息维护'!$I$110=0,0,F44/('0信息维护'!$I$110)*'0信息维护'!$E$39*'0信息维护'!$T$29)+IF('0信息维护'!$I$111=0,0,G44/('0信息维护'!$I$111)*'0信息维护'!$E$39*'0信息维护'!$U$29)+IF('0信息维护'!$I$112=0,0,H44/('0信息维护'!$I$112)*'0信息维护'!$E$39*'0信息维护'!$V$29)+IF('0信息维护'!$I$113=0,0,I44/'0信息维护'!$I$113*'0信息维护'!$I$39)</f>
        <v>0</v>
      </c>
      <c r="K44" s="27"/>
    </row>
    <row r="45" spans="1:11">
      <c r="A45" s="20"/>
      <c r="B45" s="20"/>
      <c r="C45" s="20"/>
      <c r="D45" s="18" t="str">
        <f>'0信息维护'!A$30</f>
        <v>课程目标6</v>
      </c>
      <c r="E45" s="19">
        <f ca="1">OFFSET('1课程考核方式及成绩组成'!$F$10,(ROW(E45)-5)/7,MOD((ROW(E45)-5),7))</f>
        <v>0</v>
      </c>
      <c r="F45" s="19">
        <f ca="1">OFFSET('1课程考核方式及成绩组成'!$N$10,(ROW(F45)-5)/7,MOD((ROW(F45)-5),7))</f>
        <v>0</v>
      </c>
      <c r="G45" s="19">
        <f ca="1">OFFSET('1课程考核方式及成绩组成'!$V$10,(ROW(G45)-5)/7,MOD((ROW(G45)-5),7))</f>
        <v>0</v>
      </c>
      <c r="H45" s="19">
        <f ca="1">OFFSET('1课程考核方式及成绩组成'!$AD$10,(ROW(H45)-5)/7,MOD((ROW(H45)-5),7))</f>
        <v>0</v>
      </c>
      <c r="I45" s="19">
        <f ca="1">OFFSET('1课程考核方式及成绩组成'!$AL$10,(ROW(I45)-5)/7,MOD((ROW(I45)-5),7))</f>
        <v>0</v>
      </c>
      <c r="J45" s="25">
        <f ca="1">IF('0信息维护'!$I$115=0,0,E45/('0信息维护'!$I$115)*'0信息维护'!$E$40*'0信息维护'!$S$30)+IF('0信息维护'!$I$116=0,0,F45/('0信息维护'!$I$116)*'0信息维护'!$E$40*'0信息维护'!$T$30)+IF('0信息维护'!$I$117=0,0,G45/('0信息维护'!$I$117)*'0信息维护'!$E$40*'0信息维护'!$U$30)+IF('0信息维护'!$I$118=0,0,H45/('0信息维护'!$I$118)*'0信息维护'!$E$40*'0信息维护'!$V$30)+IF('0信息维护'!$I$119=0,0,I45/'0信息维护'!$I$119*'0信息维护'!$I$40)</f>
        <v>0</v>
      </c>
      <c r="K45" s="27"/>
    </row>
    <row r="46" spans="1:11">
      <c r="A46" s="21"/>
      <c r="B46" s="21"/>
      <c r="C46" s="21"/>
      <c r="D46" s="18" t="str">
        <f>'0信息维护'!A$31</f>
        <v>课程目标7</v>
      </c>
      <c r="E46" s="19">
        <f ca="1">OFFSET('1课程考核方式及成绩组成'!$F$10,(ROW(E46)-5)/7,MOD((ROW(E46)-5),7))</f>
        <v>0</v>
      </c>
      <c r="F46" s="19">
        <f ca="1">OFFSET('1课程考核方式及成绩组成'!$N$10,(ROW(F46)-5)/7,MOD((ROW(F46)-5),7))</f>
        <v>0</v>
      </c>
      <c r="G46" s="19">
        <f ca="1">OFFSET('1课程考核方式及成绩组成'!$V$10,(ROW(G46)-5)/7,MOD((ROW(G46)-5),7))</f>
        <v>0</v>
      </c>
      <c r="H46" s="19">
        <f ca="1">OFFSET('1课程考核方式及成绩组成'!$AD$10,(ROW(H46)-5)/7,MOD((ROW(H46)-5),7))</f>
        <v>0</v>
      </c>
      <c r="I46" s="19">
        <f ca="1">OFFSET('1课程考核方式及成绩组成'!$AL$10,(ROW(I46)-5)/7,MOD((ROW(I46)-5),7))</f>
        <v>0</v>
      </c>
      <c r="J46" s="25">
        <f ca="1">IF('0信息维护'!$I$121=0,0,E46/('0信息维护'!$I$121)*'0信息维护'!$E$41*'0信息维护'!$S$31)+IF('0信息维护'!$I$122=0,0,F46/('0信息维护'!$I$122)*'0信息维护'!$E$41*'0信息维护'!$T$31)+IF('0信息维护'!$I$123=0,0,G46/('0信息维护'!$I$123)*'0信息维护'!$E$41*'0信息维护'!$U$31)+IF('0信息维护'!$I$124=0,0,H46/('0信息维护'!$I$124)*'0信息维护'!$E$41*'0信息维护'!$T$31)+IF('0信息维护'!$I$125=0,0,I46/'0信息维护'!$I$125*'0信息维护'!$I$41)</f>
        <v>0</v>
      </c>
      <c r="K46" s="30"/>
    </row>
    <row r="47" spans="1:11">
      <c r="A47" s="17">
        <v>7</v>
      </c>
      <c r="B47" s="17" t="str">
        <f ca="1">OFFSET('1课程考核方式及成绩组成'!$D$10,(ROW(B47)-5)/7,)</f>
        <v>190301003</v>
      </c>
      <c r="C47" s="17" t="str">
        <f ca="1">OFFSET('1课程考核方式及成绩组成'!$E$10,(ROW(C47)-5)/7,)</f>
        <v>何中尉</v>
      </c>
      <c r="D47" s="18" t="str">
        <f>'0信息维护'!A$25</f>
        <v>课程目标1</v>
      </c>
      <c r="E47" s="19">
        <f ca="1">OFFSET('1课程考核方式及成绩组成'!$F$10,(ROW(E47)-5)/7,MOD((ROW(E47)-5),7))</f>
        <v>40</v>
      </c>
      <c r="F47" s="19">
        <f ca="1">OFFSET('1课程考核方式及成绩组成'!$N$10,(ROW(F47)-5)/7,MOD((ROW(F47)-5),7))</f>
        <v>0</v>
      </c>
      <c r="G47" s="19">
        <f ca="1">OFFSET('1课程考核方式及成绩组成'!$V$10,(ROW(G47)-5)/7,MOD((ROW(G47)-5),7))</f>
        <v>0</v>
      </c>
      <c r="H47" s="19">
        <f ca="1">OFFSET('1课程考核方式及成绩组成'!$AD$10,(ROW(H47)-5)/7,MOD((ROW(H47)-5),7))</f>
        <v>0</v>
      </c>
      <c r="I47" s="19">
        <f ca="1">OFFSET('1课程考核方式及成绩组成'!$AL$10,(ROW(I47)-5)/7,MOD((ROW(I47)-5),7))</f>
        <v>28</v>
      </c>
      <c r="J47" s="25">
        <f ca="1">IF('0信息维护'!$I$85=0,0,E47/('0信息维护'!$I$85)*'0信息维护'!$E$35*'0信息维护'!$S$25)+IF('0信息维护'!$I$86=0,0,F47/('0信息维护'!$I$86)*'0信息维护'!$E$35*'0信息维护'!$T$25)+IF('0信息维护'!$I$87=0,0,G47/('0信息维护'!$I$87)*'0信息维护'!$E$35*'0信息维护'!$U$25)+IF('0信息维护'!$I$88=0,0,H47/('0信息维护'!$I$88)*'0信息维护'!$E$35*'0信息维护'!$V$25)+IF('0信息维护'!$I$89=0,0,I47/'0信息维护'!$I$89*'0信息维护'!$I$35)</f>
        <v>0.888888888888889</v>
      </c>
      <c r="K47" s="26">
        <f ca="1">J47*'0信息维护'!$D$132+J48*'0信息维护'!$D$133+J49*'0信息维护'!$D$134+J50*'0信息维护'!$D$135+J51*'0信息维护'!$D$136+J52*'0信息维护'!$D$137+J53*'0信息维护'!$D$138</f>
        <v>0.775392156862745</v>
      </c>
    </row>
    <row r="48" spans="1:14">
      <c r="A48" s="20"/>
      <c r="B48" s="20"/>
      <c r="C48" s="20"/>
      <c r="D48" s="18" t="str">
        <f>'0信息维护'!A$26</f>
        <v>课程目标2</v>
      </c>
      <c r="E48" s="19">
        <f ca="1">OFFSET('1课程考核方式及成绩组成'!$F$10,(ROW(E48)-5)/7,MOD((ROW(E48)-5),7))</f>
        <v>60</v>
      </c>
      <c r="F48" s="19">
        <f ca="1">OFFSET('1课程考核方式及成绩组成'!$N$10,(ROW(F48)-5)/7,MOD((ROW(F48)-5),7))</f>
        <v>0</v>
      </c>
      <c r="G48" s="19">
        <f ca="1">OFFSET('1课程考核方式及成绩组成'!$V$10,(ROW(G48)-5)/7,MOD((ROW(G48)-5),7))</f>
        <v>0</v>
      </c>
      <c r="H48" s="19">
        <f ca="1">OFFSET('1课程考核方式及成绩组成'!$AD$10,(ROW(H48)-5)/7,MOD((ROW(H48)-5),7))</f>
        <v>0</v>
      </c>
      <c r="I48" s="19">
        <f ca="1">OFFSET('1课程考核方式及成绩组成'!$AL$10,(ROW(I48)-5)/7,MOD((ROW(I48)-5),7))</f>
        <v>18</v>
      </c>
      <c r="J48" s="25">
        <f ca="1">IF('0信息维护'!$I$91=0,0,E48/('0信息维护'!$I$91)*'0信息维护'!$S$26*'0信息维护'!$E$36)+IF('0信息维护'!$I$92=0,0,F48/('0信息维护'!$I$92)*'0信息维护'!$T$26*'0信息维护'!$E$36)+IF('0信息维护'!$I$93=0,0,G48/('0信息维护'!$I$93)*'0信息维护'!$U$26*'0信息维护'!$E$36)+IF('0信息维护'!$I$94=0,0,H48/('0信息维护'!$I$94)*'0信息维护'!$V$26*'0信息维护'!$E$36)+IF('0信息维护'!$I$95=0,0,I48/'0信息维护'!$I$95*'0信息维护'!$I$36)</f>
        <v>0.8</v>
      </c>
      <c r="K48" s="27"/>
      <c r="M48" s="28"/>
      <c r="N48" s="29"/>
    </row>
    <row r="49" spans="1:11">
      <c r="A49" s="20"/>
      <c r="B49" s="20"/>
      <c r="C49" s="20"/>
      <c r="D49" s="18" t="str">
        <f>'0信息维护'!A$27</f>
        <v>课程目标3</v>
      </c>
      <c r="E49" s="19">
        <f ca="1">OFFSET('1课程考核方式及成绩组成'!$F$10,(ROW(E49)-5)/7,MOD((ROW(E49)-5),7))</f>
        <v>0</v>
      </c>
      <c r="F49" s="19">
        <f ca="1">OFFSET('1课程考核方式及成绩组成'!$N$10,(ROW(F49)-5)/7,MOD((ROW(F49)-5),7))</f>
        <v>0</v>
      </c>
      <c r="G49" s="19">
        <f ca="1">OFFSET('1课程考核方式及成绩组成'!$V$10,(ROW(G49)-5)/7,MOD((ROW(G49)-5),7))</f>
        <v>0</v>
      </c>
      <c r="H49" s="19">
        <f ca="1">OFFSET('1课程考核方式及成绩组成'!$AD$10,(ROW(H49)-5)/7,MOD((ROW(H49)-5),7))</f>
        <v>0</v>
      </c>
      <c r="I49" s="19">
        <f ca="1">OFFSET('1课程考核方式及成绩组成'!$AL$10,(ROW(I49)-5)/7,MOD((ROW(I49)-5),7))</f>
        <v>20</v>
      </c>
      <c r="J49" s="25">
        <f ca="1">IF('0信息维护'!$I$97=0,0,E49/('0信息维护'!$I$97)*'0信息维护'!$E$37*'0信息维护'!$S$27)+IF('0信息维护'!$I$98=0,0,F49/('0信息维护'!$I$98)*'0信息维护'!$E$37*'0信息维护'!$T$27)+IF('0信息维护'!$I$99=0,0,G49/('0信息维护'!$I$99)*'0信息维护'!$E$37*'0信息维护'!$U$27)+IF('0信息维护'!$I$100=0,0,H49/('0信息维护'!$I$100)*'0信息维护'!$E$37*'0信息维护'!$V$27)+IF('0信息维护'!$I$101=0,0,I49/'0信息维护'!$I$101*'0信息维护'!$I$37)</f>
        <v>0.588235294117647</v>
      </c>
      <c r="K49" s="27"/>
    </row>
    <row r="50" spans="1:11">
      <c r="A50" s="20"/>
      <c r="B50" s="20"/>
      <c r="C50" s="20"/>
      <c r="D50" s="18" t="str">
        <f>'0信息维护'!A$28</f>
        <v>课程目标4</v>
      </c>
      <c r="E50" s="19">
        <f ca="1">OFFSET('1课程考核方式及成绩组成'!$F$10,(ROW(E50)-5)/7,MOD((ROW(E50)-5),7))</f>
        <v>0</v>
      </c>
      <c r="F50" s="19">
        <f ca="1">OFFSET('1课程考核方式及成绩组成'!$N$10,(ROW(F50)-5)/7,MOD((ROW(F50)-5),7))</f>
        <v>85</v>
      </c>
      <c r="G50" s="19">
        <f ca="1">OFFSET('1课程考核方式及成绩组成'!$V$10,(ROW(G50)-5)/7,MOD((ROW(G50)-5),7))</f>
        <v>0</v>
      </c>
      <c r="H50" s="19">
        <f ca="1">OFFSET('1课程考核方式及成绩组成'!$AD$10,(ROW(H50)-5)/7,MOD((ROW(H50)-5),7))</f>
        <v>0</v>
      </c>
      <c r="I50" s="19">
        <f ca="1">OFFSET('1课程考核方式及成绩组成'!$AL$10,(ROW(I50)-5)/7,MOD((ROW(I50)-5),7))</f>
        <v>0</v>
      </c>
      <c r="J50" s="25">
        <f ca="1">IF('0信息维护'!$I$103=0,0,E50/('0信息维护'!$I$103)*'0信息维护'!$E$38*'0信息维护'!$S$28)+IF('0信息维护'!$I$104=0,0,F50/('0信息维护'!$I$104)*'0信息维护'!$E$38*'0信息维护'!$T$28)+IF('0信息维护'!$I$105=0,0,G50/('0信息维护'!$I$105)*'0信息维护'!$E$38*'0信息维护'!$U$28)+IF('0信息维护'!$I$106=0,0,H50/('0信息维护'!$I$106)*'0信息维护'!$E$38*'0信息维护'!$V$28)+IF('0信息维护'!$I$107=0,0,I50/'0信息维护'!$I$107*'0信息维护'!$I$38)</f>
        <v>0.85</v>
      </c>
      <c r="K50" s="27"/>
    </row>
    <row r="51" spans="1:11">
      <c r="A51" s="20"/>
      <c r="B51" s="20"/>
      <c r="C51" s="20"/>
      <c r="D51" s="18" t="str">
        <f>'0信息维护'!A$29</f>
        <v>课程目标5</v>
      </c>
      <c r="E51" s="19">
        <f ca="1">OFFSET('1课程考核方式及成绩组成'!$F$10,(ROW(E51)-5)/7,MOD((ROW(E51)-5),7))</f>
        <v>0</v>
      </c>
      <c r="F51" s="19">
        <f ca="1">OFFSET('1课程考核方式及成绩组成'!$N$10,(ROW(F51)-5)/7,MOD((ROW(F51)-5),7))</f>
        <v>0</v>
      </c>
      <c r="G51" s="19">
        <f ca="1">OFFSET('1课程考核方式及成绩组成'!$V$10,(ROW(G51)-5)/7,MOD((ROW(G51)-5),7))</f>
        <v>0</v>
      </c>
      <c r="H51" s="19">
        <f ca="1">OFFSET('1课程考核方式及成绩组成'!$AD$10,(ROW(H51)-5)/7,MOD((ROW(H51)-5),7))</f>
        <v>0</v>
      </c>
      <c r="I51" s="19">
        <f ca="1">OFFSET('1课程考核方式及成绩组成'!$AL$10,(ROW(I51)-5)/7,MOD((ROW(I51)-5),7))</f>
        <v>0</v>
      </c>
      <c r="J51" s="25">
        <f ca="1">IF('0信息维护'!$I$109=0,0,E51/('0信息维护'!$I$109)*'0信息维护'!$E$39*'0信息维护'!$S$29)+IF('0信息维护'!$I$110=0,0,F51/('0信息维护'!$I$110)*'0信息维护'!$E$39*'0信息维护'!$T$29)+IF('0信息维护'!$I$111=0,0,G51/('0信息维护'!$I$111)*'0信息维护'!$E$39*'0信息维护'!$U$29)+IF('0信息维护'!$I$112=0,0,H51/('0信息维护'!$I$112)*'0信息维护'!$E$39*'0信息维护'!$V$29)+IF('0信息维护'!$I$113=0,0,I51/'0信息维护'!$I$113*'0信息维护'!$I$39)</f>
        <v>0</v>
      </c>
      <c r="K51" s="27"/>
    </row>
    <row r="52" spans="1:11">
      <c r="A52" s="20"/>
      <c r="B52" s="20"/>
      <c r="C52" s="20"/>
      <c r="D52" s="18" t="str">
        <f>'0信息维护'!A$30</f>
        <v>课程目标6</v>
      </c>
      <c r="E52" s="19">
        <f ca="1">OFFSET('1课程考核方式及成绩组成'!$F$10,(ROW(E52)-5)/7,MOD((ROW(E52)-5),7))</f>
        <v>0</v>
      </c>
      <c r="F52" s="19">
        <f ca="1">OFFSET('1课程考核方式及成绩组成'!$N$10,(ROW(F52)-5)/7,MOD((ROW(F52)-5),7))</f>
        <v>0</v>
      </c>
      <c r="G52" s="19">
        <f ca="1">OFFSET('1课程考核方式及成绩组成'!$V$10,(ROW(G52)-5)/7,MOD((ROW(G52)-5),7))</f>
        <v>0</v>
      </c>
      <c r="H52" s="19">
        <f ca="1">OFFSET('1课程考核方式及成绩组成'!$AD$10,(ROW(H52)-5)/7,MOD((ROW(H52)-5),7))</f>
        <v>0</v>
      </c>
      <c r="I52" s="19">
        <f ca="1">OFFSET('1课程考核方式及成绩组成'!$AL$10,(ROW(I52)-5)/7,MOD((ROW(I52)-5),7))</f>
        <v>0</v>
      </c>
      <c r="J52" s="25">
        <f ca="1">IF('0信息维护'!$I$115=0,0,E52/('0信息维护'!$I$115)*'0信息维护'!$E$40*'0信息维护'!$S$30)+IF('0信息维护'!$I$116=0,0,F52/('0信息维护'!$I$116)*'0信息维护'!$E$40*'0信息维护'!$T$30)+IF('0信息维护'!$I$117=0,0,G52/('0信息维护'!$I$117)*'0信息维护'!$E$40*'0信息维护'!$U$30)+IF('0信息维护'!$I$118=0,0,H52/('0信息维护'!$I$118)*'0信息维护'!$E$40*'0信息维护'!$V$30)+IF('0信息维护'!$I$119=0,0,I52/'0信息维护'!$I$119*'0信息维护'!$I$40)</f>
        <v>0</v>
      </c>
      <c r="K52" s="27"/>
    </row>
    <row r="53" spans="1:11">
      <c r="A53" s="21"/>
      <c r="B53" s="21"/>
      <c r="C53" s="21"/>
      <c r="D53" s="18" t="str">
        <f>'0信息维护'!A$31</f>
        <v>课程目标7</v>
      </c>
      <c r="E53" s="19">
        <f ca="1">OFFSET('1课程考核方式及成绩组成'!$F$10,(ROW(E53)-5)/7,MOD((ROW(E53)-5),7))</f>
        <v>0</v>
      </c>
      <c r="F53" s="19">
        <f ca="1">OFFSET('1课程考核方式及成绩组成'!$N$10,(ROW(F53)-5)/7,MOD((ROW(F53)-5),7))</f>
        <v>0</v>
      </c>
      <c r="G53" s="19">
        <f ca="1">OFFSET('1课程考核方式及成绩组成'!$V$10,(ROW(G53)-5)/7,MOD((ROW(G53)-5),7))</f>
        <v>0</v>
      </c>
      <c r="H53" s="19">
        <f ca="1">OFFSET('1课程考核方式及成绩组成'!$AD$10,(ROW(H53)-5)/7,MOD((ROW(H53)-5),7))</f>
        <v>0</v>
      </c>
      <c r="I53" s="19">
        <f ca="1">OFFSET('1课程考核方式及成绩组成'!$AL$10,(ROW(I53)-5)/7,MOD((ROW(I53)-5),7))</f>
        <v>0</v>
      </c>
      <c r="J53" s="25">
        <f ca="1">IF('0信息维护'!$I$121=0,0,E53/('0信息维护'!$I$121)*'0信息维护'!$E$41*'0信息维护'!$S$31)+IF('0信息维护'!$I$122=0,0,F53/('0信息维护'!$I$122)*'0信息维护'!$E$41*'0信息维护'!$T$31)+IF('0信息维护'!$I$123=0,0,G53/('0信息维护'!$I$123)*'0信息维护'!$E$41*'0信息维护'!$U$31)+IF('0信息维护'!$I$124=0,0,H53/('0信息维护'!$I$124)*'0信息维护'!$E$41*'0信息维护'!$T$31)+IF('0信息维护'!$I$125=0,0,I53/'0信息维护'!$I$125*'0信息维护'!$I$41)</f>
        <v>0</v>
      </c>
      <c r="K53" s="30"/>
    </row>
    <row r="54" spans="1:11">
      <c r="A54" s="17">
        <v>8</v>
      </c>
      <c r="B54" s="17" t="str">
        <f ca="1">OFFSET('1课程考核方式及成绩组成'!$D$10,(ROW(B54)-5)/7,)</f>
        <v>190301004</v>
      </c>
      <c r="C54" s="17" t="str">
        <f ca="1">OFFSET('1课程考核方式及成绩组成'!$E$10,(ROW(C54)-5)/7,)</f>
        <v>王华鹏</v>
      </c>
      <c r="D54" s="18" t="str">
        <f>'0信息维护'!A$25</f>
        <v>课程目标1</v>
      </c>
      <c r="E54" s="19">
        <f ca="1">OFFSET('1课程考核方式及成绩组成'!$F$10,(ROW(E54)-5)/7,MOD((ROW(E54)-5),7))</f>
        <v>0</v>
      </c>
      <c r="F54" s="19">
        <f ca="1">OFFSET('1课程考核方式及成绩组成'!$N$10,(ROW(F54)-5)/7,MOD((ROW(F54)-5),7))</f>
        <v>0</v>
      </c>
      <c r="G54" s="19">
        <f ca="1">OFFSET('1课程考核方式及成绩组成'!$V$10,(ROW(G54)-5)/7,MOD((ROW(G54)-5),7))</f>
        <v>0</v>
      </c>
      <c r="H54" s="19">
        <f ca="1">OFFSET('1课程考核方式及成绩组成'!$AD$10,(ROW(H54)-5)/7,MOD((ROW(H54)-5),7))</f>
        <v>0</v>
      </c>
      <c r="I54" s="19">
        <f ca="1">OFFSET('1课程考核方式及成绩组成'!$AL$10,(ROW(I54)-5)/7,MOD((ROW(I54)-5),7))</f>
        <v>18</v>
      </c>
      <c r="J54" s="25">
        <f ca="1">IF('0信息维护'!$I$85=0,0,E54/('0信息维护'!$I$85)*'0信息维护'!$E$35*'0信息维护'!$S$25)+IF('0信息维护'!$I$86=0,0,F54/('0信息维护'!$I$86)*'0信息维护'!$E$35*'0信息维护'!$T$25)+IF('0信息维护'!$I$87=0,0,G54/('0信息维护'!$I$87)*'0信息维护'!$E$35*'0信息维护'!$U$25)+IF('0信息维护'!$I$88=0,0,H54/('0信息维护'!$I$88)*'0信息维护'!$E$35*'0信息维护'!$V$25)+IF('0信息维护'!$I$89=0,0,I54/'0信息维护'!$I$89*'0信息维护'!$I$35)</f>
        <v>0.25</v>
      </c>
      <c r="K54" s="26">
        <f ca="1">J54*'0信息维护'!$D$132+J55*'0信息维护'!$D$133+J56*'0信息维护'!$D$134+J57*'0信息维护'!$D$135+J58*'0信息维护'!$D$136+J59*'0信息维护'!$D$137+J60*'0信息维护'!$D$138</f>
        <v>0.166323529411765</v>
      </c>
    </row>
    <row r="55" spans="1:14">
      <c r="A55" s="20"/>
      <c r="B55" s="20"/>
      <c r="C55" s="20"/>
      <c r="D55" s="18" t="str">
        <f>'0信息维护'!A$26</f>
        <v>课程目标2</v>
      </c>
      <c r="E55" s="19">
        <f ca="1">OFFSET('1课程考核方式及成绩组成'!$F$10,(ROW(E55)-5)/7,MOD((ROW(E55)-5),7))</f>
        <v>0</v>
      </c>
      <c r="F55" s="19">
        <f ca="1">OFFSET('1课程考核方式及成绩组成'!$N$10,(ROW(F55)-5)/7,MOD((ROW(F55)-5),7))</f>
        <v>0</v>
      </c>
      <c r="G55" s="19">
        <f ca="1">OFFSET('1课程考核方式及成绩组成'!$V$10,(ROW(G55)-5)/7,MOD((ROW(G55)-5),7))</f>
        <v>0</v>
      </c>
      <c r="H55" s="19">
        <f ca="1">OFFSET('1课程考核方式及成绩组成'!$AD$10,(ROW(H55)-5)/7,MOD((ROW(H55)-5),7))</f>
        <v>0</v>
      </c>
      <c r="I55" s="19">
        <f ca="1">OFFSET('1课程考核方式及成绩组成'!$AL$10,(ROW(I55)-5)/7,MOD((ROW(I55)-5),7))</f>
        <v>14</v>
      </c>
      <c r="J55" s="25">
        <f ca="1">IF('0信息维护'!$I$91=0,0,E55/('0信息维护'!$I$91)*'0信息维护'!$S$26*'0信息维护'!$E$36)+IF('0信息维护'!$I$92=0,0,F55/('0信息维护'!$I$92)*'0信息维护'!$T$26*'0信息维护'!$E$36)+IF('0信息维护'!$I$93=0,0,G55/('0信息维护'!$I$93)*'0信息维护'!$U$26*'0信息维护'!$E$36)+IF('0信息维护'!$I$94=0,0,H55/('0信息维护'!$I$94)*'0信息维护'!$V$26*'0信息维护'!$E$36)+IF('0信息维护'!$I$95=0,0,I55/'0信息维护'!$I$95*'0信息维护'!$I$36)</f>
        <v>0.233333333333333</v>
      </c>
      <c r="K55" s="27"/>
      <c r="M55" s="28"/>
      <c r="N55" s="29"/>
    </row>
    <row r="56" spans="1:11">
      <c r="A56" s="20"/>
      <c r="B56" s="20"/>
      <c r="C56" s="20"/>
      <c r="D56" s="18" t="str">
        <f>'0信息维护'!A$27</f>
        <v>课程目标3</v>
      </c>
      <c r="E56" s="19">
        <f ca="1">OFFSET('1课程考核方式及成绩组成'!$F$10,(ROW(E56)-5)/7,MOD((ROW(E56)-5),7))</f>
        <v>0</v>
      </c>
      <c r="F56" s="19">
        <f ca="1">OFFSET('1课程考核方式及成绩组成'!$N$10,(ROW(F56)-5)/7,MOD((ROW(F56)-5),7))</f>
        <v>0</v>
      </c>
      <c r="G56" s="19">
        <f ca="1">OFFSET('1课程考核方式及成绩组成'!$V$10,(ROW(G56)-5)/7,MOD((ROW(G56)-5),7))</f>
        <v>0</v>
      </c>
      <c r="H56" s="19">
        <f ca="1">OFFSET('1课程考核方式及成绩组成'!$AD$10,(ROW(H56)-5)/7,MOD((ROW(H56)-5),7))</f>
        <v>0</v>
      </c>
      <c r="I56" s="19">
        <f ca="1">OFFSET('1课程考核方式及成绩组成'!$AL$10,(ROW(I56)-5)/7,MOD((ROW(I56)-5),7))</f>
        <v>8</v>
      </c>
      <c r="J56" s="25">
        <f ca="1">IF('0信息维护'!$I$97=0,0,E56/('0信息维护'!$I$97)*'0信息维护'!$E$37*'0信息维护'!$S$27)+IF('0信息维护'!$I$98=0,0,F56/('0信息维护'!$I$98)*'0信息维护'!$E$37*'0信息维护'!$T$27)+IF('0信息维护'!$I$99=0,0,G56/('0信息维护'!$I$99)*'0信息维护'!$E$37*'0信息维护'!$U$27)+IF('0信息维护'!$I$100=0,0,H56/('0信息维护'!$I$100)*'0信息维护'!$E$37*'0信息维护'!$V$27)+IF('0信息维护'!$I$101=0,0,I56/'0信息维护'!$I$101*'0信息维护'!$I$37)</f>
        <v>0.235294117647059</v>
      </c>
      <c r="K56" s="27"/>
    </row>
    <row r="57" spans="1:11">
      <c r="A57" s="20"/>
      <c r="B57" s="20"/>
      <c r="C57" s="20"/>
      <c r="D57" s="18" t="str">
        <f>'0信息维护'!A$28</f>
        <v>课程目标4</v>
      </c>
      <c r="E57" s="19">
        <f ca="1">OFFSET('1课程考核方式及成绩组成'!$F$10,(ROW(E57)-5)/7,MOD((ROW(E57)-5),7))</f>
        <v>0</v>
      </c>
      <c r="F57" s="19">
        <f ca="1">OFFSET('1课程考核方式及成绩组成'!$N$10,(ROW(F57)-5)/7,MOD((ROW(F57)-5),7))</f>
        <v>0</v>
      </c>
      <c r="G57" s="19">
        <f ca="1">OFFSET('1课程考核方式及成绩组成'!$V$10,(ROW(G57)-5)/7,MOD((ROW(G57)-5),7))</f>
        <v>0</v>
      </c>
      <c r="H57" s="19">
        <f ca="1">OFFSET('1课程考核方式及成绩组成'!$AD$10,(ROW(H57)-5)/7,MOD((ROW(H57)-5),7))</f>
        <v>0</v>
      </c>
      <c r="I57" s="19">
        <f ca="1">OFFSET('1课程考核方式及成绩组成'!$AL$10,(ROW(I57)-5)/7,MOD((ROW(I57)-5),7))</f>
        <v>0</v>
      </c>
      <c r="J57" s="25">
        <f ca="1">IF('0信息维护'!$I$103=0,0,E57/('0信息维护'!$I$103)*'0信息维护'!$E$38*'0信息维护'!$S$28)+IF('0信息维护'!$I$104=0,0,F57/('0信息维护'!$I$104)*'0信息维护'!$E$38*'0信息维护'!$T$28)+IF('0信息维护'!$I$105=0,0,G57/('0信息维护'!$I$105)*'0信息维护'!$E$38*'0信息维护'!$U$28)+IF('0信息维护'!$I$106=0,0,H57/('0信息维护'!$I$106)*'0信息维护'!$E$38*'0信息维护'!$V$28)+IF('0信息维护'!$I$107=0,0,I57/'0信息维护'!$I$107*'0信息维护'!$I$38)</f>
        <v>0</v>
      </c>
      <c r="K57" s="27"/>
    </row>
    <row r="58" spans="1:11">
      <c r="A58" s="20"/>
      <c r="B58" s="20"/>
      <c r="C58" s="20"/>
      <c r="D58" s="18" t="str">
        <f>'0信息维护'!A$29</f>
        <v>课程目标5</v>
      </c>
      <c r="E58" s="19">
        <f ca="1">OFFSET('1课程考核方式及成绩组成'!$F$10,(ROW(E58)-5)/7,MOD((ROW(E58)-5),7))</f>
        <v>0</v>
      </c>
      <c r="F58" s="19">
        <f ca="1">OFFSET('1课程考核方式及成绩组成'!$N$10,(ROW(F58)-5)/7,MOD((ROW(F58)-5),7))</f>
        <v>0</v>
      </c>
      <c r="G58" s="19">
        <f ca="1">OFFSET('1课程考核方式及成绩组成'!$V$10,(ROW(G58)-5)/7,MOD((ROW(G58)-5),7))</f>
        <v>0</v>
      </c>
      <c r="H58" s="19">
        <f ca="1">OFFSET('1课程考核方式及成绩组成'!$AD$10,(ROW(H58)-5)/7,MOD((ROW(H58)-5),7))</f>
        <v>0</v>
      </c>
      <c r="I58" s="19">
        <f ca="1">OFFSET('1课程考核方式及成绩组成'!$AL$10,(ROW(I58)-5)/7,MOD((ROW(I58)-5),7))</f>
        <v>0</v>
      </c>
      <c r="J58" s="25">
        <f ca="1">IF('0信息维护'!$I$109=0,0,E58/('0信息维护'!$I$109)*'0信息维护'!$E$39*'0信息维护'!$S$29)+IF('0信息维护'!$I$110=0,0,F58/('0信息维护'!$I$110)*'0信息维护'!$E$39*'0信息维护'!$T$29)+IF('0信息维护'!$I$111=0,0,G58/('0信息维护'!$I$111)*'0信息维护'!$E$39*'0信息维护'!$U$29)+IF('0信息维护'!$I$112=0,0,H58/('0信息维护'!$I$112)*'0信息维护'!$E$39*'0信息维护'!$V$29)+IF('0信息维护'!$I$113=0,0,I58/'0信息维护'!$I$113*'0信息维护'!$I$39)</f>
        <v>0</v>
      </c>
      <c r="K58" s="27"/>
    </row>
    <row r="59" spans="1:11">
      <c r="A59" s="20"/>
      <c r="B59" s="20"/>
      <c r="C59" s="20"/>
      <c r="D59" s="18" t="str">
        <f>'0信息维护'!A$30</f>
        <v>课程目标6</v>
      </c>
      <c r="E59" s="19">
        <f ca="1">OFFSET('1课程考核方式及成绩组成'!$F$10,(ROW(E59)-5)/7,MOD((ROW(E59)-5),7))</f>
        <v>0</v>
      </c>
      <c r="F59" s="19">
        <f ca="1">OFFSET('1课程考核方式及成绩组成'!$N$10,(ROW(F59)-5)/7,MOD((ROW(F59)-5),7))</f>
        <v>0</v>
      </c>
      <c r="G59" s="19">
        <f ca="1">OFFSET('1课程考核方式及成绩组成'!$V$10,(ROW(G59)-5)/7,MOD((ROW(G59)-5),7))</f>
        <v>0</v>
      </c>
      <c r="H59" s="19">
        <f ca="1">OFFSET('1课程考核方式及成绩组成'!$AD$10,(ROW(H59)-5)/7,MOD((ROW(H59)-5),7))</f>
        <v>0</v>
      </c>
      <c r="I59" s="19">
        <f ca="1">OFFSET('1课程考核方式及成绩组成'!$AL$10,(ROW(I59)-5)/7,MOD((ROW(I59)-5),7))</f>
        <v>0</v>
      </c>
      <c r="J59" s="25">
        <f ca="1">IF('0信息维护'!$I$115=0,0,E59/('0信息维护'!$I$115)*'0信息维护'!$E$40*'0信息维护'!$S$30)+IF('0信息维护'!$I$116=0,0,F59/('0信息维护'!$I$116)*'0信息维护'!$E$40*'0信息维护'!$T$30)+IF('0信息维护'!$I$117=0,0,G59/('0信息维护'!$I$117)*'0信息维护'!$E$40*'0信息维护'!$U$30)+IF('0信息维护'!$I$118=0,0,H59/('0信息维护'!$I$118)*'0信息维护'!$E$40*'0信息维护'!$V$30)+IF('0信息维护'!$I$119=0,0,I59/'0信息维护'!$I$119*'0信息维护'!$I$40)</f>
        <v>0</v>
      </c>
      <c r="K59" s="27"/>
    </row>
    <row r="60" spans="1:11">
      <c r="A60" s="21"/>
      <c r="B60" s="21"/>
      <c r="C60" s="21"/>
      <c r="D60" s="18" t="str">
        <f>'0信息维护'!A$31</f>
        <v>课程目标7</v>
      </c>
      <c r="E60" s="19">
        <f ca="1">OFFSET('1课程考核方式及成绩组成'!$F$10,(ROW(E60)-5)/7,MOD((ROW(E60)-5),7))</f>
        <v>0</v>
      </c>
      <c r="F60" s="19">
        <f ca="1">OFFSET('1课程考核方式及成绩组成'!$N$10,(ROW(F60)-5)/7,MOD((ROW(F60)-5),7))</f>
        <v>0</v>
      </c>
      <c r="G60" s="19">
        <f ca="1">OFFSET('1课程考核方式及成绩组成'!$V$10,(ROW(G60)-5)/7,MOD((ROW(G60)-5),7))</f>
        <v>0</v>
      </c>
      <c r="H60" s="19">
        <f ca="1">OFFSET('1课程考核方式及成绩组成'!$AD$10,(ROW(H60)-5)/7,MOD((ROW(H60)-5),7))</f>
        <v>0</v>
      </c>
      <c r="I60" s="19">
        <f ca="1">OFFSET('1课程考核方式及成绩组成'!$AL$10,(ROW(I60)-5)/7,MOD((ROW(I60)-5),7))</f>
        <v>0</v>
      </c>
      <c r="J60" s="25">
        <f ca="1">IF('0信息维护'!$I$121=0,0,E60/('0信息维护'!$I$121)*'0信息维护'!$E$41*'0信息维护'!$S$31)+IF('0信息维护'!$I$122=0,0,F60/('0信息维护'!$I$122)*'0信息维护'!$E$41*'0信息维护'!$T$31)+IF('0信息维护'!$I$123=0,0,G60/('0信息维护'!$I$123)*'0信息维护'!$E$41*'0信息维护'!$U$31)+IF('0信息维护'!$I$124=0,0,H60/('0信息维护'!$I$124)*'0信息维护'!$E$41*'0信息维护'!$T$31)+IF('0信息维护'!$I$125=0,0,I60/'0信息维护'!$I$125*'0信息维护'!$I$41)</f>
        <v>0</v>
      </c>
      <c r="K60" s="30"/>
    </row>
    <row r="61" spans="1:11">
      <c r="A61" s="17">
        <v>9</v>
      </c>
      <c r="B61" s="17" t="str">
        <f ca="1">OFFSET('1课程考核方式及成绩组成'!$D$10,(ROW(B61)-5)/7,)</f>
        <v>190301005</v>
      </c>
      <c r="C61" s="17" t="str">
        <f ca="1">OFFSET('1课程考核方式及成绩组成'!$E$10,(ROW(C61)-5)/7,)</f>
        <v>袁竹</v>
      </c>
      <c r="D61" s="18" t="str">
        <f>'0信息维护'!A$25</f>
        <v>课程目标1</v>
      </c>
      <c r="E61" s="19">
        <f ca="1">OFFSET('1课程考核方式及成绩组成'!$F$10,(ROW(E61)-5)/7,MOD((ROW(E61)-5),7))</f>
        <v>40</v>
      </c>
      <c r="F61" s="19">
        <f ca="1">OFFSET('1课程考核方式及成绩组成'!$N$10,(ROW(F61)-5)/7,MOD((ROW(F61)-5),7))</f>
        <v>0</v>
      </c>
      <c r="G61" s="19">
        <f ca="1">OFFSET('1课程考核方式及成绩组成'!$V$10,(ROW(G61)-5)/7,MOD((ROW(G61)-5),7))</f>
        <v>0</v>
      </c>
      <c r="H61" s="19">
        <f ca="1">OFFSET('1课程考核方式及成绩组成'!$AD$10,(ROW(H61)-5)/7,MOD((ROW(H61)-5),7))</f>
        <v>0</v>
      </c>
      <c r="I61" s="19">
        <f ca="1">OFFSET('1课程考核方式及成绩组成'!$AL$10,(ROW(I61)-5)/7,MOD((ROW(I61)-5),7))</f>
        <v>28</v>
      </c>
      <c r="J61" s="25">
        <f ca="1">IF('0信息维护'!$I$85=0,0,E61/('0信息维护'!$I$85)*'0信息维护'!$E$35*'0信息维护'!$S$25)+IF('0信息维护'!$I$86=0,0,F61/('0信息维护'!$I$86)*'0信息维护'!$E$35*'0信息维护'!$T$25)+IF('0信息维护'!$I$87=0,0,G61/('0信息维护'!$I$87)*'0信息维护'!$E$35*'0信息维护'!$U$25)+IF('0信息维护'!$I$88=0,0,H61/('0信息维护'!$I$88)*'0信息维护'!$E$35*'0信息维护'!$V$25)+IF('0信息维护'!$I$89=0,0,I61/'0信息维护'!$I$89*'0信息维护'!$I$35)</f>
        <v>0.888888888888889</v>
      </c>
      <c r="K61" s="26">
        <f ca="1">J61*'0信息维护'!$D$132+J62*'0信息维护'!$D$133+J63*'0信息维护'!$D$134+J64*'0信息维护'!$D$135+J65*'0信息维护'!$D$136+J66*'0信息维护'!$D$137+J67*'0信息维护'!$D$138</f>
        <v>0.778039215686274</v>
      </c>
    </row>
    <row r="62" spans="1:14">
      <c r="A62" s="20"/>
      <c r="B62" s="20"/>
      <c r="C62" s="20"/>
      <c r="D62" s="18" t="str">
        <f>'0信息维护'!A$26</f>
        <v>课程目标2</v>
      </c>
      <c r="E62" s="19">
        <f ca="1">OFFSET('1课程考核方式及成绩组成'!$F$10,(ROW(E62)-5)/7,MOD((ROW(E62)-5),7))</f>
        <v>60</v>
      </c>
      <c r="F62" s="19">
        <f ca="1">OFFSET('1课程考核方式及成绩组成'!$N$10,(ROW(F62)-5)/7,MOD((ROW(F62)-5),7))</f>
        <v>0</v>
      </c>
      <c r="G62" s="19">
        <f ca="1">OFFSET('1课程考核方式及成绩组成'!$V$10,(ROW(G62)-5)/7,MOD((ROW(G62)-5),7))</f>
        <v>0</v>
      </c>
      <c r="H62" s="19">
        <f ca="1">OFFSET('1课程考核方式及成绩组成'!$AD$10,(ROW(H62)-5)/7,MOD((ROW(H62)-5),7))</f>
        <v>0</v>
      </c>
      <c r="I62" s="19">
        <f ca="1">OFFSET('1课程考核方式及成绩组成'!$AL$10,(ROW(I62)-5)/7,MOD((ROW(I62)-5),7))</f>
        <v>20</v>
      </c>
      <c r="J62" s="25">
        <f ca="1">IF('0信息维护'!$I$91=0,0,E62/('0信息维护'!$I$91)*'0信息维护'!$S$26*'0信息维护'!$E$36)+IF('0信息维护'!$I$92=0,0,F62/('0信息维护'!$I$92)*'0信息维护'!$T$26*'0信息维护'!$E$36)+IF('0信息维护'!$I$93=0,0,G62/('0信息维护'!$I$93)*'0信息维护'!$U$26*'0信息维护'!$E$36)+IF('0信息维护'!$I$94=0,0,H62/('0信息维护'!$I$94)*'0信息维护'!$V$26*'0信息维护'!$E$36)+IF('0信息维护'!$I$95=0,0,I62/'0信息维护'!$I$95*'0信息维护'!$I$36)</f>
        <v>0.833333333333333</v>
      </c>
      <c r="K62" s="27"/>
      <c r="M62" s="28"/>
      <c r="N62" s="29"/>
    </row>
    <row r="63" spans="1:11">
      <c r="A63" s="20"/>
      <c r="B63" s="20"/>
      <c r="C63" s="20"/>
      <c r="D63" s="18" t="str">
        <f>'0信息维护'!A$27</f>
        <v>课程目标3</v>
      </c>
      <c r="E63" s="19">
        <f ca="1">OFFSET('1课程考核方式及成绩组成'!$F$10,(ROW(E63)-5)/7,MOD((ROW(E63)-5),7))</f>
        <v>0</v>
      </c>
      <c r="F63" s="19">
        <f ca="1">OFFSET('1课程考核方式及成绩组成'!$N$10,(ROW(F63)-5)/7,MOD((ROW(F63)-5),7))</f>
        <v>0</v>
      </c>
      <c r="G63" s="19">
        <f ca="1">OFFSET('1课程考核方式及成绩组成'!$V$10,(ROW(G63)-5)/7,MOD((ROW(G63)-5),7))</f>
        <v>0</v>
      </c>
      <c r="H63" s="19">
        <f ca="1">OFFSET('1课程考核方式及成绩组成'!$AD$10,(ROW(H63)-5)/7,MOD((ROW(H63)-5),7))</f>
        <v>0</v>
      </c>
      <c r="I63" s="19">
        <f ca="1">OFFSET('1课程考核方式及成绩组成'!$AL$10,(ROW(I63)-5)/7,MOD((ROW(I63)-5),7))</f>
        <v>19</v>
      </c>
      <c r="J63" s="25">
        <f ca="1">IF('0信息维护'!$I$97=0,0,E63/('0信息维护'!$I$97)*'0信息维护'!$E$37*'0信息维护'!$S$27)+IF('0信息维护'!$I$98=0,0,F63/('0信息维护'!$I$98)*'0信息维护'!$E$37*'0信息维护'!$T$27)+IF('0信息维护'!$I$99=0,0,G63/('0信息维护'!$I$99)*'0信息维护'!$E$37*'0信息维护'!$U$27)+IF('0信息维护'!$I$100=0,0,H63/('0信息维护'!$I$100)*'0信息维护'!$E$37*'0信息维护'!$V$27)+IF('0信息维护'!$I$101=0,0,I63/'0信息维护'!$I$101*'0信息维护'!$I$37)</f>
        <v>0.558823529411765</v>
      </c>
      <c r="K63" s="27"/>
    </row>
    <row r="64" spans="1:11">
      <c r="A64" s="20"/>
      <c r="B64" s="20"/>
      <c r="C64" s="20"/>
      <c r="D64" s="18" t="str">
        <f>'0信息维护'!A$28</f>
        <v>课程目标4</v>
      </c>
      <c r="E64" s="19">
        <f ca="1">OFFSET('1课程考核方式及成绩组成'!$F$10,(ROW(E64)-5)/7,MOD((ROW(E64)-5),7))</f>
        <v>0</v>
      </c>
      <c r="F64" s="19">
        <f ca="1">OFFSET('1课程考核方式及成绩组成'!$N$10,(ROW(F64)-5)/7,MOD((ROW(F64)-5),7))</f>
        <v>85</v>
      </c>
      <c r="G64" s="19">
        <f ca="1">OFFSET('1课程考核方式及成绩组成'!$V$10,(ROW(G64)-5)/7,MOD((ROW(G64)-5),7))</f>
        <v>0</v>
      </c>
      <c r="H64" s="19">
        <f ca="1">OFFSET('1课程考核方式及成绩组成'!$AD$10,(ROW(H64)-5)/7,MOD((ROW(H64)-5),7))</f>
        <v>0</v>
      </c>
      <c r="I64" s="19">
        <f ca="1">OFFSET('1课程考核方式及成绩组成'!$AL$10,(ROW(I64)-5)/7,MOD((ROW(I64)-5),7))</f>
        <v>0</v>
      </c>
      <c r="J64" s="25">
        <f ca="1">IF('0信息维护'!$I$103=0,0,E64/('0信息维护'!$I$103)*'0信息维护'!$E$38*'0信息维护'!$S$28)+IF('0信息维护'!$I$104=0,0,F64/('0信息维护'!$I$104)*'0信息维护'!$E$38*'0信息维护'!$T$28)+IF('0信息维护'!$I$105=0,0,G64/('0信息维护'!$I$105)*'0信息维护'!$E$38*'0信息维护'!$U$28)+IF('0信息维护'!$I$106=0,0,H64/('0信息维护'!$I$106)*'0信息维护'!$E$38*'0信息维护'!$V$28)+IF('0信息维护'!$I$107=0,0,I64/'0信息维护'!$I$107*'0信息维护'!$I$38)</f>
        <v>0.85</v>
      </c>
      <c r="K64" s="27"/>
    </row>
    <row r="65" spans="1:11">
      <c r="A65" s="20"/>
      <c r="B65" s="20"/>
      <c r="C65" s="20"/>
      <c r="D65" s="18" t="str">
        <f>'0信息维护'!A$29</f>
        <v>课程目标5</v>
      </c>
      <c r="E65" s="19">
        <f ca="1">OFFSET('1课程考核方式及成绩组成'!$F$10,(ROW(E65)-5)/7,MOD((ROW(E65)-5),7))</f>
        <v>0</v>
      </c>
      <c r="F65" s="19">
        <f ca="1">OFFSET('1课程考核方式及成绩组成'!$N$10,(ROW(F65)-5)/7,MOD((ROW(F65)-5),7))</f>
        <v>0</v>
      </c>
      <c r="G65" s="19">
        <f ca="1">OFFSET('1课程考核方式及成绩组成'!$V$10,(ROW(G65)-5)/7,MOD((ROW(G65)-5),7))</f>
        <v>0</v>
      </c>
      <c r="H65" s="19">
        <f ca="1">OFFSET('1课程考核方式及成绩组成'!$AD$10,(ROW(H65)-5)/7,MOD((ROW(H65)-5),7))</f>
        <v>0</v>
      </c>
      <c r="I65" s="19">
        <f ca="1">OFFSET('1课程考核方式及成绩组成'!$AL$10,(ROW(I65)-5)/7,MOD((ROW(I65)-5),7))</f>
        <v>0</v>
      </c>
      <c r="J65" s="25">
        <f ca="1">IF('0信息维护'!$I$109=0,0,E65/('0信息维护'!$I$109)*'0信息维护'!$E$39*'0信息维护'!$S$29)+IF('0信息维护'!$I$110=0,0,F65/('0信息维护'!$I$110)*'0信息维护'!$E$39*'0信息维护'!$T$29)+IF('0信息维护'!$I$111=0,0,G65/('0信息维护'!$I$111)*'0信息维护'!$E$39*'0信息维护'!$U$29)+IF('0信息维护'!$I$112=0,0,H65/('0信息维护'!$I$112)*'0信息维护'!$E$39*'0信息维护'!$V$29)+IF('0信息维护'!$I$113=0,0,I65/'0信息维护'!$I$113*'0信息维护'!$I$39)</f>
        <v>0</v>
      </c>
      <c r="K65" s="27"/>
    </row>
    <row r="66" spans="1:11">
      <c r="A66" s="20"/>
      <c r="B66" s="20"/>
      <c r="C66" s="20"/>
      <c r="D66" s="18" t="str">
        <f>'0信息维护'!A$30</f>
        <v>课程目标6</v>
      </c>
      <c r="E66" s="19">
        <f ca="1">OFFSET('1课程考核方式及成绩组成'!$F$10,(ROW(E66)-5)/7,MOD((ROW(E66)-5),7))</f>
        <v>0</v>
      </c>
      <c r="F66" s="19">
        <f ca="1">OFFSET('1课程考核方式及成绩组成'!$N$10,(ROW(F66)-5)/7,MOD((ROW(F66)-5),7))</f>
        <v>0</v>
      </c>
      <c r="G66" s="19">
        <f ca="1">OFFSET('1课程考核方式及成绩组成'!$V$10,(ROW(G66)-5)/7,MOD((ROW(G66)-5),7))</f>
        <v>0</v>
      </c>
      <c r="H66" s="19">
        <f ca="1">OFFSET('1课程考核方式及成绩组成'!$AD$10,(ROW(H66)-5)/7,MOD((ROW(H66)-5),7))</f>
        <v>0</v>
      </c>
      <c r="I66" s="19">
        <f ca="1">OFFSET('1课程考核方式及成绩组成'!$AL$10,(ROW(I66)-5)/7,MOD((ROW(I66)-5),7))</f>
        <v>0</v>
      </c>
      <c r="J66" s="25">
        <f ca="1">IF('0信息维护'!$I$115=0,0,E66/('0信息维护'!$I$115)*'0信息维护'!$E$40*'0信息维护'!$S$30)+IF('0信息维护'!$I$116=0,0,F66/('0信息维护'!$I$116)*'0信息维护'!$E$40*'0信息维护'!$T$30)+IF('0信息维护'!$I$117=0,0,G66/('0信息维护'!$I$117)*'0信息维护'!$E$40*'0信息维护'!$U$30)+IF('0信息维护'!$I$118=0,0,H66/('0信息维护'!$I$118)*'0信息维护'!$E$40*'0信息维护'!$V$30)+IF('0信息维护'!$I$119=0,0,I66/'0信息维护'!$I$119*'0信息维护'!$I$40)</f>
        <v>0</v>
      </c>
      <c r="K66" s="27"/>
    </row>
    <row r="67" spans="1:11">
      <c r="A67" s="21"/>
      <c r="B67" s="21"/>
      <c r="C67" s="21"/>
      <c r="D67" s="18" t="str">
        <f>'0信息维护'!A$31</f>
        <v>课程目标7</v>
      </c>
      <c r="E67" s="19">
        <f ca="1">OFFSET('1课程考核方式及成绩组成'!$F$10,(ROW(E67)-5)/7,MOD((ROW(E67)-5),7))</f>
        <v>0</v>
      </c>
      <c r="F67" s="19">
        <f ca="1">OFFSET('1课程考核方式及成绩组成'!$N$10,(ROW(F67)-5)/7,MOD((ROW(F67)-5),7))</f>
        <v>0</v>
      </c>
      <c r="G67" s="19">
        <f ca="1">OFFSET('1课程考核方式及成绩组成'!$V$10,(ROW(G67)-5)/7,MOD((ROW(G67)-5),7))</f>
        <v>0</v>
      </c>
      <c r="H67" s="19">
        <f ca="1">OFFSET('1课程考核方式及成绩组成'!$AD$10,(ROW(H67)-5)/7,MOD((ROW(H67)-5),7))</f>
        <v>0</v>
      </c>
      <c r="I67" s="19">
        <f ca="1">OFFSET('1课程考核方式及成绩组成'!$AL$10,(ROW(I67)-5)/7,MOD((ROW(I67)-5),7))</f>
        <v>0</v>
      </c>
      <c r="J67" s="25">
        <f ca="1">IF('0信息维护'!$I$121=0,0,E67/('0信息维护'!$I$121)*'0信息维护'!$E$41*'0信息维护'!$S$31)+IF('0信息维护'!$I$122=0,0,F67/('0信息维护'!$I$122)*'0信息维护'!$E$41*'0信息维护'!$T$31)+IF('0信息维护'!$I$123=0,0,G67/('0信息维护'!$I$123)*'0信息维护'!$E$41*'0信息维护'!$U$31)+IF('0信息维护'!$I$124=0,0,H67/('0信息维护'!$I$124)*'0信息维护'!$E$41*'0信息维护'!$T$31)+IF('0信息维护'!$I$125=0,0,I67/'0信息维护'!$I$125*'0信息维护'!$I$41)</f>
        <v>0</v>
      </c>
      <c r="K67" s="30"/>
    </row>
    <row r="68" spans="1:11">
      <c r="A68" s="17">
        <v>10</v>
      </c>
      <c r="B68" s="17" t="str">
        <f ca="1">OFFSET('1课程考核方式及成绩组成'!$D$10,(ROW(B68)-5)/7,)</f>
        <v>190301006</v>
      </c>
      <c r="C68" s="17" t="str">
        <f ca="1">OFFSET('1课程考核方式及成绩组成'!$E$10,(ROW(C68)-5)/7,)</f>
        <v>苟晨雨</v>
      </c>
      <c r="D68" s="18" t="str">
        <f>'0信息维护'!A$25</f>
        <v>课程目标1</v>
      </c>
      <c r="E68" s="19">
        <f ca="1">OFFSET('1课程考核方式及成绩组成'!$F$10,(ROW(E68)-5)/7,MOD((ROW(E68)-5),7))</f>
        <v>35</v>
      </c>
      <c r="F68" s="19">
        <f ca="1">OFFSET('1课程考核方式及成绩组成'!$N$10,(ROW(F68)-5)/7,MOD((ROW(F68)-5),7))</f>
        <v>0</v>
      </c>
      <c r="G68" s="19">
        <f ca="1">OFFSET('1课程考核方式及成绩组成'!$V$10,(ROW(G68)-5)/7,MOD((ROW(G68)-5),7))</f>
        <v>0</v>
      </c>
      <c r="H68" s="19">
        <f ca="1">OFFSET('1课程考核方式及成绩组成'!$AD$10,(ROW(H68)-5)/7,MOD((ROW(H68)-5),7))</f>
        <v>0</v>
      </c>
      <c r="I68" s="19">
        <f ca="1">OFFSET('1课程考核方式及成绩组成'!$AL$10,(ROW(I68)-5)/7,MOD((ROW(I68)-5),7))</f>
        <v>30</v>
      </c>
      <c r="J68" s="25">
        <f ca="1">IF('0信息维护'!$I$85=0,0,E68/('0信息维护'!$I$85)*'0信息维护'!$E$35*'0信息维护'!$S$25)+IF('0信息维护'!$I$86=0,0,F68/('0信息维护'!$I$86)*'0信息维护'!$E$35*'0信息维护'!$T$25)+IF('0信息维护'!$I$87=0,0,G68/('0信息维护'!$I$87)*'0信息维护'!$E$35*'0信息维护'!$U$25)+IF('0信息维护'!$I$88=0,0,H68/('0信息维护'!$I$88)*'0信息维护'!$E$35*'0信息维护'!$V$25)+IF('0信息维护'!$I$89=0,0,I68/'0信息维护'!$I$89*'0信息维护'!$I$35)</f>
        <v>0.854166666666667</v>
      </c>
      <c r="K68" s="26">
        <f ca="1">J68*'0信息维护'!$D$132+J69*'0信息维护'!$D$133+J70*'0信息维护'!$D$134+J71*'0信息维护'!$D$135+J72*'0信息维护'!$D$136+J73*'0信息维护'!$D$137+J74*'0信息维护'!$D$138</f>
        <v>0.754330882352941</v>
      </c>
    </row>
    <row r="69" spans="1:14">
      <c r="A69" s="20"/>
      <c r="B69" s="20"/>
      <c r="C69" s="20"/>
      <c r="D69" s="18" t="str">
        <f>'0信息维护'!A$26</f>
        <v>课程目标2</v>
      </c>
      <c r="E69" s="19">
        <f ca="1">OFFSET('1课程考核方式及成绩组成'!$F$10,(ROW(E69)-5)/7,MOD((ROW(E69)-5),7))</f>
        <v>55</v>
      </c>
      <c r="F69" s="19">
        <f ca="1">OFFSET('1课程考核方式及成绩组成'!$N$10,(ROW(F69)-5)/7,MOD((ROW(F69)-5),7))</f>
        <v>0</v>
      </c>
      <c r="G69" s="19">
        <f ca="1">OFFSET('1课程考核方式及成绩组成'!$V$10,(ROW(G69)-5)/7,MOD((ROW(G69)-5),7))</f>
        <v>0</v>
      </c>
      <c r="H69" s="19">
        <f ca="1">OFFSET('1课程考核方式及成绩组成'!$AD$10,(ROW(H69)-5)/7,MOD((ROW(H69)-5),7))</f>
        <v>0</v>
      </c>
      <c r="I69" s="19">
        <f ca="1">OFFSET('1课程考核方式及成绩组成'!$AL$10,(ROW(I69)-5)/7,MOD((ROW(I69)-5),7))</f>
        <v>20</v>
      </c>
      <c r="J69" s="25">
        <f ca="1">IF('0信息维护'!$I$91=0,0,E69/('0信息维护'!$I$91)*'0信息维护'!$S$26*'0信息维护'!$E$36)+IF('0信息维护'!$I$92=0,0,F69/('0信息维护'!$I$92)*'0信息维护'!$T$26*'0信息维护'!$E$36)+IF('0信息维护'!$I$93=0,0,G69/('0信息维护'!$I$93)*'0信息维护'!$U$26*'0信息维护'!$E$36)+IF('0信息维护'!$I$94=0,0,H69/('0信息维护'!$I$94)*'0信息维护'!$V$26*'0信息维护'!$E$36)+IF('0信息维护'!$I$95=0,0,I69/'0信息维护'!$I$95*'0信息维护'!$I$36)</f>
        <v>0.791666666666667</v>
      </c>
      <c r="K69" s="27"/>
      <c r="M69" s="28"/>
      <c r="N69" s="29"/>
    </row>
    <row r="70" spans="1:11">
      <c r="A70" s="20"/>
      <c r="B70" s="20"/>
      <c r="C70" s="20"/>
      <c r="D70" s="18" t="str">
        <f>'0信息维护'!A$27</f>
        <v>课程目标3</v>
      </c>
      <c r="E70" s="19">
        <f ca="1">OFFSET('1课程考核方式及成绩组成'!$F$10,(ROW(E70)-5)/7,MOD((ROW(E70)-5),7))</f>
        <v>0</v>
      </c>
      <c r="F70" s="19">
        <f ca="1">OFFSET('1课程考核方式及成绩组成'!$N$10,(ROW(F70)-5)/7,MOD((ROW(F70)-5),7))</f>
        <v>0</v>
      </c>
      <c r="G70" s="19">
        <f ca="1">OFFSET('1课程考核方式及成绩组成'!$V$10,(ROW(G70)-5)/7,MOD((ROW(G70)-5),7))</f>
        <v>0</v>
      </c>
      <c r="H70" s="19">
        <f ca="1">OFFSET('1课程考核方式及成绩组成'!$AD$10,(ROW(H70)-5)/7,MOD((ROW(H70)-5),7))</f>
        <v>0</v>
      </c>
      <c r="I70" s="19">
        <f ca="1">OFFSET('1课程考核方式及成绩组成'!$AL$10,(ROW(I70)-5)/7,MOD((ROW(I70)-5),7))</f>
        <v>19</v>
      </c>
      <c r="J70" s="25">
        <f ca="1">IF('0信息维护'!$I$97=0,0,E70/('0信息维护'!$I$97)*'0信息维护'!$E$37*'0信息维护'!$S$27)+IF('0信息维护'!$I$98=0,0,F70/('0信息维护'!$I$98)*'0信息维护'!$E$37*'0信息维护'!$T$27)+IF('0信息维护'!$I$99=0,0,G70/('0信息维护'!$I$99)*'0信息维护'!$E$37*'0信息维护'!$U$27)+IF('0信息维护'!$I$100=0,0,H70/('0信息维护'!$I$100)*'0信息维护'!$E$37*'0信息维护'!$V$27)+IF('0信息维护'!$I$101=0,0,I70/'0信息维护'!$I$101*'0信息维护'!$I$37)</f>
        <v>0.558823529411765</v>
      </c>
      <c r="K70" s="27"/>
    </row>
    <row r="71" spans="1:11">
      <c r="A71" s="20"/>
      <c r="B71" s="20"/>
      <c r="C71" s="20"/>
      <c r="D71" s="18" t="str">
        <f>'0信息维护'!A$28</f>
        <v>课程目标4</v>
      </c>
      <c r="E71" s="19">
        <f ca="1">OFFSET('1课程考核方式及成绩组成'!$F$10,(ROW(E71)-5)/7,MOD((ROW(E71)-5),7))</f>
        <v>0</v>
      </c>
      <c r="F71" s="19">
        <f ca="1">OFFSET('1课程考核方式及成绩组成'!$N$10,(ROW(F71)-5)/7,MOD((ROW(F71)-5),7))</f>
        <v>83</v>
      </c>
      <c r="G71" s="19">
        <f ca="1">OFFSET('1课程考核方式及成绩组成'!$V$10,(ROW(G71)-5)/7,MOD((ROW(G71)-5),7))</f>
        <v>0</v>
      </c>
      <c r="H71" s="19">
        <f ca="1">OFFSET('1课程考核方式及成绩组成'!$AD$10,(ROW(H71)-5)/7,MOD((ROW(H71)-5),7))</f>
        <v>0</v>
      </c>
      <c r="I71" s="19">
        <f ca="1">OFFSET('1课程考核方式及成绩组成'!$AL$10,(ROW(I71)-5)/7,MOD((ROW(I71)-5),7))</f>
        <v>0</v>
      </c>
      <c r="J71" s="25">
        <f ca="1">IF('0信息维护'!$I$103=0,0,E71/('0信息维护'!$I$103)*'0信息维护'!$E$38*'0信息维护'!$S$28)+IF('0信息维护'!$I$104=0,0,F71/('0信息维护'!$I$104)*'0信息维护'!$E$38*'0信息维护'!$T$28)+IF('0信息维护'!$I$105=0,0,G71/('0信息维护'!$I$105)*'0信息维护'!$E$38*'0信息维护'!$U$28)+IF('0信息维护'!$I$106=0,0,H71/('0信息维护'!$I$106)*'0信息维护'!$E$38*'0信息维护'!$V$28)+IF('0信息维护'!$I$107=0,0,I71/'0信息维护'!$I$107*'0信息维护'!$I$38)</f>
        <v>0.83</v>
      </c>
      <c r="K71" s="27"/>
    </row>
    <row r="72" spans="1:11">
      <c r="A72" s="20"/>
      <c r="B72" s="20"/>
      <c r="C72" s="20"/>
      <c r="D72" s="18" t="str">
        <f>'0信息维护'!A$29</f>
        <v>课程目标5</v>
      </c>
      <c r="E72" s="19">
        <f ca="1">OFFSET('1课程考核方式及成绩组成'!$F$10,(ROW(E72)-5)/7,MOD((ROW(E72)-5),7))</f>
        <v>0</v>
      </c>
      <c r="F72" s="19">
        <f ca="1">OFFSET('1课程考核方式及成绩组成'!$N$10,(ROW(F72)-5)/7,MOD((ROW(F72)-5),7))</f>
        <v>0</v>
      </c>
      <c r="G72" s="19">
        <f ca="1">OFFSET('1课程考核方式及成绩组成'!$V$10,(ROW(G72)-5)/7,MOD((ROW(G72)-5),7))</f>
        <v>0</v>
      </c>
      <c r="H72" s="19">
        <f ca="1">OFFSET('1课程考核方式及成绩组成'!$AD$10,(ROW(H72)-5)/7,MOD((ROW(H72)-5),7))</f>
        <v>0</v>
      </c>
      <c r="I72" s="19">
        <f ca="1">OFFSET('1课程考核方式及成绩组成'!$AL$10,(ROW(I72)-5)/7,MOD((ROW(I72)-5),7))</f>
        <v>0</v>
      </c>
      <c r="J72" s="25">
        <f ca="1">IF('0信息维护'!$I$109=0,0,E72/('0信息维护'!$I$109)*'0信息维护'!$E$39*'0信息维护'!$S$29)+IF('0信息维护'!$I$110=0,0,F72/('0信息维护'!$I$110)*'0信息维护'!$E$39*'0信息维护'!$T$29)+IF('0信息维护'!$I$111=0,0,G72/('0信息维护'!$I$111)*'0信息维护'!$E$39*'0信息维护'!$U$29)+IF('0信息维护'!$I$112=0,0,H72/('0信息维护'!$I$112)*'0信息维护'!$E$39*'0信息维护'!$V$29)+IF('0信息维护'!$I$113=0,0,I72/'0信息维护'!$I$113*'0信息维护'!$I$39)</f>
        <v>0</v>
      </c>
      <c r="K72" s="27"/>
    </row>
    <row r="73" spans="1:11">
      <c r="A73" s="20"/>
      <c r="B73" s="20"/>
      <c r="C73" s="20"/>
      <c r="D73" s="18" t="str">
        <f>'0信息维护'!A$30</f>
        <v>课程目标6</v>
      </c>
      <c r="E73" s="19">
        <f ca="1">OFFSET('1课程考核方式及成绩组成'!$F$10,(ROW(E73)-5)/7,MOD((ROW(E73)-5),7))</f>
        <v>0</v>
      </c>
      <c r="F73" s="19">
        <f ca="1">OFFSET('1课程考核方式及成绩组成'!$N$10,(ROW(F73)-5)/7,MOD((ROW(F73)-5),7))</f>
        <v>0</v>
      </c>
      <c r="G73" s="19">
        <f ca="1">OFFSET('1课程考核方式及成绩组成'!$V$10,(ROW(G73)-5)/7,MOD((ROW(G73)-5),7))</f>
        <v>0</v>
      </c>
      <c r="H73" s="19">
        <f ca="1">OFFSET('1课程考核方式及成绩组成'!$AD$10,(ROW(H73)-5)/7,MOD((ROW(H73)-5),7))</f>
        <v>0</v>
      </c>
      <c r="I73" s="19">
        <f ca="1">OFFSET('1课程考核方式及成绩组成'!$AL$10,(ROW(I73)-5)/7,MOD((ROW(I73)-5),7))</f>
        <v>0</v>
      </c>
      <c r="J73" s="25">
        <f ca="1">IF('0信息维护'!$I$115=0,0,E73/('0信息维护'!$I$115)*'0信息维护'!$E$40*'0信息维护'!$S$30)+IF('0信息维护'!$I$116=0,0,F73/('0信息维护'!$I$116)*'0信息维护'!$E$40*'0信息维护'!$T$30)+IF('0信息维护'!$I$117=0,0,G73/('0信息维护'!$I$117)*'0信息维护'!$E$40*'0信息维护'!$U$30)+IF('0信息维护'!$I$118=0,0,H73/('0信息维护'!$I$118)*'0信息维护'!$E$40*'0信息维护'!$V$30)+IF('0信息维护'!$I$119=0,0,I73/'0信息维护'!$I$119*'0信息维护'!$I$40)</f>
        <v>0</v>
      </c>
      <c r="K73" s="27"/>
    </row>
    <row r="74" spans="1:11">
      <c r="A74" s="21"/>
      <c r="B74" s="21"/>
      <c r="C74" s="21"/>
      <c r="D74" s="18" t="str">
        <f>'0信息维护'!A$31</f>
        <v>课程目标7</v>
      </c>
      <c r="E74" s="19">
        <f ca="1">OFFSET('1课程考核方式及成绩组成'!$F$10,(ROW(E74)-5)/7,MOD((ROW(E74)-5),7))</f>
        <v>0</v>
      </c>
      <c r="F74" s="19">
        <f ca="1">OFFSET('1课程考核方式及成绩组成'!$N$10,(ROW(F74)-5)/7,MOD((ROW(F74)-5),7))</f>
        <v>0</v>
      </c>
      <c r="G74" s="19">
        <f ca="1">OFFSET('1课程考核方式及成绩组成'!$V$10,(ROW(G74)-5)/7,MOD((ROW(G74)-5),7))</f>
        <v>0</v>
      </c>
      <c r="H74" s="19">
        <f ca="1">OFFSET('1课程考核方式及成绩组成'!$AD$10,(ROW(H74)-5)/7,MOD((ROW(H74)-5),7))</f>
        <v>0</v>
      </c>
      <c r="I74" s="19">
        <f ca="1">OFFSET('1课程考核方式及成绩组成'!$AL$10,(ROW(I74)-5)/7,MOD((ROW(I74)-5),7))</f>
        <v>0</v>
      </c>
      <c r="J74" s="25">
        <f ca="1">IF('0信息维护'!$I$121=0,0,E74/('0信息维护'!$I$121)*'0信息维护'!$E$41*'0信息维护'!$S$31)+IF('0信息维护'!$I$122=0,0,F74/('0信息维护'!$I$122)*'0信息维护'!$E$41*'0信息维护'!$T$31)+IF('0信息维护'!$I$123=0,0,G74/('0信息维护'!$I$123)*'0信息维护'!$E$41*'0信息维护'!$U$31)+IF('0信息维护'!$I$124=0,0,H74/('0信息维护'!$I$124)*'0信息维护'!$E$41*'0信息维护'!$T$31)+IF('0信息维护'!$I$125=0,0,I74/'0信息维护'!$I$125*'0信息维护'!$I$41)</f>
        <v>0</v>
      </c>
      <c r="K74" s="30"/>
    </row>
    <row r="75" spans="1:11">
      <c r="A75" s="17">
        <v>11</v>
      </c>
      <c r="B75" s="17" t="str">
        <f ca="1">OFFSET('1课程考核方式及成绩组成'!$D$10,(ROW(B75)-5)/7,)</f>
        <v>190301007</v>
      </c>
      <c r="C75" s="17" t="str">
        <f ca="1">OFFSET('1课程考核方式及成绩组成'!$E$10,(ROW(C75)-5)/7,)</f>
        <v>夏婧姣</v>
      </c>
      <c r="D75" s="18" t="str">
        <f>'0信息维护'!A$25</f>
        <v>课程目标1</v>
      </c>
      <c r="E75" s="19">
        <f ca="1">OFFSET('1课程考核方式及成绩组成'!$F$10,(ROW(E75)-5)/7,MOD((ROW(E75)-5),7))</f>
        <v>35</v>
      </c>
      <c r="F75" s="19">
        <f ca="1">OFFSET('1课程考核方式及成绩组成'!$N$10,(ROW(F75)-5)/7,MOD((ROW(F75)-5),7))</f>
        <v>0</v>
      </c>
      <c r="G75" s="19">
        <f ca="1">OFFSET('1课程考核方式及成绩组成'!$V$10,(ROW(G75)-5)/7,MOD((ROW(G75)-5),7))</f>
        <v>0</v>
      </c>
      <c r="H75" s="19">
        <f ca="1">OFFSET('1课程考核方式及成绩组成'!$AD$10,(ROW(H75)-5)/7,MOD((ROW(H75)-5),7))</f>
        <v>0</v>
      </c>
      <c r="I75" s="19">
        <f ca="1">OFFSET('1课程考核方式及成绩组成'!$AL$10,(ROW(I75)-5)/7,MOD((ROW(I75)-5),7))</f>
        <v>16</v>
      </c>
      <c r="J75" s="25">
        <f ca="1">IF('0信息维护'!$I$85=0,0,E75/('0信息维护'!$I$85)*'0信息维护'!$E$35*'0信息维护'!$S$25)+IF('0信息维护'!$I$86=0,0,F75/('0信息维护'!$I$86)*'0信息维护'!$E$35*'0信息维护'!$T$25)+IF('0信息维护'!$I$87=0,0,G75/('0信息维护'!$I$87)*'0信息维护'!$E$35*'0信息维护'!$U$25)+IF('0信息维护'!$I$88=0,0,H75/('0信息维护'!$I$88)*'0信息维护'!$E$35*'0信息维护'!$V$25)+IF('0信息维护'!$I$89=0,0,I75/'0信息维护'!$I$89*'0信息维护'!$I$35)</f>
        <v>0.659722222222222</v>
      </c>
      <c r="K75" s="26">
        <f ca="1">J75*'0信息维护'!$D$132+J76*'0信息维护'!$D$133+J77*'0信息维护'!$D$134+J78*'0信息维护'!$D$135+J79*'0信息维护'!$D$136+J80*'0信息维护'!$D$137+J81*'0信息维护'!$D$138</f>
        <v>0.594987745098039</v>
      </c>
    </row>
    <row r="76" spans="1:14">
      <c r="A76" s="20"/>
      <c r="B76" s="20"/>
      <c r="C76" s="20"/>
      <c r="D76" s="18" t="str">
        <f>'0信息维护'!A$26</f>
        <v>课程目标2</v>
      </c>
      <c r="E76" s="19">
        <f ca="1">OFFSET('1课程考核方式及成绩组成'!$F$10,(ROW(E76)-5)/7,MOD((ROW(E76)-5),7))</f>
        <v>45</v>
      </c>
      <c r="F76" s="19">
        <f ca="1">OFFSET('1课程考核方式及成绩组成'!$N$10,(ROW(F76)-5)/7,MOD((ROW(F76)-5),7))</f>
        <v>0</v>
      </c>
      <c r="G76" s="19">
        <f ca="1">OFFSET('1课程考核方式及成绩组成'!$V$10,(ROW(G76)-5)/7,MOD((ROW(G76)-5),7))</f>
        <v>0</v>
      </c>
      <c r="H76" s="19">
        <f ca="1">OFFSET('1课程考核方式及成绩组成'!$AD$10,(ROW(H76)-5)/7,MOD((ROW(H76)-5),7))</f>
        <v>0</v>
      </c>
      <c r="I76" s="19">
        <f ca="1">OFFSET('1课程考核方式及成绩组成'!$AL$10,(ROW(I76)-5)/7,MOD((ROW(I76)-5),7))</f>
        <v>17</v>
      </c>
      <c r="J76" s="25">
        <f ca="1">IF('0信息维护'!$I$91=0,0,E76/('0信息维护'!$I$91)*'0信息维护'!$S$26*'0信息维护'!$E$36)+IF('0信息维护'!$I$92=0,0,F76/('0信息维护'!$I$92)*'0信息维护'!$T$26*'0信息维护'!$E$36)+IF('0信息维护'!$I$93=0,0,G76/('0信息维护'!$I$93)*'0信息维护'!$U$26*'0信息维护'!$E$36)+IF('0信息维护'!$I$94=0,0,H76/('0信息维护'!$I$94)*'0信息维护'!$V$26*'0信息维护'!$E$36)+IF('0信息维护'!$I$95=0,0,I76/'0信息维护'!$I$95*'0信息维护'!$I$36)</f>
        <v>0.658333333333333</v>
      </c>
      <c r="K76" s="27"/>
      <c r="M76" s="28"/>
      <c r="N76" s="29"/>
    </row>
    <row r="77" spans="1:11">
      <c r="A77" s="20"/>
      <c r="B77" s="20"/>
      <c r="C77" s="20"/>
      <c r="D77" s="18" t="str">
        <f>'0信息维护'!A$27</f>
        <v>课程目标3</v>
      </c>
      <c r="E77" s="19">
        <f ca="1">OFFSET('1课程考核方式及成绩组成'!$F$10,(ROW(E77)-5)/7,MOD((ROW(E77)-5),7))</f>
        <v>0</v>
      </c>
      <c r="F77" s="19">
        <f ca="1">OFFSET('1课程考核方式及成绩组成'!$N$10,(ROW(F77)-5)/7,MOD((ROW(F77)-5),7))</f>
        <v>0</v>
      </c>
      <c r="G77" s="19">
        <f ca="1">OFFSET('1课程考核方式及成绩组成'!$V$10,(ROW(G77)-5)/7,MOD((ROW(G77)-5),7))</f>
        <v>0</v>
      </c>
      <c r="H77" s="19">
        <f ca="1">OFFSET('1课程考核方式及成绩组成'!$AD$10,(ROW(H77)-5)/7,MOD((ROW(H77)-5),7))</f>
        <v>0</v>
      </c>
      <c r="I77" s="19">
        <f ca="1">OFFSET('1课程考核方式及成绩组成'!$AL$10,(ROW(I77)-5)/7,MOD((ROW(I77)-5),7))</f>
        <v>10</v>
      </c>
      <c r="J77" s="25">
        <f ca="1">IF('0信息维护'!$I$97=0,0,E77/('0信息维护'!$I$97)*'0信息维护'!$E$37*'0信息维护'!$S$27)+IF('0信息维护'!$I$98=0,0,F77/('0信息维护'!$I$98)*'0信息维护'!$E$37*'0信息维护'!$T$27)+IF('0信息维护'!$I$99=0,0,G77/('0信息维护'!$I$99)*'0信息维护'!$E$37*'0信息维护'!$U$27)+IF('0信息维护'!$I$100=0,0,H77/('0信息维护'!$I$100)*'0信息维护'!$E$37*'0信息维护'!$V$27)+IF('0信息维护'!$I$101=0,0,I77/'0信息维护'!$I$101*'0信息维护'!$I$37)</f>
        <v>0.294117647058824</v>
      </c>
      <c r="K77" s="27"/>
    </row>
    <row r="78" spans="1:11">
      <c r="A78" s="20"/>
      <c r="B78" s="20"/>
      <c r="C78" s="20"/>
      <c r="D78" s="18" t="str">
        <f>'0信息维护'!A$28</f>
        <v>课程目标4</v>
      </c>
      <c r="E78" s="19">
        <f ca="1">OFFSET('1课程考核方式及成绩组成'!$F$10,(ROW(E78)-5)/7,MOD((ROW(E78)-5),7))</f>
        <v>0</v>
      </c>
      <c r="F78" s="19">
        <f ca="1">OFFSET('1课程考核方式及成绩组成'!$N$10,(ROW(F78)-5)/7,MOD((ROW(F78)-5),7))</f>
        <v>75</v>
      </c>
      <c r="G78" s="19">
        <f ca="1">OFFSET('1课程考核方式及成绩组成'!$V$10,(ROW(G78)-5)/7,MOD((ROW(G78)-5),7))</f>
        <v>0</v>
      </c>
      <c r="H78" s="19">
        <f ca="1">OFFSET('1课程考核方式及成绩组成'!$AD$10,(ROW(H78)-5)/7,MOD((ROW(H78)-5),7))</f>
        <v>0</v>
      </c>
      <c r="I78" s="19">
        <f ca="1">OFFSET('1课程考核方式及成绩组成'!$AL$10,(ROW(I78)-5)/7,MOD((ROW(I78)-5),7))</f>
        <v>0</v>
      </c>
      <c r="J78" s="25">
        <f ca="1">IF('0信息维护'!$I$103=0,0,E78/('0信息维护'!$I$103)*'0信息维护'!$E$38*'0信息维护'!$S$28)+IF('0信息维护'!$I$104=0,0,F78/('0信息维护'!$I$104)*'0信息维护'!$E$38*'0信息维护'!$T$28)+IF('0信息维护'!$I$105=0,0,G78/('0信息维护'!$I$105)*'0信息维护'!$E$38*'0信息维护'!$U$28)+IF('0信息维护'!$I$106=0,0,H78/('0信息维护'!$I$106)*'0信息维护'!$E$38*'0信息维护'!$V$28)+IF('0信息维护'!$I$107=0,0,I78/'0信息维护'!$I$107*'0信息维护'!$I$38)</f>
        <v>0.75</v>
      </c>
      <c r="K78" s="27"/>
    </row>
    <row r="79" spans="1:11">
      <c r="A79" s="20"/>
      <c r="B79" s="20"/>
      <c r="C79" s="20"/>
      <c r="D79" s="18" t="str">
        <f>'0信息维护'!A$29</f>
        <v>课程目标5</v>
      </c>
      <c r="E79" s="19">
        <f ca="1">OFFSET('1课程考核方式及成绩组成'!$F$10,(ROW(E79)-5)/7,MOD((ROW(E79)-5),7))</f>
        <v>0</v>
      </c>
      <c r="F79" s="19">
        <f ca="1">OFFSET('1课程考核方式及成绩组成'!$N$10,(ROW(F79)-5)/7,MOD((ROW(F79)-5),7))</f>
        <v>0</v>
      </c>
      <c r="G79" s="19">
        <f ca="1">OFFSET('1课程考核方式及成绩组成'!$V$10,(ROW(G79)-5)/7,MOD((ROW(G79)-5),7))</f>
        <v>0</v>
      </c>
      <c r="H79" s="19">
        <f ca="1">OFFSET('1课程考核方式及成绩组成'!$AD$10,(ROW(H79)-5)/7,MOD((ROW(H79)-5),7))</f>
        <v>0</v>
      </c>
      <c r="I79" s="19">
        <f ca="1">OFFSET('1课程考核方式及成绩组成'!$AL$10,(ROW(I79)-5)/7,MOD((ROW(I79)-5),7))</f>
        <v>0</v>
      </c>
      <c r="J79" s="25">
        <f ca="1">IF('0信息维护'!$I$109=0,0,E79/('0信息维护'!$I$109)*'0信息维护'!$E$39*'0信息维护'!$S$29)+IF('0信息维护'!$I$110=0,0,F79/('0信息维护'!$I$110)*'0信息维护'!$E$39*'0信息维护'!$T$29)+IF('0信息维护'!$I$111=0,0,G79/('0信息维护'!$I$111)*'0信息维护'!$E$39*'0信息维护'!$U$29)+IF('0信息维护'!$I$112=0,0,H79/('0信息维护'!$I$112)*'0信息维护'!$E$39*'0信息维护'!$V$29)+IF('0信息维护'!$I$113=0,0,I79/'0信息维护'!$I$113*'0信息维护'!$I$39)</f>
        <v>0</v>
      </c>
      <c r="K79" s="27"/>
    </row>
    <row r="80" spans="1:11">
      <c r="A80" s="20"/>
      <c r="B80" s="20"/>
      <c r="C80" s="20"/>
      <c r="D80" s="18" t="str">
        <f>'0信息维护'!A$30</f>
        <v>课程目标6</v>
      </c>
      <c r="E80" s="19">
        <f ca="1">OFFSET('1课程考核方式及成绩组成'!$F$10,(ROW(E80)-5)/7,MOD((ROW(E80)-5),7))</f>
        <v>0</v>
      </c>
      <c r="F80" s="19">
        <f ca="1">OFFSET('1课程考核方式及成绩组成'!$N$10,(ROW(F80)-5)/7,MOD((ROW(F80)-5),7))</f>
        <v>0</v>
      </c>
      <c r="G80" s="19">
        <f ca="1">OFFSET('1课程考核方式及成绩组成'!$V$10,(ROW(G80)-5)/7,MOD((ROW(G80)-5),7))</f>
        <v>0</v>
      </c>
      <c r="H80" s="19">
        <f ca="1">OFFSET('1课程考核方式及成绩组成'!$AD$10,(ROW(H80)-5)/7,MOD((ROW(H80)-5),7))</f>
        <v>0</v>
      </c>
      <c r="I80" s="19">
        <f ca="1">OFFSET('1课程考核方式及成绩组成'!$AL$10,(ROW(I80)-5)/7,MOD((ROW(I80)-5),7))</f>
        <v>0</v>
      </c>
      <c r="J80" s="25">
        <f ca="1">IF('0信息维护'!$I$115=0,0,E80/('0信息维护'!$I$115)*'0信息维护'!$E$40*'0信息维护'!$S$30)+IF('0信息维护'!$I$116=0,0,F80/('0信息维护'!$I$116)*'0信息维护'!$E$40*'0信息维护'!$T$30)+IF('0信息维护'!$I$117=0,0,G80/('0信息维护'!$I$117)*'0信息维护'!$E$40*'0信息维护'!$U$30)+IF('0信息维护'!$I$118=0,0,H80/('0信息维护'!$I$118)*'0信息维护'!$E$40*'0信息维护'!$V$30)+IF('0信息维护'!$I$119=0,0,I80/'0信息维护'!$I$119*'0信息维护'!$I$40)</f>
        <v>0</v>
      </c>
      <c r="K80" s="27"/>
    </row>
    <row r="81" spans="1:11">
      <c r="A81" s="21"/>
      <c r="B81" s="21"/>
      <c r="C81" s="21"/>
      <c r="D81" s="18" t="str">
        <f>'0信息维护'!A$31</f>
        <v>课程目标7</v>
      </c>
      <c r="E81" s="19">
        <f ca="1">OFFSET('1课程考核方式及成绩组成'!$F$10,(ROW(E81)-5)/7,MOD((ROW(E81)-5),7))</f>
        <v>0</v>
      </c>
      <c r="F81" s="19">
        <f ca="1">OFFSET('1课程考核方式及成绩组成'!$N$10,(ROW(F81)-5)/7,MOD((ROW(F81)-5),7))</f>
        <v>0</v>
      </c>
      <c r="G81" s="19">
        <f ca="1">OFFSET('1课程考核方式及成绩组成'!$V$10,(ROW(G81)-5)/7,MOD((ROW(G81)-5),7))</f>
        <v>0</v>
      </c>
      <c r="H81" s="19">
        <f ca="1">OFFSET('1课程考核方式及成绩组成'!$AD$10,(ROW(H81)-5)/7,MOD((ROW(H81)-5),7))</f>
        <v>0</v>
      </c>
      <c r="I81" s="19">
        <f ca="1">OFFSET('1课程考核方式及成绩组成'!$AL$10,(ROW(I81)-5)/7,MOD((ROW(I81)-5),7))</f>
        <v>0</v>
      </c>
      <c r="J81" s="25">
        <f ca="1">IF('0信息维护'!$I$121=0,0,E81/('0信息维护'!$I$121)*'0信息维护'!$E$41*'0信息维护'!$S$31)+IF('0信息维护'!$I$122=0,0,F81/('0信息维护'!$I$122)*'0信息维护'!$E$41*'0信息维护'!$T$31)+IF('0信息维护'!$I$123=0,0,G81/('0信息维护'!$I$123)*'0信息维护'!$E$41*'0信息维护'!$U$31)+IF('0信息维护'!$I$124=0,0,H81/('0信息维护'!$I$124)*'0信息维护'!$E$41*'0信息维护'!$T$31)+IF('0信息维护'!$I$125=0,0,I81/'0信息维护'!$I$125*'0信息维护'!$I$41)</f>
        <v>0</v>
      </c>
      <c r="K81" s="30"/>
    </row>
    <row r="82" spans="1:11">
      <c r="A82" s="17">
        <v>12</v>
      </c>
      <c r="B82" s="17" t="str">
        <f ca="1">OFFSET('1课程考核方式及成绩组成'!$D$10,(ROW(B82)-5)/7,)</f>
        <v>190301008</v>
      </c>
      <c r="C82" s="17" t="str">
        <f ca="1">OFFSET('1课程考核方式及成绩组成'!$E$10,(ROW(C82)-5)/7,)</f>
        <v>王思皓</v>
      </c>
      <c r="D82" s="18" t="str">
        <f>'0信息维护'!A$25</f>
        <v>课程目标1</v>
      </c>
      <c r="E82" s="19">
        <f ca="1">OFFSET('1课程考核方式及成绩组成'!$F$10,(ROW(E82)-5)/7,MOD((ROW(E82)-5),7))</f>
        <v>35</v>
      </c>
      <c r="F82" s="19">
        <f ca="1">OFFSET('1课程考核方式及成绩组成'!$N$10,(ROW(F82)-5)/7,MOD((ROW(F82)-5),7))</f>
        <v>0</v>
      </c>
      <c r="G82" s="19">
        <f ca="1">OFFSET('1课程考核方式及成绩组成'!$V$10,(ROW(G82)-5)/7,MOD((ROW(G82)-5),7))</f>
        <v>0</v>
      </c>
      <c r="H82" s="19">
        <f ca="1">OFFSET('1课程考核方式及成绩组成'!$AD$10,(ROW(H82)-5)/7,MOD((ROW(H82)-5),7))</f>
        <v>0</v>
      </c>
      <c r="I82" s="19">
        <f ca="1">OFFSET('1课程考核方式及成绩组成'!$AL$10,(ROW(I82)-5)/7,MOD((ROW(I82)-5),7))</f>
        <v>22</v>
      </c>
      <c r="J82" s="25">
        <f ca="1">IF('0信息维护'!$I$85=0,0,E82/('0信息维护'!$I$85)*'0信息维护'!$E$35*'0信息维护'!$S$25)+IF('0信息维护'!$I$86=0,0,F82/('0信息维护'!$I$86)*'0信息维护'!$E$35*'0信息维护'!$T$25)+IF('0信息维护'!$I$87=0,0,G82/('0信息维护'!$I$87)*'0信息维护'!$E$35*'0信息维护'!$U$25)+IF('0信息维护'!$I$88=0,0,H82/('0信息维护'!$I$88)*'0信息维护'!$E$35*'0信息维护'!$V$25)+IF('0信息维护'!$I$89=0,0,I82/'0信息维护'!$I$89*'0信息维护'!$I$35)</f>
        <v>0.743055555555556</v>
      </c>
      <c r="K82" s="26">
        <f ca="1">J82*'0信息维护'!$D$132+J83*'0信息维护'!$D$133+J84*'0信息维护'!$D$134+J85*'0信息维护'!$D$135+J86*'0信息维护'!$D$136+J87*'0信息维护'!$D$137+J88*'0信息维护'!$D$138</f>
        <v>0.537487745098039</v>
      </c>
    </row>
    <row r="83" spans="1:14">
      <c r="A83" s="20"/>
      <c r="B83" s="20"/>
      <c r="C83" s="20"/>
      <c r="D83" s="18" t="str">
        <f>'0信息维护'!A$26</f>
        <v>课程目标2</v>
      </c>
      <c r="E83" s="19">
        <f ca="1">OFFSET('1课程考核方式及成绩组成'!$F$10,(ROW(E83)-5)/7,MOD((ROW(E83)-5),7))</f>
        <v>45</v>
      </c>
      <c r="F83" s="19">
        <f ca="1">OFFSET('1课程考核方式及成绩组成'!$N$10,(ROW(F83)-5)/7,MOD((ROW(F83)-5),7))</f>
        <v>0</v>
      </c>
      <c r="G83" s="19">
        <f ca="1">OFFSET('1课程考核方式及成绩组成'!$V$10,(ROW(G83)-5)/7,MOD((ROW(G83)-5),7))</f>
        <v>0</v>
      </c>
      <c r="H83" s="19">
        <f ca="1">OFFSET('1课程考核方式及成绩组成'!$AD$10,(ROW(H83)-5)/7,MOD((ROW(H83)-5),7))</f>
        <v>0</v>
      </c>
      <c r="I83" s="19">
        <f ca="1">OFFSET('1课程考核方式及成绩组成'!$AL$10,(ROW(I83)-5)/7,MOD((ROW(I83)-5),7))</f>
        <v>6</v>
      </c>
      <c r="J83" s="25">
        <f ca="1">IF('0信息维护'!$I$91=0,0,E83/('0信息维护'!$I$91)*'0信息维护'!$S$26*'0信息维护'!$E$36)+IF('0信息维护'!$I$92=0,0,F83/('0信息维护'!$I$92)*'0信息维护'!$T$26*'0信息维护'!$E$36)+IF('0信息维护'!$I$93=0,0,G83/('0信息维护'!$I$93)*'0信息维护'!$U$26*'0信息维护'!$E$36)+IF('0信息维护'!$I$94=0,0,H83/('0信息维护'!$I$94)*'0信息维护'!$V$26*'0信息维护'!$E$36)+IF('0信息维护'!$I$95=0,0,I83/'0信息维护'!$I$95*'0信息维护'!$I$36)</f>
        <v>0.475</v>
      </c>
      <c r="K83" s="27"/>
      <c r="M83" s="28"/>
      <c r="N83" s="29"/>
    </row>
    <row r="84" spans="1:11">
      <c r="A84" s="20"/>
      <c r="B84" s="20"/>
      <c r="C84" s="20"/>
      <c r="D84" s="18" t="str">
        <f>'0信息维护'!A$27</f>
        <v>课程目标3</v>
      </c>
      <c r="E84" s="19">
        <f ca="1">OFFSET('1课程考核方式及成绩组成'!$F$10,(ROW(E84)-5)/7,MOD((ROW(E84)-5),7))</f>
        <v>0</v>
      </c>
      <c r="F84" s="19">
        <f ca="1">OFFSET('1课程考核方式及成绩组成'!$N$10,(ROW(F84)-5)/7,MOD((ROW(F84)-5),7))</f>
        <v>0</v>
      </c>
      <c r="G84" s="19">
        <f ca="1">OFFSET('1课程考核方式及成绩组成'!$V$10,(ROW(G84)-5)/7,MOD((ROW(G84)-5),7))</f>
        <v>0</v>
      </c>
      <c r="H84" s="19">
        <f ca="1">OFFSET('1课程考核方式及成绩组成'!$AD$10,(ROW(H84)-5)/7,MOD((ROW(H84)-5),7))</f>
        <v>0</v>
      </c>
      <c r="I84" s="19">
        <f ca="1">OFFSET('1课程考核方式及成绩组成'!$AL$10,(ROW(I84)-5)/7,MOD((ROW(I84)-5),7))</f>
        <v>10</v>
      </c>
      <c r="J84" s="25">
        <f ca="1">IF('0信息维护'!$I$97=0,0,E84/('0信息维护'!$I$97)*'0信息维护'!$E$37*'0信息维护'!$S$27)+IF('0信息维护'!$I$98=0,0,F84/('0信息维护'!$I$98)*'0信息维护'!$E$37*'0信息维护'!$T$27)+IF('0信息维护'!$I$99=0,0,G84/('0信息维护'!$I$99)*'0信息维护'!$E$37*'0信息维护'!$U$27)+IF('0信息维护'!$I$100=0,0,H84/('0信息维护'!$I$100)*'0信息维护'!$E$37*'0信息维护'!$V$27)+IF('0信息维护'!$I$101=0,0,I84/'0信息维护'!$I$101*'0信息维护'!$I$37)</f>
        <v>0.294117647058824</v>
      </c>
      <c r="K84" s="27"/>
    </row>
    <row r="85" spans="1:11">
      <c r="A85" s="20"/>
      <c r="B85" s="20"/>
      <c r="C85" s="20"/>
      <c r="D85" s="18" t="str">
        <f>'0信息维护'!A$28</f>
        <v>课程目标4</v>
      </c>
      <c r="E85" s="19">
        <f ca="1">OFFSET('1课程考核方式及成绩组成'!$F$10,(ROW(E85)-5)/7,MOD((ROW(E85)-5),7))</f>
        <v>0</v>
      </c>
      <c r="F85" s="19">
        <f ca="1">OFFSET('1课程考核方式及成绩组成'!$N$10,(ROW(F85)-5)/7,MOD((ROW(F85)-5),7))</f>
        <v>70</v>
      </c>
      <c r="G85" s="19">
        <f ca="1">OFFSET('1课程考核方式及成绩组成'!$V$10,(ROW(G85)-5)/7,MOD((ROW(G85)-5),7))</f>
        <v>0</v>
      </c>
      <c r="H85" s="19">
        <f ca="1">OFFSET('1课程考核方式及成绩组成'!$AD$10,(ROW(H85)-5)/7,MOD((ROW(H85)-5),7))</f>
        <v>0</v>
      </c>
      <c r="I85" s="19">
        <f ca="1">OFFSET('1课程考核方式及成绩组成'!$AL$10,(ROW(I85)-5)/7,MOD((ROW(I85)-5),7))</f>
        <v>0</v>
      </c>
      <c r="J85" s="25">
        <f ca="1">IF('0信息维护'!$I$103=0,0,E85/('0信息维护'!$I$103)*'0信息维护'!$E$38*'0信息维护'!$S$28)+IF('0信息维护'!$I$104=0,0,F85/('0信息维护'!$I$104)*'0信息维护'!$E$38*'0信息维护'!$T$28)+IF('0信息维护'!$I$105=0,0,G85/('0信息维护'!$I$105)*'0信息维护'!$E$38*'0信息维护'!$U$28)+IF('0信息维护'!$I$106=0,0,H85/('0信息维护'!$I$106)*'0信息维护'!$E$38*'0信息维护'!$V$28)+IF('0信息维护'!$I$107=0,0,I85/'0信息维护'!$I$107*'0信息维护'!$I$38)</f>
        <v>0.7</v>
      </c>
      <c r="K85" s="27"/>
    </row>
    <row r="86" spans="1:11">
      <c r="A86" s="20"/>
      <c r="B86" s="20"/>
      <c r="C86" s="20"/>
      <c r="D86" s="18" t="str">
        <f>'0信息维护'!A$29</f>
        <v>课程目标5</v>
      </c>
      <c r="E86" s="19">
        <f ca="1">OFFSET('1课程考核方式及成绩组成'!$F$10,(ROW(E86)-5)/7,MOD((ROW(E86)-5),7))</f>
        <v>0</v>
      </c>
      <c r="F86" s="19">
        <f ca="1">OFFSET('1课程考核方式及成绩组成'!$N$10,(ROW(F86)-5)/7,MOD((ROW(F86)-5),7))</f>
        <v>0</v>
      </c>
      <c r="G86" s="19">
        <f ca="1">OFFSET('1课程考核方式及成绩组成'!$V$10,(ROW(G86)-5)/7,MOD((ROW(G86)-5),7))</f>
        <v>0</v>
      </c>
      <c r="H86" s="19">
        <f ca="1">OFFSET('1课程考核方式及成绩组成'!$AD$10,(ROW(H86)-5)/7,MOD((ROW(H86)-5),7))</f>
        <v>0</v>
      </c>
      <c r="I86" s="19">
        <f ca="1">OFFSET('1课程考核方式及成绩组成'!$AL$10,(ROW(I86)-5)/7,MOD((ROW(I86)-5),7))</f>
        <v>0</v>
      </c>
      <c r="J86" s="25">
        <f ca="1">IF('0信息维护'!$I$109=0,0,E86/('0信息维护'!$I$109)*'0信息维护'!$E$39*'0信息维护'!$S$29)+IF('0信息维护'!$I$110=0,0,F86/('0信息维护'!$I$110)*'0信息维护'!$E$39*'0信息维护'!$T$29)+IF('0信息维护'!$I$111=0,0,G86/('0信息维护'!$I$111)*'0信息维护'!$E$39*'0信息维护'!$U$29)+IF('0信息维护'!$I$112=0,0,H86/('0信息维护'!$I$112)*'0信息维护'!$E$39*'0信息维护'!$V$29)+IF('0信息维护'!$I$113=0,0,I86/'0信息维护'!$I$113*'0信息维护'!$I$39)</f>
        <v>0</v>
      </c>
      <c r="K86" s="27"/>
    </row>
    <row r="87" spans="1:11">
      <c r="A87" s="20"/>
      <c r="B87" s="20"/>
      <c r="C87" s="20"/>
      <c r="D87" s="18" t="str">
        <f>'0信息维护'!A$30</f>
        <v>课程目标6</v>
      </c>
      <c r="E87" s="19">
        <f ca="1">OFFSET('1课程考核方式及成绩组成'!$F$10,(ROW(E87)-5)/7,MOD((ROW(E87)-5),7))</f>
        <v>0</v>
      </c>
      <c r="F87" s="19">
        <f ca="1">OFFSET('1课程考核方式及成绩组成'!$N$10,(ROW(F87)-5)/7,MOD((ROW(F87)-5),7))</f>
        <v>0</v>
      </c>
      <c r="G87" s="19">
        <f ca="1">OFFSET('1课程考核方式及成绩组成'!$V$10,(ROW(G87)-5)/7,MOD((ROW(G87)-5),7))</f>
        <v>0</v>
      </c>
      <c r="H87" s="19">
        <f ca="1">OFFSET('1课程考核方式及成绩组成'!$AD$10,(ROW(H87)-5)/7,MOD((ROW(H87)-5),7))</f>
        <v>0</v>
      </c>
      <c r="I87" s="19">
        <f ca="1">OFFSET('1课程考核方式及成绩组成'!$AL$10,(ROW(I87)-5)/7,MOD((ROW(I87)-5),7))</f>
        <v>0</v>
      </c>
      <c r="J87" s="25">
        <f ca="1">IF('0信息维护'!$I$115=0,0,E87/('0信息维护'!$I$115)*'0信息维护'!$E$40*'0信息维护'!$S$30)+IF('0信息维护'!$I$116=0,0,F87/('0信息维护'!$I$116)*'0信息维护'!$E$40*'0信息维护'!$T$30)+IF('0信息维护'!$I$117=0,0,G87/('0信息维护'!$I$117)*'0信息维护'!$E$40*'0信息维护'!$U$30)+IF('0信息维护'!$I$118=0,0,H87/('0信息维护'!$I$118)*'0信息维护'!$E$40*'0信息维护'!$V$30)+IF('0信息维护'!$I$119=0,0,I87/'0信息维护'!$I$119*'0信息维护'!$I$40)</f>
        <v>0</v>
      </c>
      <c r="K87" s="27"/>
    </row>
    <row r="88" spans="1:11">
      <c r="A88" s="21"/>
      <c r="B88" s="21"/>
      <c r="C88" s="21"/>
      <c r="D88" s="18" t="str">
        <f>'0信息维护'!A$31</f>
        <v>课程目标7</v>
      </c>
      <c r="E88" s="19">
        <f ca="1">OFFSET('1课程考核方式及成绩组成'!$F$10,(ROW(E88)-5)/7,MOD((ROW(E88)-5),7))</f>
        <v>0</v>
      </c>
      <c r="F88" s="19">
        <f ca="1">OFFSET('1课程考核方式及成绩组成'!$N$10,(ROW(F88)-5)/7,MOD((ROW(F88)-5),7))</f>
        <v>0</v>
      </c>
      <c r="G88" s="19">
        <f ca="1">OFFSET('1课程考核方式及成绩组成'!$V$10,(ROW(G88)-5)/7,MOD((ROW(G88)-5),7))</f>
        <v>0</v>
      </c>
      <c r="H88" s="19">
        <f ca="1">OFFSET('1课程考核方式及成绩组成'!$AD$10,(ROW(H88)-5)/7,MOD((ROW(H88)-5),7))</f>
        <v>0</v>
      </c>
      <c r="I88" s="19">
        <f ca="1">OFFSET('1课程考核方式及成绩组成'!$AL$10,(ROW(I88)-5)/7,MOD((ROW(I88)-5),7))</f>
        <v>0</v>
      </c>
      <c r="J88" s="25">
        <f ca="1">IF('0信息维护'!$I$121=0,0,E88/('0信息维护'!$I$121)*'0信息维护'!$E$41*'0信息维护'!$S$31)+IF('0信息维护'!$I$122=0,0,F88/('0信息维护'!$I$122)*'0信息维护'!$E$41*'0信息维护'!$T$31)+IF('0信息维护'!$I$123=0,0,G88/('0信息维护'!$I$123)*'0信息维护'!$E$41*'0信息维护'!$U$31)+IF('0信息维护'!$I$124=0,0,H88/('0信息维护'!$I$124)*'0信息维护'!$E$41*'0信息维护'!$T$31)+IF('0信息维护'!$I$125=0,0,I88/'0信息维护'!$I$125*'0信息维护'!$I$41)</f>
        <v>0</v>
      </c>
      <c r="K88" s="30"/>
    </row>
    <row r="89" spans="1:11">
      <c r="A89" s="17">
        <v>13</v>
      </c>
      <c r="B89" s="17" t="str">
        <f ca="1">OFFSET('1课程考核方式及成绩组成'!$D$10,(ROW(B89)-5)/7,)</f>
        <v>190301009</v>
      </c>
      <c r="C89" s="17" t="str">
        <f ca="1">OFFSET('1课程考核方式及成绩组成'!$E$10,(ROW(C89)-5)/7,)</f>
        <v>刘丹</v>
      </c>
      <c r="D89" s="18" t="str">
        <f>'0信息维护'!A$25</f>
        <v>课程目标1</v>
      </c>
      <c r="E89" s="19">
        <f ca="1">OFFSET('1课程考核方式及成绩组成'!$F$10,(ROW(E89)-5)/7,MOD((ROW(E89)-5),7))</f>
        <v>35</v>
      </c>
      <c r="F89" s="19">
        <f ca="1">OFFSET('1课程考核方式及成绩组成'!$N$10,(ROW(F89)-5)/7,MOD((ROW(F89)-5),7))</f>
        <v>0</v>
      </c>
      <c r="G89" s="19">
        <f ca="1">OFFSET('1课程考核方式及成绩组成'!$V$10,(ROW(G89)-5)/7,MOD((ROW(G89)-5),7))</f>
        <v>0</v>
      </c>
      <c r="H89" s="19">
        <f ca="1">OFFSET('1课程考核方式及成绩组成'!$AD$10,(ROW(H89)-5)/7,MOD((ROW(H89)-5),7))</f>
        <v>0</v>
      </c>
      <c r="I89" s="19">
        <f ca="1">OFFSET('1课程考核方式及成绩组成'!$AL$10,(ROW(I89)-5)/7,MOD((ROW(I89)-5),7))</f>
        <v>24</v>
      </c>
      <c r="J89" s="25">
        <f ca="1">IF('0信息维护'!$I$85=0,0,E89/('0信息维护'!$I$85)*'0信息维护'!$E$35*'0信息维护'!$S$25)+IF('0信息维护'!$I$86=0,0,F89/('0信息维护'!$I$86)*'0信息维护'!$E$35*'0信息维护'!$T$25)+IF('0信息维护'!$I$87=0,0,G89/('0信息维护'!$I$87)*'0信息维护'!$E$35*'0信息维护'!$U$25)+IF('0信息维护'!$I$88=0,0,H89/('0信息维护'!$I$88)*'0信息维护'!$E$35*'0信息维护'!$V$25)+IF('0信息维护'!$I$89=0,0,I89/'0信息维护'!$I$89*'0信息维护'!$I$35)</f>
        <v>0.770833333333333</v>
      </c>
      <c r="K89" s="26">
        <f ca="1">J89*'0信息维护'!$D$132+J90*'0信息维护'!$D$133+J91*'0信息维护'!$D$134+J92*'0信息维护'!$D$135+J93*'0信息维护'!$D$136+J94*'0信息维护'!$D$137+J95*'0信息维护'!$D$138</f>
        <v>0.659419117647059</v>
      </c>
    </row>
    <row r="90" spans="1:14">
      <c r="A90" s="20"/>
      <c r="B90" s="20"/>
      <c r="C90" s="20"/>
      <c r="D90" s="18" t="str">
        <f>'0信息维护'!A$26</f>
        <v>课程目标2</v>
      </c>
      <c r="E90" s="19">
        <f ca="1">OFFSET('1课程考核方式及成绩组成'!$F$10,(ROW(E90)-5)/7,MOD((ROW(E90)-5),7))</f>
        <v>55</v>
      </c>
      <c r="F90" s="19">
        <f ca="1">OFFSET('1课程考核方式及成绩组成'!$N$10,(ROW(F90)-5)/7,MOD((ROW(F90)-5),7))</f>
        <v>0</v>
      </c>
      <c r="G90" s="19">
        <f ca="1">OFFSET('1课程考核方式及成绩组成'!$V$10,(ROW(G90)-5)/7,MOD((ROW(G90)-5),7))</f>
        <v>0</v>
      </c>
      <c r="H90" s="19">
        <f ca="1">OFFSET('1课程考核方式及成绩组成'!$AD$10,(ROW(H90)-5)/7,MOD((ROW(H90)-5),7))</f>
        <v>0</v>
      </c>
      <c r="I90" s="19">
        <f ca="1">OFFSET('1课程考核方式及成绩组成'!$AL$10,(ROW(I90)-5)/7,MOD((ROW(I90)-5),7))</f>
        <v>19</v>
      </c>
      <c r="J90" s="25">
        <f ca="1">IF('0信息维护'!$I$91=0,0,E90/('0信息维护'!$I$91)*'0信息维护'!$S$26*'0信息维护'!$E$36)+IF('0信息维护'!$I$92=0,0,F90/('0信息维护'!$I$92)*'0信息维护'!$T$26*'0信息维护'!$E$36)+IF('0信息维护'!$I$93=0,0,G90/('0信息维护'!$I$93)*'0信息维护'!$U$26*'0信息维护'!$E$36)+IF('0信息维护'!$I$94=0,0,H90/('0信息维护'!$I$94)*'0信息维护'!$V$26*'0信息维护'!$E$36)+IF('0信息维护'!$I$95=0,0,I90/'0信息维护'!$I$95*'0信息维护'!$I$36)</f>
        <v>0.775</v>
      </c>
      <c r="K90" s="27"/>
      <c r="M90" s="28"/>
      <c r="N90" s="29"/>
    </row>
    <row r="91" spans="1:11">
      <c r="A91" s="20"/>
      <c r="B91" s="20"/>
      <c r="C91" s="20"/>
      <c r="D91" s="18" t="str">
        <f>'0信息维护'!A$27</f>
        <v>课程目标3</v>
      </c>
      <c r="E91" s="19">
        <f ca="1">OFFSET('1课程考核方式及成绩组成'!$F$10,(ROW(E91)-5)/7,MOD((ROW(E91)-5),7))</f>
        <v>0</v>
      </c>
      <c r="F91" s="19">
        <f ca="1">OFFSET('1课程考核方式及成绩组成'!$N$10,(ROW(F91)-5)/7,MOD((ROW(F91)-5),7))</f>
        <v>0</v>
      </c>
      <c r="G91" s="19">
        <f ca="1">OFFSET('1课程考核方式及成绩组成'!$V$10,(ROW(G91)-5)/7,MOD((ROW(G91)-5),7))</f>
        <v>0</v>
      </c>
      <c r="H91" s="19">
        <f ca="1">OFFSET('1课程考核方式及成绩组成'!$AD$10,(ROW(H91)-5)/7,MOD((ROW(H91)-5),7))</f>
        <v>0</v>
      </c>
      <c r="I91" s="19">
        <f ca="1">OFFSET('1课程考核方式及成绩组成'!$AL$10,(ROW(I91)-5)/7,MOD((ROW(I91)-5),7))</f>
        <v>15</v>
      </c>
      <c r="J91" s="25">
        <f ca="1">IF('0信息维护'!$I$97=0,0,E91/('0信息维护'!$I$97)*'0信息维护'!$E$37*'0信息维护'!$S$27)+IF('0信息维护'!$I$98=0,0,F91/('0信息维护'!$I$98)*'0信息维护'!$E$37*'0信息维护'!$T$27)+IF('0信息维护'!$I$99=0,0,G91/('0信息维护'!$I$99)*'0信息维护'!$E$37*'0信息维护'!$U$27)+IF('0信息维护'!$I$100=0,0,H91/('0信息维护'!$I$100)*'0信息维护'!$E$37*'0信息维护'!$V$27)+IF('0信息维护'!$I$101=0,0,I91/'0信息维护'!$I$101*'0信息维护'!$I$37)</f>
        <v>0.441176470588235</v>
      </c>
      <c r="K91" s="27"/>
    </row>
    <row r="92" spans="1:11">
      <c r="A92" s="20"/>
      <c r="B92" s="20"/>
      <c r="C92" s="20"/>
      <c r="D92" s="18" t="str">
        <f>'0信息维护'!A$28</f>
        <v>课程目标4</v>
      </c>
      <c r="E92" s="19">
        <f ca="1">OFFSET('1课程考核方式及成绩组成'!$F$10,(ROW(E92)-5)/7,MOD((ROW(E92)-5),7))</f>
        <v>0</v>
      </c>
      <c r="F92" s="19">
        <f ca="1">OFFSET('1课程考核方式及成绩组成'!$N$10,(ROW(F92)-5)/7,MOD((ROW(F92)-5),7))</f>
        <v>67</v>
      </c>
      <c r="G92" s="19">
        <f ca="1">OFFSET('1课程考核方式及成绩组成'!$V$10,(ROW(G92)-5)/7,MOD((ROW(G92)-5),7))</f>
        <v>0</v>
      </c>
      <c r="H92" s="19">
        <f ca="1">OFFSET('1课程考核方式及成绩组成'!$AD$10,(ROW(H92)-5)/7,MOD((ROW(H92)-5),7))</f>
        <v>0</v>
      </c>
      <c r="I92" s="19">
        <f ca="1">OFFSET('1课程考核方式及成绩组成'!$AL$10,(ROW(I92)-5)/7,MOD((ROW(I92)-5),7))</f>
        <v>0</v>
      </c>
      <c r="J92" s="25">
        <f ca="1">IF('0信息维护'!$I$103=0,0,E92/('0信息维护'!$I$103)*'0信息维护'!$E$38*'0信息维护'!$S$28)+IF('0信息维护'!$I$104=0,0,F92/('0信息维护'!$I$104)*'0信息维护'!$E$38*'0信息维护'!$T$28)+IF('0信息维护'!$I$105=0,0,G92/('0信息维护'!$I$105)*'0信息维护'!$E$38*'0信息维护'!$U$28)+IF('0信息维护'!$I$106=0,0,H92/('0信息维护'!$I$106)*'0信息维护'!$E$38*'0信息维护'!$V$28)+IF('0信息维护'!$I$107=0,0,I92/'0信息维护'!$I$107*'0信息维护'!$I$38)</f>
        <v>0.67</v>
      </c>
      <c r="K92" s="27"/>
    </row>
    <row r="93" spans="1:11">
      <c r="A93" s="20"/>
      <c r="B93" s="20"/>
      <c r="C93" s="20"/>
      <c r="D93" s="18" t="str">
        <f>'0信息维护'!A$29</f>
        <v>课程目标5</v>
      </c>
      <c r="E93" s="19">
        <f ca="1">OFFSET('1课程考核方式及成绩组成'!$F$10,(ROW(E93)-5)/7,MOD((ROW(E93)-5),7))</f>
        <v>0</v>
      </c>
      <c r="F93" s="19">
        <f ca="1">OFFSET('1课程考核方式及成绩组成'!$N$10,(ROW(F93)-5)/7,MOD((ROW(F93)-5),7))</f>
        <v>0</v>
      </c>
      <c r="G93" s="19">
        <f ca="1">OFFSET('1课程考核方式及成绩组成'!$V$10,(ROW(G93)-5)/7,MOD((ROW(G93)-5),7))</f>
        <v>0</v>
      </c>
      <c r="H93" s="19">
        <f ca="1">OFFSET('1课程考核方式及成绩组成'!$AD$10,(ROW(H93)-5)/7,MOD((ROW(H93)-5),7))</f>
        <v>0</v>
      </c>
      <c r="I93" s="19">
        <f ca="1">OFFSET('1课程考核方式及成绩组成'!$AL$10,(ROW(I93)-5)/7,MOD((ROW(I93)-5),7))</f>
        <v>0</v>
      </c>
      <c r="J93" s="25">
        <f ca="1">IF('0信息维护'!$I$109=0,0,E93/('0信息维护'!$I$109)*'0信息维护'!$E$39*'0信息维护'!$S$29)+IF('0信息维护'!$I$110=0,0,F93/('0信息维护'!$I$110)*'0信息维护'!$E$39*'0信息维护'!$T$29)+IF('0信息维护'!$I$111=0,0,G93/('0信息维护'!$I$111)*'0信息维护'!$E$39*'0信息维护'!$U$29)+IF('0信息维护'!$I$112=0,0,H93/('0信息维护'!$I$112)*'0信息维护'!$E$39*'0信息维护'!$V$29)+IF('0信息维护'!$I$113=0,0,I93/'0信息维护'!$I$113*'0信息维护'!$I$39)</f>
        <v>0</v>
      </c>
      <c r="K93" s="27"/>
    </row>
    <row r="94" spans="1:11">
      <c r="A94" s="20"/>
      <c r="B94" s="20"/>
      <c r="C94" s="20"/>
      <c r="D94" s="18" t="str">
        <f>'0信息维护'!A$30</f>
        <v>课程目标6</v>
      </c>
      <c r="E94" s="19">
        <f ca="1">OFFSET('1课程考核方式及成绩组成'!$F$10,(ROW(E94)-5)/7,MOD((ROW(E94)-5),7))</f>
        <v>0</v>
      </c>
      <c r="F94" s="19">
        <f ca="1">OFFSET('1课程考核方式及成绩组成'!$N$10,(ROW(F94)-5)/7,MOD((ROW(F94)-5),7))</f>
        <v>0</v>
      </c>
      <c r="G94" s="19">
        <f ca="1">OFFSET('1课程考核方式及成绩组成'!$V$10,(ROW(G94)-5)/7,MOD((ROW(G94)-5),7))</f>
        <v>0</v>
      </c>
      <c r="H94" s="19">
        <f ca="1">OFFSET('1课程考核方式及成绩组成'!$AD$10,(ROW(H94)-5)/7,MOD((ROW(H94)-5),7))</f>
        <v>0</v>
      </c>
      <c r="I94" s="19">
        <f ca="1">OFFSET('1课程考核方式及成绩组成'!$AL$10,(ROW(I94)-5)/7,MOD((ROW(I94)-5),7))</f>
        <v>0</v>
      </c>
      <c r="J94" s="25">
        <f ca="1">IF('0信息维护'!$I$115=0,0,E94/('0信息维护'!$I$115)*'0信息维护'!$E$40*'0信息维护'!$S$30)+IF('0信息维护'!$I$116=0,0,F94/('0信息维护'!$I$116)*'0信息维护'!$E$40*'0信息维护'!$T$30)+IF('0信息维护'!$I$117=0,0,G94/('0信息维护'!$I$117)*'0信息维护'!$E$40*'0信息维护'!$U$30)+IF('0信息维护'!$I$118=0,0,H94/('0信息维护'!$I$118)*'0信息维护'!$E$40*'0信息维护'!$V$30)+IF('0信息维护'!$I$119=0,0,I94/'0信息维护'!$I$119*'0信息维护'!$I$40)</f>
        <v>0</v>
      </c>
      <c r="K94" s="27"/>
    </row>
    <row r="95" spans="1:11">
      <c r="A95" s="21"/>
      <c r="B95" s="21"/>
      <c r="C95" s="21"/>
      <c r="D95" s="18" t="str">
        <f>'0信息维护'!A$31</f>
        <v>课程目标7</v>
      </c>
      <c r="E95" s="19">
        <f ca="1">OFFSET('1课程考核方式及成绩组成'!$F$10,(ROW(E95)-5)/7,MOD((ROW(E95)-5),7))</f>
        <v>0</v>
      </c>
      <c r="F95" s="19">
        <f ca="1">OFFSET('1课程考核方式及成绩组成'!$N$10,(ROW(F95)-5)/7,MOD((ROW(F95)-5),7))</f>
        <v>0</v>
      </c>
      <c r="G95" s="19">
        <f ca="1">OFFSET('1课程考核方式及成绩组成'!$V$10,(ROW(G95)-5)/7,MOD((ROW(G95)-5),7))</f>
        <v>0</v>
      </c>
      <c r="H95" s="19">
        <f ca="1">OFFSET('1课程考核方式及成绩组成'!$AD$10,(ROW(H95)-5)/7,MOD((ROW(H95)-5),7))</f>
        <v>0</v>
      </c>
      <c r="I95" s="19">
        <f ca="1">OFFSET('1课程考核方式及成绩组成'!$AL$10,(ROW(I95)-5)/7,MOD((ROW(I95)-5),7))</f>
        <v>0</v>
      </c>
      <c r="J95" s="25">
        <f ca="1">IF('0信息维护'!$I$121=0,0,E95/('0信息维护'!$I$121)*'0信息维护'!$E$41*'0信息维护'!$S$31)+IF('0信息维护'!$I$122=0,0,F95/('0信息维护'!$I$122)*'0信息维护'!$E$41*'0信息维护'!$T$31)+IF('0信息维护'!$I$123=0,0,G95/('0信息维护'!$I$123)*'0信息维护'!$E$41*'0信息维护'!$U$31)+IF('0信息维护'!$I$124=0,0,H95/('0信息维护'!$I$124)*'0信息维护'!$E$41*'0信息维护'!$T$31)+IF('0信息维护'!$I$125=0,0,I95/'0信息维护'!$I$125*'0信息维护'!$I$41)</f>
        <v>0</v>
      </c>
      <c r="K95" s="30"/>
    </row>
    <row r="96" spans="1:11">
      <c r="A96" s="17">
        <v>14</v>
      </c>
      <c r="B96" s="17" t="str">
        <f ca="1">OFFSET('1课程考核方式及成绩组成'!$D$10,(ROW(B96)-5)/7,)</f>
        <v>190301010</v>
      </c>
      <c r="C96" s="17" t="str">
        <f ca="1">OFFSET('1课程考核方式及成绩组成'!$E$10,(ROW(C96)-5)/7,)</f>
        <v>杨星</v>
      </c>
      <c r="D96" s="18" t="str">
        <f>'0信息维护'!A$25</f>
        <v>课程目标1</v>
      </c>
      <c r="E96" s="19">
        <f ca="1">OFFSET('1课程考核方式及成绩组成'!$F$10,(ROW(E96)-5)/7,MOD((ROW(E96)-5),7))</f>
        <v>40</v>
      </c>
      <c r="F96" s="19">
        <f ca="1">OFFSET('1课程考核方式及成绩组成'!$N$10,(ROW(F96)-5)/7,MOD((ROW(F96)-5),7))</f>
        <v>0</v>
      </c>
      <c r="G96" s="19">
        <f ca="1">OFFSET('1课程考核方式及成绩组成'!$V$10,(ROW(G96)-5)/7,MOD((ROW(G96)-5),7))</f>
        <v>0</v>
      </c>
      <c r="H96" s="19">
        <f ca="1">OFFSET('1课程考核方式及成绩组成'!$AD$10,(ROW(H96)-5)/7,MOD((ROW(H96)-5),7))</f>
        <v>0</v>
      </c>
      <c r="I96" s="19">
        <f ca="1">OFFSET('1课程考核方式及成绩组成'!$AL$10,(ROW(I96)-5)/7,MOD((ROW(I96)-5),7))</f>
        <v>28</v>
      </c>
      <c r="J96" s="25">
        <f ca="1">IF('0信息维护'!$I$85=0,0,E96/('0信息维护'!$I$85)*'0信息维护'!$E$35*'0信息维护'!$S$25)+IF('0信息维护'!$I$86=0,0,F96/('0信息维护'!$I$86)*'0信息维护'!$E$35*'0信息维护'!$T$25)+IF('0信息维护'!$I$87=0,0,G96/('0信息维护'!$I$87)*'0信息维护'!$E$35*'0信息维护'!$U$25)+IF('0信息维护'!$I$88=0,0,H96/('0信息维护'!$I$88)*'0信息维护'!$E$35*'0信息维护'!$V$25)+IF('0信息维护'!$I$89=0,0,I96/'0信息维护'!$I$89*'0信息维护'!$I$35)</f>
        <v>0.888888888888889</v>
      </c>
      <c r="K96" s="26">
        <f ca="1">J96*'0信息维护'!$D$132+J97*'0信息维护'!$D$133+J98*'0信息维护'!$D$134+J99*'0信息维护'!$D$135+J100*'0信息维护'!$D$136+J101*'0信息维护'!$D$137+J102*'0信息维护'!$D$138</f>
        <v>0.770098039215686</v>
      </c>
    </row>
    <row r="97" spans="1:14">
      <c r="A97" s="20"/>
      <c r="B97" s="20"/>
      <c r="C97" s="20"/>
      <c r="D97" s="18" t="str">
        <f>'0信息维护'!A$26</f>
        <v>课程目标2</v>
      </c>
      <c r="E97" s="19">
        <f ca="1">OFFSET('1课程考核方式及成绩组成'!$F$10,(ROW(E97)-5)/7,MOD((ROW(E97)-5),7))</f>
        <v>60</v>
      </c>
      <c r="F97" s="19">
        <f ca="1">OFFSET('1课程考核方式及成绩组成'!$N$10,(ROW(F97)-5)/7,MOD((ROW(F97)-5),7))</f>
        <v>0</v>
      </c>
      <c r="G97" s="19">
        <f ca="1">OFFSET('1课程考核方式及成绩组成'!$V$10,(ROW(G97)-5)/7,MOD((ROW(G97)-5),7))</f>
        <v>0</v>
      </c>
      <c r="H97" s="19">
        <f ca="1">OFFSET('1课程考核方式及成绩组成'!$AD$10,(ROW(H97)-5)/7,MOD((ROW(H97)-5),7))</f>
        <v>0</v>
      </c>
      <c r="I97" s="19">
        <f ca="1">OFFSET('1课程考核方式及成绩组成'!$AL$10,(ROW(I97)-5)/7,MOD((ROW(I97)-5),7))</f>
        <v>23</v>
      </c>
      <c r="J97" s="25">
        <f ca="1">IF('0信息维护'!$I$91=0,0,E97/('0信息维护'!$I$91)*'0信息维护'!$S$26*'0信息维护'!$E$36)+IF('0信息维护'!$I$92=0,0,F97/('0信息维护'!$I$92)*'0信息维护'!$T$26*'0信息维护'!$E$36)+IF('0信息维护'!$I$93=0,0,G97/('0信息维护'!$I$93)*'0信息维护'!$U$26*'0信息维护'!$E$36)+IF('0信息维护'!$I$94=0,0,H97/('0信息维护'!$I$94)*'0信息维护'!$V$26*'0信息维护'!$E$36)+IF('0信息维护'!$I$95=0,0,I97/'0信息维护'!$I$95*'0信息维护'!$I$36)</f>
        <v>0.883333333333333</v>
      </c>
      <c r="K97" s="27"/>
      <c r="M97" s="28"/>
      <c r="N97" s="29"/>
    </row>
    <row r="98" spans="1:11">
      <c r="A98" s="20"/>
      <c r="B98" s="20"/>
      <c r="C98" s="20"/>
      <c r="D98" s="18" t="str">
        <f>'0信息维护'!A$27</f>
        <v>课程目标3</v>
      </c>
      <c r="E98" s="19">
        <f ca="1">OFFSET('1课程考核方式及成绩组成'!$F$10,(ROW(E98)-5)/7,MOD((ROW(E98)-5),7))</f>
        <v>0</v>
      </c>
      <c r="F98" s="19">
        <f ca="1">OFFSET('1课程考核方式及成绩组成'!$N$10,(ROW(F98)-5)/7,MOD((ROW(F98)-5),7))</f>
        <v>0</v>
      </c>
      <c r="G98" s="19">
        <f ca="1">OFFSET('1课程考核方式及成绩组成'!$V$10,(ROW(G98)-5)/7,MOD((ROW(G98)-5),7))</f>
        <v>0</v>
      </c>
      <c r="H98" s="19">
        <f ca="1">OFFSET('1课程考核方式及成绩组成'!$AD$10,(ROW(H98)-5)/7,MOD((ROW(H98)-5),7))</f>
        <v>0</v>
      </c>
      <c r="I98" s="19">
        <f ca="1">OFFSET('1课程考核方式及成绩组成'!$AL$10,(ROW(I98)-5)/7,MOD((ROW(I98)-5),7))</f>
        <v>22</v>
      </c>
      <c r="J98" s="25">
        <f ca="1">IF('0信息维护'!$I$97=0,0,E98/('0信息维护'!$I$97)*'0信息维护'!$E$37*'0信息维护'!$S$27)+IF('0信息维护'!$I$98=0,0,F98/('0信息维护'!$I$98)*'0信息维护'!$E$37*'0信息维护'!$T$27)+IF('0信息维护'!$I$99=0,0,G98/('0信息维护'!$I$99)*'0信息维护'!$E$37*'0信息维护'!$U$27)+IF('0信息维护'!$I$100=0,0,H98/('0信息维护'!$I$100)*'0信息维护'!$E$37*'0信息维护'!$V$27)+IF('0信息维护'!$I$101=0,0,I98/'0信息维护'!$I$101*'0信息维护'!$I$37)</f>
        <v>0.647058823529412</v>
      </c>
      <c r="K98" s="27"/>
    </row>
    <row r="99" spans="1:11">
      <c r="A99" s="20"/>
      <c r="B99" s="20"/>
      <c r="C99" s="20"/>
      <c r="D99" s="18" t="str">
        <f>'0信息维护'!A$28</f>
        <v>课程目标4</v>
      </c>
      <c r="E99" s="19">
        <f ca="1">OFFSET('1课程考核方式及成绩组成'!$F$10,(ROW(E99)-5)/7,MOD((ROW(E99)-5),7))</f>
        <v>0</v>
      </c>
      <c r="F99" s="19">
        <f ca="1">OFFSET('1课程考核方式及成绩组成'!$N$10,(ROW(F99)-5)/7,MOD((ROW(F99)-5),7))</f>
        <v>70</v>
      </c>
      <c r="G99" s="19">
        <f ca="1">OFFSET('1课程考核方式及成绩组成'!$V$10,(ROW(G99)-5)/7,MOD((ROW(G99)-5),7))</f>
        <v>0</v>
      </c>
      <c r="H99" s="19">
        <f ca="1">OFFSET('1课程考核方式及成绩组成'!$AD$10,(ROW(H99)-5)/7,MOD((ROW(H99)-5),7))</f>
        <v>0</v>
      </c>
      <c r="I99" s="19">
        <f ca="1">OFFSET('1课程考核方式及成绩组成'!$AL$10,(ROW(I99)-5)/7,MOD((ROW(I99)-5),7))</f>
        <v>0</v>
      </c>
      <c r="J99" s="25">
        <f ca="1">IF('0信息维护'!$I$103=0,0,E99/('0信息维护'!$I$103)*'0信息维护'!$E$38*'0信息维护'!$S$28)+IF('0信息维护'!$I$104=0,0,F99/('0信息维护'!$I$104)*'0信息维护'!$E$38*'0信息维护'!$T$28)+IF('0信息维护'!$I$105=0,0,G99/('0信息维护'!$I$105)*'0信息维护'!$E$38*'0信息维护'!$U$28)+IF('0信息维护'!$I$106=0,0,H99/('0信息维护'!$I$106)*'0信息维护'!$E$38*'0信息维护'!$V$28)+IF('0信息维护'!$I$107=0,0,I99/'0信息维护'!$I$107*'0信息维护'!$I$38)</f>
        <v>0.7</v>
      </c>
      <c r="K99" s="27"/>
    </row>
    <row r="100" spans="1:11">
      <c r="A100" s="20"/>
      <c r="B100" s="20"/>
      <c r="C100" s="20"/>
      <c r="D100" s="18" t="str">
        <f>'0信息维护'!A$29</f>
        <v>课程目标5</v>
      </c>
      <c r="E100" s="19">
        <f ca="1">OFFSET('1课程考核方式及成绩组成'!$F$10,(ROW(E100)-5)/7,MOD((ROW(E100)-5),7))</f>
        <v>0</v>
      </c>
      <c r="F100" s="19">
        <f ca="1">OFFSET('1课程考核方式及成绩组成'!$N$10,(ROW(F100)-5)/7,MOD((ROW(F100)-5),7))</f>
        <v>0</v>
      </c>
      <c r="G100" s="19">
        <f ca="1">OFFSET('1课程考核方式及成绩组成'!$V$10,(ROW(G100)-5)/7,MOD((ROW(G100)-5),7))</f>
        <v>0</v>
      </c>
      <c r="H100" s="19">
        <f ca="1">OFFSET('1课程考核方式及成绩组成'!$AD$10,(ROW(H100)-5)/7,MOD((ROW(H100)-5),7))</f>
        <v>0</v>
      </c>
      <c r="I100" s="19">
        <f ca="1">OFFSET('1课程考核方式及成绩组成'!$AL$10,(ROW(I100)-5)/7,MOD((ROW(I100)-5),7))</f>
        <v>0</v>
      </c>
      <c r="J100" s="25">
        <f ca="1">IF('0信息维护'!$I$109=0,0,E100/('0信息维护'!$I$109)*'0信息维护'!$E$39*'0信息维护'!$S$29)+IF('0信息维护'!$I$110=0,0,F100/('0信息维护'!$I$110)*'0信息维护'!$E$39*'0信息维护'!$T$29)+IF('0信息维护'!$I$111=0,0,G100/('0信息维护'!$I$111)*'0信息维护'!$E$39*'0信息维护'!$U$29)+IF('0信息维护'!$I$112=0,0,H100/('0信息维护'!$I$112)*'0信息维护'!$E$39*'0信息维护'!$V$29)+IF('0信息维护'!$I$113=0,0,I100/'0信息维护'!$I$113*'0信息维护'!$I$39)</f>
        <v>0</v>
      </c>
      <c r="K100" s="27"/>
    </row>
    <row r="101" spans="1:11">
      <c r="A101" s="20"/>
      <c r="B101" s="20"/>
      <c r="C101" s="20"/>
      <c r="D101" s="18" t="str">
        <f>'0信息维护'!A$30</f>
        <v>课程目标6</v>
      </c>
      <c r="E101" s="19">
        <f ca="1">OFFSET('1课程考核方式及成绩组成'!$F$10,(ROW(E101)-5)/7,MOD((ROW(E101)-5),7))</f>
        <v>0</v>
      </c>
      <c r="F101" s="19">
        <f ca="1">OFFSET('1课程考核方式及成绩组成'!$N$10,(ROW(F101)-5)/7,MOD((ROW(F101)-5),7))</f>
        <v>0</v>
      </c>
      <c r="G101" s="19">
        <f ca="1">OFFSET('1课程考核方式及成绩组成'!$V$10,(ROW(G101)-5)/7,MOD((ROW(G101)-5),7))</f>
        <v>0</v>
      </c>
      <c r="H101" s="19">
        <f ca="1">OFFSET('1课程考核方式及成绩组成'!$AD$10,(ROW(H101)-5)/7,MOD((ROW(H101)-5),7))</f>
        <v>0</v>
      </c>
      <c r="I101" s="19">
        <f ca="1">OFFSET('1课程考核方式及成绩组成'!$AL$10,(ROW(I101)-5)/7,MOD((ROW(I101)-5),7))</f>
        <v>0</v>
      </c>
      <c r="J101" s="25">
        <f ca="1">IF('0信息维护'!$I$115=0,0,E101/('0信息维护'!$I$115)*'0信息维护'!$E$40*'0信息维护'!$S$30)+IF('0信息维护'!$I$116=0,0,F101/('0信息维护'!$I$116)*'0信息维护'!$E$40*'0信息维护'!$T$30)+IF('0信息维护'!$I$117=0,0,G101/('0信息维护'!$I$117)*'0信息维护'!$E$40*'0信息维护'!$U$30)+IF('0信息维护'!$I$118=0,0,H101/('0信息维护'!$I$118)*'0信息维护'!$E$40*'0信息维护'!$V$30)+IF('0信息维护'!$I$119=0,0,I101/'0信息维护'!$I$119*'0信息维护'!$I$40)</f>
        <v>0</v>
      </c>
      <c r="K101" s="27"/>
    </row>
    <row r="102" spans="1:11">
      <c r="A102" s="21"/>
      <c r="B102" s="21"/>
      <c r="C102" s="21"/>
      <c r="D102" s="18" t="str">
        <f>'0信息维护'!A$31</f>
        <v>课程目标7</v>
      </c>
      <c r="E102" s="19">
        <f ca="1">OFFSET('1课程考核方式及成绩组成'!$F$10,(ROW(E102)-5)/7,MOD((ROW(E102)-5),7))</f>
        <v>0</v>
      </c>
      <c r="F102" s="19">
        <f ca="1">OFFSET('1课程考核方式及成绩组成'!$N$10,(ROW(F102)-5)/7,MOD((ROW(F102)-5),7))</f>
        <v>0</v>
      </c>
      <c r="G102" s="19">
        <f ca="1">OFFSET('1课程考核方式及成绩组成'!$V$10,(ROW(G102)-5)/7,MOD((ROW(G102)-5),7))</f>
        <v>0</v>
      </c>
      <c r="H102" s="19">
        <f ca="1">OFFSET('1课程考核方式及成绩组成'!$AD$10,(ROW(H102)-5)/7,MOD((ROW(H102)-5),7))</f>
        <v>0</v>
      </c>
      <c r="I102" s="19">
        <f ca="1">OFFSET('1课程考核方式及成绩组成'!$AL$10,(ROW(I102)-5)/7,MOD((ROW(I102)-5),7))</f>
        <v>0</v>
      </c>
      <c r="J102" s="25">
        <f ca="1">IF('0信息维护'!$I$121=0,0,E102/('0信息维护'!$I$121)*'0信息维护'!$E$41*'0信息维护'!$S$31)+IF('0信息维护'!$I$122=0,0,F102/('0信息维护'!$I$122)*'0信息维护'!$E$41*'0信息维护'!$T$31)+IF('0信息维护'!$I$123=0,0,G102/('0信息维护'!$I$123)*'0信息维护'!$E$41*'0信息维护'!$U$31)+IF('0信息维护'!$I$124=0,0,H102/('0信息维护'!$I$124)*'0信息维护'!$E$41*'0信息维护'!$T$31)+IF('0信息维护'!$I$125=0,0,I102/'0信息维护'!$I$125*'0信息维护'!$I$41)</f>
        <v>0</v>
      </c>
      <c r="K102" s="30"/>
    </row>
    <row r="103" spans="1:11">
      <c r="A103" s="17">
        <v>15</v>
      </c>
      <c r="B103" s="17" t="str">
        <f ca="1">OFFSET('1课程考核方式及成绩组成'!$D$10,(ROW(B103)-5)/7,)</f>
        <v>190301011</v>
      </c>
      <c r="C103" s="17" t="str">
        <f ca="1">OFFSET('1课程考核方式及成绩组成'!$E$10,(ROW(C103)-5)/7,)</f>
        <v>何晨</v>
      </c>
      <c r="D103" s="18" t="str">
        <f>'0信息维护'!A$25</f>
        <v>课程目标1</v>
      </c>
      <c r="E103" s="19">
        <f ca="1">OFFSET('1课程考核方式及成绩组成'!$F$10,(ROW(E103)-5)/7,MOD((ROW(E103)-5),7))</f>
        <v>30</v>
      </c>
      <c r="F103" s="19">
        <f ca="1">OFFSET('1课程考核方式及成绩组成'!$N$10,(ROW(F103)-5)/7,MOD((ROW(F103)-5),7))</f>
        <v>0</v>
      </c>
      <c r="G103" s="19">
        <f ca="1">OFFSET('1课程考核方式及成绩组成'!$V$10,(ROW(G103)-5)/7,MOD((ROW(G103)-5),7))</f>
        <v>0</v>
      </c>
      <c r="H103" s="19">
        <f ca="1">OFFSET('1课程考核方式及成绩组成'!$AD$10,(ROW(H103)-5)/7,MOD((ROW(H103)-5),7))</f>
        <v>0</v>
      </c>
      <c r="I103" s="19">
        <f ca="1">OFFSET('1课程考核方式及成绩组成'!$AL$10,(ROW(I103)-5)/7,MOD((ROW(I103)-5),7))</f>
        <v>30</v>
      </c>
      <c r="J103" s="25">
        <f ca="1">IF('0信息维护'!$I$85=0,0,E103/('0信息维护'!$I$85)*'0信息维护'!$E$35*'0信息维护'!$S$25)+IF('0信息维护'!$I$86=0,0,F103/('0信息维护'!$I$86)*'0信息维护'!$E$35*'0信息维护'!$T$25)+IF('0信息维护'!$I$87=0,0,G103/('0信息维护'!$I$87)*'0信息维护'!$E$35*'0信息维护'!$U$25)+IF('0信息维护'!$I$88=0,0,H103/('0信息维护'!$I$88)*'0信息维护'!$E$35*'0信息维护'!$V$25)+IF('0信息维护'!$I$89=0,0,I103/'0信息维护'!$I$89*'0信息维护'!$I$35)</f>
        <v>0.791666666666667</v>
      </c>
      <c r="K103" s="26">
        <f ca="1">J103*'0信息维护'!$D$132+J104*'0信息维护'!$D$133+J105*'0信息维护'!$D$134+J106*'0信息维护'!$D$135+J107*'0信息维护'!$D$136+J108*'0信息维护'!$D$137+J109*'0信息维护'!$D$138</f>
        <v>0.801220588235294</v>
      </c>
    </row>
    <row r="104" spans="1:14">
      <c r="A104" s="20"/>
      <c r="B104" s="20"/>
      <c r="C104" s="20"/>
      <c r="D104" s="18" t="str">
        <f>'0信息维护'!A$26</f>
        <v>课程目标2</v>
      </c>
      <c r="E104" s="19">
        <f ca="1">OFFSET('1课程考核方式及成绩组成'!$F$10,(ROW(E104)-5)/7,MOD((ROW(E104)-5),7))</f>
        <v>50</v>
      </c>
      <c r="F104" s="19">
        <f ca="1">OFFSET('1课程考核方式及成绩组成'!$N$10,(ROW(F104)-5)/7,MOD((ROW(F104)-5),7))</f>
        <v>0</v>
      </c>
      <c r="G104" s="19">
        <f ca="1">OFFSET('1课程考核方式及成绩组成'!$V$10,(ROW(G104)-5)/7,MOD((ROW(G104)-5),7))</f>
        <v>0</v>
      </c>
      <c r="H104" s="19">
        <f ca="1">OFFSET('1课程考核方式及成绩组成'!$AD$10,(ROW(H104)-5)/7,MOD((ROW(H104)-5),7))</f>
        <v>0</v>
      </c>
      <c r="I104" s="19">
        <f ca="1">OFFSET('1课程考核方式及成绩组成'!$AL$10,(ROW(I104)-5)/7,MOD((ROW(I104)-5),7))</f>
        <v>24</v>
      </c>
      <c r="J104" s="25">
        <f ca="1">IF('0信息维护'!$I$91=0,0,E104/('0信息维护'!$I$91)*'0信息维护'!$S$26*'0信息维护'!$E$36)+IF('0信息维护'!$I$92=0,0,F104/('0信息维护'!$I$92)*'0信息维护'!$T$26*'0信息维护'!$E$36)+IF('0信息维护'!$I$93=0,0,G104/('0信息维护'!$I$93)*'0信息维护'!$U$26*'0信息维护'!$E$36)+IF('0信息维护'!$I$94=0,0,H104/('0信息维护'!$I$94)*'0信息维护'!$V$26*'0信息维护'!$E$36)+IF('0信息维护'!$I$95=0,0,I104/'0信息维护'!$I$95*'0信息维护'!$I$36)</f>
        <v>0.816666666666667</v>
      </c>
      <c r="K104" s="27"/>
      <c r="M104" s="28"/>
      <c r="N104" s="29"/>
    </row>
    <row r="105" spans="1:11">
      <c r="A105" s="20"/>
      <c r="B105" s="20"/>
      <c r="C105" s="20"/>
      <c r="D105" s="18" t="str">
        <f>'0信息维护'!A$27</f>
        <v>课程目标3</v>
      </c>
      <c r="E105" s="19">
        <f ca="1">OFFSET('1课程考核方式及成绩组成'!$F$10,(ROW(E105)-5)/7,MOD((ROW(E105)-5),7))</f>
        <v>0</v>
      </c>
      <c r="F105" s="19">
        <f ca="1">OFFSET('1课程考核方式及成绩组成'!$N$10,(ROW(F105)-5)/7,MOD((ROW(F105)-5),7))</f>
        <v>0</v>
      </c>
      <c r="G105" s="19">
        <f ca="1">OFFSET('1课程考核方式及成绩组成'!$V$10,(ROW(G105)-5)/7,MOD((ROW(G105)-5),7))</f>
        <v>0</v>
      </c>
      <c r="H105" s="19">
        <f ca="1">OFFSET('1课程考核方式及成绩组成'!$AD$10,(ROW(H105)-5)/7,MOD((ROW(H105)-5),7))</f>
        <v>0</v>
      </c>
      <c r="I105" s="19">
        <f ca="1">OFFSET('1课程考核方式及成绩组成'!$AL$10,(ROW(I105)-5)/7,MOD((ROW(I105)-5),7))</f>
        <v>24</v>
      </c>
      <c r="J105" s="25">
        <f ca="1">IF('0信息维护'!$I$97=0,0,E105/('0信息维护'!$I$97)*'0信息维护'!$E$37*'0信息维护'!$S$27)+IF('0信息维护'!$I$98=0,0,F105/('0信息维护'!$I$98)*'0信息维护'!$E$37*'0信息维护'!$T$27)+IF('0信息维护'!$I$99=0,0,G105/('0信息维护'!$I$99)*'0信息维护'!$E$37*'0信息维护'!$U$27)+IF('0信息维护'!$I$100=0,0,H105/('0信息维护'!$I$100)*'0信息维护'!$E$37*'0信息维护'!$V$27)+IF('0信息维护'!$I$101=0,0,I105/'0信息维护'!$I$101*'0信息维护'!$I$37)</f>
        <v>0.705882352941177</v>
      </c>
      <c r="K105" s="27"/>
    </row>
    <row r="106" spans="1:11">
      <c r="A106" s="20"/>
      <c r="B106" s="20"/>
      <c r="C106" s="20"/>
      <c r="D106" s="18" t="str">
        <f>'0信息维护'!A$28</f>
        <v>课程目标4</v>
      </c>
      <c r="E106" s="19">
        <f ca="1">OFFSET('1课程考核方式及成绩组成'!$F$10,(ROW(E106)-5)/7,MOD((ROW(E106)-5),7))</f>
        <v>0</v>
      </c>
      <c r="F106" s="19">
        <f ca="1">OFFSET('1课程考核方式及成绩组成'!$N$10,(ROW(F106)-5)/7,MOD((ROW(F106)-5),7))</f>
        <v>87</v>
      </c>
      <c r="G106" s="19">
        <f ca="1">OFFSET('1课程考核方式及成绩组成'!$V$10,(ROW(G106)-5)/7,MOD((ROW(G106)-5),7))</f>
        <v>0</v>
      </c>
      <c r="H106" s="19">
        <f ca="1">OFFSET('1课程考核方式及成绩组成'!$AD$10,(ROW(H106)-5)/7,MOD((ROW(H106)-5),7))</f>
        <v>0</v>
      </c>
      <c r="I106" s="19">
        <f ca="1">OFFSET('1课程考核方式及成绩组成'!$AL$10,(ROW(I106)-5)/7,MOD((ROW(I106)-5),7))</f>
        <v>0</v>
      </c>
      <c r="J106" s="25">
        <f ca="1">IF('0信息维护'!$I$103=0,0,E106/('0信息维护'!$I$103)*'0信息维护'!$E$38*'0信息维护'!$S$28)+IF('0信息维护'!$I$104=0,0,F106/('0信息维护'!$I$104)*'0信息维护'!$E$38*'0信息维护'!$T$28)+IF('0信息维护'!$I$105=0,0,G106/('0信息维护'!$I$105)*'0信息维护'!$E$38*'0信息维护'!$U$28)+IF('0信息维护'!$I$106=0,0,H106/('0信息维护'!$I$106)*'0信息维护'!$E$38*'0信息维护'!$V$28)+IF('0信息维护'!$I$107=0,0,I106/'0信息维护'!$I$107*'0信息维护'!$I$38)</f>
        <v>0.87</v>
      </c>
      <c r="K106" s="27"/>
    </row>
    <row r="107" spans="1:11">
      <c r="A107" s="20"/>
      <c r="B107" s="20"/>
      <c r="C107" s="20"/>
      <c r="D107" s="18" t="str">
        <f>'0信息维护'!A$29</f>
        <v>课程目标5</v>
      </c>
      <c r="E107" s="19">
        <f ca="1">OFFSET('1课程考核方式及成绩组成'!$F$10,(ROW(E107)-5)/7,MOD((ROW(E107)-5),7))</f>
        <v>0</v>
      </c>
      <c r="F107" s="19">
        <f ca="1">OFFSET('1课程考核方式及成绩组成'!$N$10,(ROW(F107)-5)/7,MOD((ROW(F107)-5),7))</f>
        <v>0</v>
      </c>
      <c r="G107" s="19">
        <f ca="1">OFFSET('1课程考核方式及成绩组成'!$V$10,(ROW(G107)-5)/7,MOD((ROW(G107)-5),7))</f>
        <v>0</v>
      </c>
      <c r="H107" s="19">
        <f ca="1">OFFSET('1课程考核方式及成绩组成'!$AD$10,(ROW(H107)-5)/7,MOD((ROW(H107)-5),7))</f>
        <v>0</v>
      </c>
      <c r="I107" s="19">
        <f ca="1">OFFSET('1课程考核方式及成绩组成'!$AL$10,(ROW(I107)-5)/7,MOD((ROW(I107)-5),7))</f>
        <v>0</v>
      </c>
      <c r="J107" s="25">
        <f ca="1">IF('0信息维护'!$I$109=0,0,E107/('0信息维护'!$I$109)*'0信息维护'!$E$39*'0信息维护'!$S$29)+IF('0信息维护'!$I$110=0,0,F107/('0信息维护'!$I$110)*'0信息维护'!$E$39*'0信息维护'!$T$29)+IF('0信息维护'!$I$111=0,0,G107/('0信息维护'!$I$111)*'0信息维护'!$E$39*'0信息维护'!$U$29)+IF('0信息维护'!$I$112=0,0,H107/('0信息维护'!$I$112)*'0信息维护'!$E$39*'0信息维护'!$V$29)+IF('0信息维护'!$I$113=0,0,I107/'0信息维护'!$I$113*'0信息维护'!$I$39)</f>
        <v>0</v>
      </c>
      <c r="K107" s="27"/>
    </row>
    <row r="108" spans="1:11">
      <c r="A108" s="20"/>
      <c r="B108" s="20"/>
      <c r="C108" s="20"/>
      <c r="D108" s="18" t="str">
        <f>'0信息维护'!A$30</f>
        <v>课程目标6</v>
      </c>
      <c r="E108" s="19">
        <f ca="1">OFFSET('1课程考核方式及成绩组成'!$F$10,(ROW(E108)-5)/7,MOD((ROW(E108)-5),7))</f>
        <v>0</v>
      </c>
      <c r="F108" s="19">
        <f ca="1">OFFSET('1课程考核方式及成绩组成'!$N$10,(ROW(F108)-5)/7,MOD((ROW(F108)-5),7))</f>
        <v>0</v>
      </c>
      <c r="G108" s="19">
        <f ca="1">OFFSET('1课程考核方式及成绩组成'!$V$10,(ROW(G108)-5)/7,MOD((ROW(G108)-5),7))</f>
        <v>0</v>
      </c>
      <c r="H108" s="19">
        <f ca="1">OFFSET('1课程考核方式及成绩组成'!$AD$10,(ROW(H108)-5)/7,MOD((ROW(H108)-5),7))</f>
        <v>0</v>
      </c>
      <c r="I108" s="19">
        <f ca="1">OFFSET('1课程考核方式及成绩组成'!$AL$10,(ROW(I108)-5)/7,MOD((ROW(I108)-5),7))</f>
        <v>0</v>
      </c>
      <c r="J108" s="25">
        <f ca="1">IF('0信息维护'!$I$115=0,0,E108/('0信息维护'!$I$115)*'0信息维护'!$E$40*'0信息维护'!$S$30)+IF('0信息维护'!$I$116=0,0,F108/('0信息维护'!$I$116)*'0信息维护'!$E$40*'0信息维护'!$T$30)+IF('0信息维护'!$I$117=0,0,G108/('0信息维护'!$I$117)*'0信息维护'!$E$40*'0信息维护'!$U$30)+IF('0信息维护'!$I$118=0,0,H108/('0信息维护'!$I$118)*'0信息维护'!$E$40*'0信息维护'!$V$30)+IF('0信息维护'!$I$119=0,0,I108/'0信息维护'!$I$119*'0信息维护'!$I$40)</f>
        <v>0</v>
      </c>
      <c r="K108" s="27"/>
    </row>
    <row r="109" spans="1:11">
      <c r="A109" s="21"/>
      <c r="B109" s="21"/>
      <c r="C109" s="21"/>
      <c r="D109" s="18" t="str">
        <f>'0信息维护'!A$31</f>
        <v>课程目标7</v>
      </c>
      <c r="E109" s="19">
        <f ca="1">OFFSET('1课程考核方式及成绩组成'!$F$10,(ROW(E109)-5)/7,MOD((ROW(E109)-5),7))</f>
        <v>0</v>
      </c>
      <c r="F109" s="19">
        <f ca="1">OFFSET('1课程考核方式及成绩组成'!$N$10,(ROW(F109)-5)/7,MOD((ROW(F109)-5),7))</f>
        <v>0</v>
      </c>
      <c r="G109" s="19">
        <f ca="1">OFFSET('1课程考核方式及成绩组成'!$V$10,(ROW(G109)-5)/7,MOD((ROW(G109)-5),7))</f>
        <v>0</v>
      </c>
      <c r="H109" s="19">
        <f ca="1">OFFSET('1课程考核方式及成绩组成'!$AD$10,(ROW(H109)-5)/7,MOD((ROW(H109)-5),7))</f>
        <v>0</v>
      </c>
      <c r="I109" s="19">
        <f ca="1">OFFSET('1课程考核方式及成绩组成'!$AL$10,(ROW(I109)-5)/7,MOD((ROW(I109)-5),7))</f>
        <v>0</v>
      </c>
      <c r="J109" s="25">
        <f ca="1">IF('0信息维护'!$I$121=0,0,E109/('0信息维护'!$I$121)*'0信息维护'!$E$41*'0信息维护'!$S$31)+IF('0信息维护'!$I$122=0,0,F109/('0信息维护'!$I$122)*'0信息维护'!$E$41*'0信息维护'!$T$31)+IF('0信息维护'!$I$123=0,0,G109/('0信息维护'!$I$123)*'0信息维护'!$E$41*'0信息维护'!$U$31)+IF('0信息维护'!$I$124=0,0,H109/('0信息维护'!$I$124)*'0信息维护'!$E$41*'0信息维护'!$T$31)+IF('0信息维护'!$I$125=0,0,I109/'0信息维护'!$I$125*'0信息维护'!$I$41)</f>
        <v>0</v>
      </c>
      <c r="K109" s="30"/>
    </row>
    <row r="110" spans="1:11">
      <c r="A110" s="17">
        <v>16</v>
      </c>
      <c r="B110" s="17" t="str">
        <f ca="1">OFFSET('1课程考核方式及成绩组成'!$D$10,(ROW(B110)-5)/7,)</f>
        <v>190301012</v>
      </c>
      <c r="C110" s="17" t="str">
        <f ca="1">OFFSET('1课程考核方式及成绩组成'!$E$10,(ROW(C110)-5)/7,)</f>
        <v>尹昊</v>
      </c>
      <c r="D110" s="18" t="str">
        <f>'0信息维护'!A$25</f>
        <v>课程目标1</v>
      </c>
      <c r="E110" s="19">
        <f ca="1">OFFSET('1课程考核方式及成绩组成'!$F$10,(ROW(E110)-5)/7,MOD((ROW(E110)-5),7))</f>
        <v>40</v>
      </c>
      <c r="F110" s="19">
        <f ca="1">OFFSET('1课程考核方式及成绩组成'!$N$10,(ROW(F110)-5)/7,MOD((ROW(F110)-5),7))</f>
        <v>0</v>
      </c>
      <c r="G110" s="19">
        <f ca="1">OFFSET('1课程考核方式及成绩组成'!$V$10,(ROW(G110)-5)/7,MOD((ROW(G110)-5),7))</f>
        <v>0</v>
      </c>
      <c r="H110" s="19">
        <f ca="1">OFFSET('1课程考核方式及成绩组成'!$AD$10,(ROW(H110)-5)/7,MOD((ROW(H110)-5),7))</f>
        <v>0</v>
      </c>
      <c r="I110" s="19">
        <f ca="1">OFFSET('1课程考核方式及成绩组成'!$AL$10,(ROW(I110)-5)/7,MOD((ROW(I110)-5),7))</f>
        <v>32</v>
      </c>
      <c r="J110" s="25">
        <f ca="1">IF('0信息维护'!$I$85=0,0,E110/('0信息维护'!$I$85)*'0信息维护'!$E$35*'0信息维护'!$S$25)+IF('0信息维护'!$I$86=0,0,F110/('0信息维护'!$I$86)*'0信息维护'!$E$35*'0信息维护'!$T$25)+IF('0信息维护'!$I$87=0,0,G110/('0信息维护'!$I$87)*'0信息维护'!$E$35*'0信息维护'!$U$25)+IF('0信息维护'!$I$88=0,0,H110/('0信息维护'!$I$88)*'0信息维护'!$E$35*'0信息维护'!$V$25)+IF('0信息维护'!$I$89=0,0,I110/'0信息维护'!$I$89*'0信息维护'!$I$35)</f>
        <v>0.944444444444444</v>
      </c>
      <c r="K110" s="26">
        <f ca="1">J110*'0信息维护'!$D$132+J111*'0信息维护'!$D$133+J112*'0信息维护'!$D$134+J113*'0信息维护'!$D$135+J114*'0信息维护'!$D$136+J115*'0信息维护'!$D$137+J116*'0信息维护'!$D$138</f>
        <v>0.794725490196078</v>
      </c>
    </row>
    <row r="111" spans="1:14">
      <c r="A111" s="20"/>
      <c r="B111" s="20"/>
      <c r="C111" s="20"/>
      <c r="D111" s="18" t="str">
        <f>'0信息维护'!A$26</f>
        <v>课程目标2</v>
      </c>
      <c r="E111" s="19">
        <f ca="1">OFFSET('1课程考核方式及成绩组成'!$F$10,(ROW(E111)-5)/7,MOD((ROW(E111)-5),7))</f>
        <v>60</v>
      </c>
      <c r="F111" s="19">
        <f ca="1">OFFSET('1课程考核方式及成绩组成'!$N$10,(ROW(F111)-5)/7,MOD((ROW(F111)-5),7))</f>
        <v>0</v>
      </c>
      <c r="G111" s="19">
        <f ca="1">OFFSET('1课程考核方式及成绩组成'!$V$10,(ROW(G111)-5)/7,MOD((ROW(G111)-5),7))</f>
        <v>0</v>
      </c>
      <c r="H111" s="19">
        <f ca="1">OFFSET('1课程考核方式及成绩组成'!$AD$10,(ROW(H111)-5)/7,MOD((ROW(H111)-5),7))</f>
        <v>0</v>
      </c>
      <c r="I111" s="19">
        <f ca="1">OFFSET('1课程考核方式及成绩组成'!$AL$10,(ROW(I111)-5)/7,MOD((ROW(I111)-5),7))</f>
        <v>22</v>
      </c>
      <c r="J111" s="25">
        <f ca="1">IF('0信息维护'!$I$91=0,0,E111/('0信息维护'!$I$91)*'0信息维护'!$S$26*'0信息维护'!$E$36)+IF('0信息维护'!$I$92=0,0,F111/('0信息维护'!$I$92)*'0信息维护'!$T$26*'0信息维护'!$E$36)+IF('0信息维护'!$I$93=0,0,G111/('0信息维护'!$I$93)*'0信息维护'!$U$26*'0信息维护'!$E$36)+IF('0信息维护'!$I$94=0,0,H111/('0信息维护'!$I$94)*'0信息维护'!$V$26*'0信息维护'!$E$36)+IF('0信息维护'!$I$95=0,0,I111/'0信息维护'!$I$95*'0信息维护'!$I$36)</f>
        <v>0.866666666666667</v>
      </c>
      <c r="K111" s="27"/>
      <c r="N111" s="29"/>
    </row>
    <row r="112" spans="1:11">
      <c r="A112" s="20"/>
      <c r="B112" s="20"/>
      <c r="C112" s="20"/>
      <c r="D112" s="18" t="str">
        <f>'0信息维护'!A$27</f>
        <v>课程目标3</v>
      </c>
      <c r="E112" s="19">
        <f ca="1">OFFSET('1课程考核方式及成绩组成'!$F$10,(ROW(E112)-5)/7,MOD((ROW(E112)-5),7))</f>
        <v>0</v>
      </c>
      <c r="F112" s="19">
        <f ca="1">OFFSET('1课程考核方式及成绩组成'!$N$10,(ROW(F112)-5)/7,MOD((ROW(F112)-5),7))</f>
        <v>0</v>
      </c>
      <c r="G112" s="19">
        <f ca="1">OFFSET('1课程考核方式及成绩组成'!$V$10,(ROW(G112)-5)/7,MOD((ROW(G112)-5),7))</f>
        <v>0</v>
      </c>
      <c r="H112" s="19">
        <f ca="1">OFFSET('1课程考核方式及成绩组成'!$AD$10,(ROW(H112)-5)/7,MOD((ROW(H112)-5),7))</f>
        <v>0</v>
      </c>
      <c r="I112" s="19">
        <f ca="1">OFFSET('1课程考核方式及成绩组成'!$AL$10,(ROW(I112)-5)/7,MOD((ROW(I112)-5),7))</f>
        <v>20</v>
      </c>
      <c r="J112" s="25">
        <f ca="1">IF('0信息维护'!$I$97=0,0,E112/('0信息维护'!$I$97)*'0信息维护'!$E$37*'0信息维护'!$S$27)+IF('0信息维护'!$I$98=0,0,F112/('0信息维护'!$I$98)*'0信息维护'!$E$37*'0信息维护'!$T$27)+IF('0信息维护'!$I$99=0,0,G112/('0信息维护'!$I$99)*'0信息维护'!$E$37*'0信息维护'!$U$27)+IF('0信息维护'!$I$100=0,0,H112/('0信息维护'!$I$100)*'0信息维护'!$E$37*'0信息维护'!$V$27)+IF('0信息维护'!$I$101=0,0,I112/'0信息维护'!$I$101*'0信息维护'!$I$37)</f>
        <v>0.588235294117647</v>
      </c>
      <c r="K112" s="27"/>
    </row>
    <row r="113" spans="1:11">
      <c r="A113" s="20"/>
      <c r="B113" s="20"/>
      <c r="C113" s="20"/>
      <c r="D113" s="18" t="str">
        <f>'0信息维护'!A$28</f>
        <v>课程目标4</v>
      </c>
      <c r="E113" s="19">
        <f ca="1">OFFSET('1课程考核方式及成绩组成'!$F$10,(ROW(E113)-5)/7,MOD((ROW(E113)-5),7))</f>
        <v>0</v>
      </c>
      <c r="F113" s="19">
        <f ca="1">OFFSET('1课程考核方式及成绩组成'!$N$10,(ROW(F113)-5)/7,MOD((ROW(F113)-5),7))</f>
        <v>82</v>
      </c>
      <c r="G113" s="19">
        <f ca="1">OFFSET('1课程考核方式及成绩组成'!$V$10,(ROW(G113)-5)/7,MOD((ROW(G113)-5),7))</f>
        <v>0</v>
      </c>
      <c r="H113" s="19">
        <f ca="1">OFFSET('1课程考核方式及成绩组成'!$AD$10,(ROW(H113)-5)/7,MOD((ROW(H113)-5),7))</f>
        <v>0</v>
      </c>
      <c r="I113" s="19">
        <f ca="1">OFFSET('1课程考核方式及成绩组成'!$AL$10,(ROW(I113)-5)/7,MOD((ROW(I113)-5),7))</f>
        <v>0</v>
      </c>
      <c r="J113" s="25">
        <f ca="1">IF('0信息维护'!$I$103=0,0,E113/('0信息维护'!$I$103)*'0信息维护'!$E$38*'0信息维护'!$S$28)+IF('0信息维护'!$I$104=0,0,F113/('0信息维护'!$I$104)*'0信息维护'!$E$38*'0信息维护'!$T$28)+IF('0信息维护'!$I$105=0,0,G113/('0信息维护'!$I$105)*'0信息维护'!$E$38*'0信息维护'!$U$28)+IF('0信息维护'!$I$106=0,0,H113/('0信息维护'!$I$106)*'0信息维护'!$E$38*'0信息维护'!$V$28)+IF('0信息维护'!$I$107=0,0,I113/'0信息维护'!$I$107*'0信息维护'!$I$38)</f>
        <v>0.82</v>
      </c>
      <c r="K113" s="27"/>
    </row>
    <row r="114" spans="1:11">
      <c r="A114" s="20"/>
      <c r="B114" s="20"/>
      <c r="C114" s="20"/>
      <c r="D114" s="18" t="str">
        <f>'0信息维护'!A$29</f>
        <v>课程目标5</v>
      </c>
      <c r="E114" s="19">
        <f ca="1">OFFSET('1课程考核方式及成绩组成'!$F$10,(ROW(E114)-5)/7,MOD((ROW(E114)-5),7))</f>
        <v>0</v>
      </c>
      <c r="F114" s="19">
        <f ca="1">OFFSET('1课程考核方式及成绩组成'!$N$10,(ROW(F114)-5)/7,MOD((ROW(F114)-5),7))</f>
        <v>0</v>
      </c>
      <c r="G114" s="19">
        <f ca="1">OFFSET('1课程考核方式及成绩组成'!$V$10,(ROW(G114)-5)/7,MOD((ROW(G114)-5),7))</f>
        <v>0</v>
      </c>
      <c r="H114" s="19">
        <f ca="1">OFFSET('1课程考核方式及成绩组成'!$AD$10,(ROW(H114)-5)/7,MOD((ROW(H114)-5),7))</f>
        <v>0</v>
      </c>
      <c r="I114" s="19">
        <f ca="1">OFFSET('1课程考核方式及成绩组成'!$AL$10,(ROW(I114)-5)/7,MOD((ROW(I114)-5),7))</f>
        <v>0</v>
      </c>
      <c r="J114" s="25">
        <f ca="1">IF('0信息维护'!$I$109=0,0,E114/('0信息维护'!$I$109)*'0信息维护'!$E$39*'0信息维护'!$S$29)+IF('0信息维护'!$I$110=0,0,F114/('0信息维护'!$I$110)*'0信息维护'!$E$39*'0信息维护'!$T$29)+IF('0信息维护'!$I$111=0,0,G114/('0信息维护'!$I$111)*'0信息维护'!$E$39*'0信息维护'!$U$29)+IF('0信息维护'!$I$112=0,0,H114/('0信息维护'!$I$112)*'0信息维护'!$E$39*'0信息维护'!$V$29)+IF('0信息维护'!$I$113=0,0,I114/'0信息维护'!$I$113*'0信息维护'!$I$39)</f>
        <v>0</v>
      </c>
      <c r="K114" s="27"/>
    </row>
    <row r="115" spans="1:11">
      <c r="A115" s="20"/>
      <c r="B115" s="20"/>
      <c r="C115" s="20"/>
      <c r="D115" s="18" t="str">
        <f>'0信息维护'!A$30</f>
        <v>课程目标6</v>
      </c>
      <c r="E115" s="19">
        <f ca="1">OFFSET('1课程考核方式及成绩组成'!$F$10,(ROW(E115)-5)/7,MOD((ROW(E115)-5),7))</f>
        <v>0</v>
      </c>
      <c r="F115" s="19">
        <f ca="1">OFFSET('1课程考核方式及成绩组成'!$N$10,(ROW(F115)-5)/7,MOD((ROW(F115)-5),7))</f>
        <v>0</v>
      </c>
      <c r="G115" s="19">
        <f ca="1">OFFSET('1课程考核方式及成绩组成'!$V$10,(ROW(G115)-5)/7,MOD((ROW(G115)-5),7))</f>
        <v>0</v>
      </c>
      <c r="H115" s="19">
        <f ca="1">OFFSET('1课程考核方式及成绩组成'!$AD$10,(ROW(H115)-5)/7,MOD((ROW(H115)-5),7))</f>
        <v>0</v>
      </c>
      <c r="I115" s="19">
        <f ca="1">OFFSET('1课程考核方式及成绩组成'!$AL$10,(ROW(I115)-5)/7,MOD((ROW(I115)-5),7))</f>
        <v>0</v>
      </c>
      <c r="J115" s="25">
        <f ca="1">IF('0信息维护'!$I$115=0,0,E115/('0信息维护'!$I$115)*'0信息维护'!$E$40*'0信息维护'!$S$30)+IF('0信息维护'!$I$116=0,0,F115/('0信息维护'!$I$116)*'0信息维护'!$E$40*'0信息维护'!$T$30)+IF('0信息维护'!$I$117=0,0,G115/('0信息维护'!$I$117)*'0信息维护'!$E$40*'0信息维护'!$U$30)+IF('0信息维护'!$I$118=0,0,H115/('0信息维护'!$I$118)*'0信息维护'!$E$40*'0信息维护'!$V$30)+IF('0信息维护'!$I$119=0,0,I115/'0信息维护'!$I$119*'0信息维护'!$I$40)</f>
        <v>0</v>
      </c>
      <c r="K115" s="27"/>
    </row>
    <row r="116" spans="1:11">
      <c r="A116" s="21"/>
      <c r="B116" s="21"/>
      <c r="C116" s="21"/>
      <c r="D116" s="18" t="str">
        <f>'0信息维护'!A$31</f>
        <v>课程目标7</v>
      </c>
      <c r="E116" s="19">
        <f ca="1">OFFSET('1课程考核方式及成绩组成'!$F$10,(ROW(E116)-5)/7,MOD((ROW(E116)-5),7))</f>
        <v>0</v>
      </c>
      <c r="F116" s="19">
        <f ca="1">OFFSET('1课程考核方式及成绩组成'!$N$10,(ROW(F116)-5)/7,MOD((ROW(F116)-5),7))</f>
        <v>0</v>
      </c>
      <c r="G116" s="19">
        <f ca="1">OFFSET('1课程考核方式及成绩组成'!$V$10,(ROW(G116)-5)/7,MOD((ROW(G116)-5),7))</f>
        <v>0</v>
      </c>
      <c r="H116" s="19">
        <f ca="1">OFFSET('1课程考核方式及成绩组成'!$AD$10,(ROW(H116)-5)/7,MOD((ROW(H116)-5),7))</f>
        <v>0</v>
      </c>
      <c r="I116" s="19">
        <f ca="1">OFFSET('1课程考核方式及成绩组成'!$AL$10,(ROW(I116)-5)/7,MOD((ROW(I116)-5),7))</f>
        <v>0</v>
      </c>
      <c r="J116" s="25">
        <f ca="1">IF('0信息维护'!$I$121=0,0,E116/('0信息维护'!$I$121)*'0信息维护'!$E$41*'0信息维护'!$S$31)+IF('0信息维护'!$I$122=0,0,F116/('0信息维护'!$I$122)*'0信息维护'!$E$41*'0信息维护'!$T$31)+IF('0信息维护'!$I$123=0,0,G116/('0信息维护'!$I$123)*'0信息维护'!$E$41*'0信息维护'!$U$31)+IF('0信息维护'!$I$124=0,0,H116/('0信息维护'!$I$124)*'0信息维护'!$E$41*'0信息维护'!$T$31)+IF('0信息维护'!$I$125=0,0,I116/'0信息维护'!$I$125*'0信息维护'!$I$41)</f>
        <v>0</v>
      </c>
      <c r="K116" s="30"/>
    </row>
    <row r="117" spans="1:11">
      <c r="A117" s="17">
        <v>17</v>
      </c>
      <c r="B117" s="17" t="str">
        <f ca="1">OFFSET('1课程考核方式及成绩组成'!$D$10,(ROW(B117)-5)/7,)</f>
        <v>190301013</v>
      </c>
      <c r="C117" s="17" t="str">
        <f ca="1">OFFSET('1课程考核方式及成绩组成'!$E$10,(ROW(C117)-5)/7,)</f>
        <v>姜佳幸</v>
      </c>
      <c r="D117" s="18" t="str">
        <f>'0信息维护'!A$25</f>
        <v>课程目标1</v>
      </c>
      <c r="E117" s="19">
        <f ca="1">OFFSET('1课程考核方式及成绩组成'!$F$10,(ROW(E117)-5)/7,MOD((ROW(E117)-5),7))</f>
        <v>40</v>
      </c>
      <c r="F117" s="19">
        <f ca="1">OFFSET('1课程考核方式及成绩组成'!$N$10,(ROW(F117)-5)/7,MOD((ROW(F117)-5),7))</f>
        <v>0</v>
      </c>
      <c r="G117" s="19">
        <f ca="1">OFFSET('1课程考核方式及成绩组成'!$V$10,(ROW(G117)-5)/7,MOD((ROW(G117)-5),7))</f>
        <v>0</v>
      </c>
      <c r="H117" s="19">
        <f ca="1">OFFSET('1课程考核方式及成绩组成'!$AD$10,(ROW(H117)-5)/7,MOD((ROW(H117)-5),7))</f>
        <v>0</v>
      </c>
      <c r="I117" s="19">
        <f ca="1">OFFSET('1课程考核方式及成绩组成'!$AL$10,(ROW(I117)-5)/7,MOD((ROW(I117)-5),7))</f>
        <v>24</v>
      </c>
      <c r="J117" s="25">
        <f ca="1">IF('0信息维护'!$I$85=0,0,E117/('0信息维护'!$I$85)*'0信息维护'!$E$35*'0信息维护'!$S$25)+IF('0信息维护'!$I$86=0,0,F117/('0信息维护'!$I$86)*'0信息维护'!$E$35*'0信息维护'!$T$25)+IF('0信息维护'!$I$87=0,0,G117/('0信息维护'!$I$87)*'0信息维护'!$E$35*'0信息维护'!$U$25)+IF('0信息维护'!$I$88=0,0,H117/('0信息维护'!$I$88)*'0信息维护'!$E$35*'0信息维护'!$V$25)+IF('0信息维护'!$I$89=0,0,I117/'0信息维护'!$I$89*'0信息维护'!$I$35)</f>
        <v>0.833333333333333</v>
      </c>
      <c r="K117" s="26">
        <f ca="1">J117*'0信息维护'!$D$132+J118*'0信息维护'!$D$133+J119*'0信息维护'!$D$134+J120*'0信息维护'!$D$135+J121*'0信息维护'!$D$136+J122*'0信息维护'!$D$137+J123*'0信息维护'!$D$138</f>
        <v>0.676352941176471</v>
      </c>
    </row>
    <row r="118" spans="1:14">
      <c r="A118" s="20"/>
      <c r="B118" s="20"/>
      <c r="C118" s="20"/>
      <c r="D118" s="18" t="str">
        <f>'0信息维护'!A$26</f>
        <v>课程目标2</v>
      </c>
      <c r="E118" s="19">
        <f ca="1">OFFSET('1课程考核方式及成绩组成'!$F$10,(ROW(E118)-5)/7,MOD((ROW(E118)-5),7))</f>
        <v>60</v>
      </c>
      <c r="F118" s="19">
        <f ca="1">OFFSET('1课程考核方式及成绩组成'!$N$10,(ROW(F118)-5)/7,MOD((ROW(F118)-5),7))</f>
        <v>0</v>
      </c>
      <c r="G118" s="19">
        <f ca="1">OFFSET('1课程考核方式及成绩组成'!$V$10,(ROW(G118)-5)/7,MOD((ROW(G118)-5),7))</f>
        <v>0</v>
      </c>
      <c r="H118" s="19">
        <f ca="1">OFFSET('1课程考核方式及成绩组成'!$AD$10,(ROW(H118)-5)/7,MOD((ROW(H118)-5),7))</f>
        <v>0</v>
      </c>
      <c r="I118" s="19">
        <f ca="1">OFFSET('1课程考核方式及成绩组成'!$AL$10,(ROW(I118)-5)/7,MOD((ROW(I118)-5),7))</f>
        <v>16</v>
      </c>
      <c r="J118" s="25">
        <f ca="1">IF('0信息维护'!$I$91=0,0,E118/('0信息维护'!$I$91)*'0信息维护'!$S$26*'0信息维护'!$E$36)+IF('0信息维护'!$I$92=0,0,F118/('0信息维护'!$I$92)*'0信息维护'!$T$26*'0信息维护'!$E$36)+IF('0信息维护'!$I$93=0,0,G118/('0信息维护'!$I$93)*'0信息维护'!$U$26*'0信息维护'!$E$36)+IF('0信息维护'!$I$94=0,0,H118/('0信息维护'!$I$94)*'0信息维护'!$V$26*'0信息维护'!$E$36)+IF('0信息维护'!$I$95=0,0,I118/'0信息维护'!$I$95*'0信息维护'!$I$36)</f>
        <v>0.766666666666667</v>
      </c>
      <c r="K118" s="27"/>
      <c r="N118" s="29"/>
    </row>
    <row r="119" spans="1:11">
      <c r="A119" s="20"/>
      <c r="B119" s="20"/>
      <c r="C119" s="20"/>
      <c r="D119" s="18" t="str">
        <f>'0信息维护'!A$27</f>
        <v>课程目标3</v>
      </c>
      <c r="E119" s="19">
        <f ca="1">OFFSET('1课程考核方式及成绩组成'!$F$10,(ROW(E119)-5)/7,MOD((ROW(E119)-5),7))</f>
        <v>0</v>
      </c>
      <c r="F119" s="19">
        <f ca="1">OFFSET('1课程考核方式及成绩组成'!$N$10,(ROW(F119)-5)/7,MOD((ROW(F119)-5),7))</f>
        <v>0</v>
      </c>
      <c r="G119" s="19">
        <f ca="1">OFFSET('1课程考核方式及成绩组成'!$V$10,(ROW(G119)-5)/7,MOD((ROW(G119)-5),7))</f>
        <v>0</v>
      </c>
      <c r="H119" s="19">
        <f ca="1">OFFSET('1课程考核方式及成绩组成'!$AD$10,(ROW(H119)-5)/7,MOD((ROW(H119)-5),7))</f>
        <v>0</v>
      </c>
      <c r="I119" s="19">
        <f ca="1">OFFSET('1课程考核方式及成绩组成'!$AL$10,(ROW(I119)-5)/7,MOD((ROW(I119)-5),7))</f>
        <v>18</v>
      </c>
      <c r="J119" s="25">
        <f ca="1">IF('0信息维护'!$I$97=0,0,E119/('0信息维护'!$I$97)*'0信息维护'!$E$37*'0信息维护'!$S$27)+IF('0信息维护'!$I$98=0,0,F119/('0信息维护'!$I$98)*'0信息维护'!$E$37*'0信息维护'!$T$27)+IF('0信息维护'!$I$99=0,0,G119/('0信息维护'!$I$99)*'0信息维护'!$E$37*'0信息维护'!$U$27)+IF('0信息维护'!$I$100=0,0,H119/('0信息维护'!$I$100)*'0信息维护'!$E$37*'0信息维护'!$V$27)+IF('0信息维护'!$I$101=0,0,I119/'0信息维护'!$I$101*'0信息维护'!$I$37)</f>
        <v>0.529411764705882</v>
      </c>
      <c r="K119" s="27"/>
    </row>
    <row r="120" spans="1:11">
      <c r="A120" s="20"/>
      <c r="B120" s="20"/>
      <c r="C120" s="20"/>
      <c r="D120" s="18" t="str">
        <f>'0信息维护'!A$28</f>
        <v>课程目标4</v>
      </c>
      <c r="E120" s="19">
        <f ca="1">OFFSET('1课程考核方式及成绩组成'!$F$10,(ROW(E120)-5)/7,MOD((ROW(E120)-5),7))</f>
        <v>0</v>
      </c>
      <c r="F120" s="19">
        <f ca="1">OFFSET('1课程考核方式及成绩组成'!$N$10,(ROW(F120)-5)/7,MOD((ROW(F120)-5),7))</f>
        <v>63</v>
      </c>
      <c r="G120" s="19">
        <f ca="1">OFFSET('1课程考核方式及成绩组成'!$V$10,(ROW(G120)-5)/7,MOD((ROW(G120)-5),7))</f>
        <v>0</v>
      </c>
      <c r="H120" s="19">
        <f ca="1">OFFSET('1课程考核方式及成绩组成'!$AD$10,(ROW(H120)-5)/7,MOD((ROW(H120)-5),7))</f>
        <v>0</v>
      </c>
      <c r="I120" s="19">
        <f ca="1">OFFSET('1课程考核方式及成绩组成'!$AL$10,(ROW(I120)-5)/7,MOD((ROW(I120)-5),7))</f>
        <v>0</v>
      </c>
      <c r="J120" s="25">
        <f ca="1">IF('0信息维护'!$I$103=0,0,E120/('0信息维护'!$I$103)*'0信息维护'!$E$38*'0信息维护'!$S$28)+IF('0信息维护'!$I$104=0,0,F120/('0信息维护'!$I$104)*'0信息维护'!$E$38*'0信息维护'!$T$28)+IF('0信息维护'!$I$105=0,0,G120/('0信息维护'!$I$105)*'0信息维护'!$E$38*'0信息维护'!$U$28)+IF('0信息维护'!$I$106=0,0,H120/('0信息维护'!$I$106)*'0信息维护'!$E$38*'0信息维护'!$V$28)+IF('0信息维护'!$I$107=0,0,I120/'0信息维护'!$I$107*'0信息维护'!$I$38)</f>
        <v>0.63</v>
      </c>
      <c r="K120" s="27"/>
    </row>
    <row r="121" spans="1:11">
      <c r="A121" s="20"/>
      <c r="B121" s="20"/>
      <c r="C121" s="20"/>
      <c r="D121" s="18" t="str">
        <f>'0信息维护'!A$29</f>
        <v>课程目标5</v>
      </c>
      <c r="E121" s="19">
        <f ca="1">OFFSET('1课程考核方式及成绩组成'!$F$10,(ROW(E121)-5)/7,MOD((ROW(E121)-5),7))</f>
        <v>0</v>
      </c>
      <c r="F121" s="19">
        <f ca="1">OFFSET('1课程考核方式及成绩组成'!$N$10,(ROW(F121)-5)/7,MOD((ROW(F121)-5),7))</f>
        <v>0</v>
      </c>
      <c r="G121" s="19">
        <f ca="1">OFFSET('1课程考核方式及成绩组成'!$V$10,(ROW(G121)-5)/7,MOD((ROW(G121)-5),7))</f>
        <v>0</v>
      </c>
      <c r="H121" s="19">
        <f ca="1">OFFSET('1课程考核方式及成绩组成'!$AD$10,(ROW(H121)-5)/7,MOD((ROW(H121)-5),7))</f>
        <v>0</v>
      </c>
      <c r="I121" s="19">
        <f ca="1">OFFSET('1课程考核方式及成绩组成'!$AL$10,(ROW(I121)-5)/7,MOD((ROW(I121)-5),7))</f>
        <v>0</v>
      </c>
      <c r="J121" s="25">
        <f ca="1">IF('0信息维护'!$I$109=0,0,E121/('0信息维护'!$I$109)*'0信息维护'!$E$39*'0信息维护'!$S$29)+IF('0信息维护'!$I$110=0,0,F121/('0信息维护'!$I$110)*'0信息维护'!$E$39*'0信息维护'!$T$29)+IF('0信息维护'!$I$111=0,0,G121/('0信息维护'!$I$111)*'0信息维护'!$E$39*'0信息维护'!$U$29)+IF('0信息维护'!$I$112=0,0,H121/('0信息维护'!$I$112)*'0信息维护'!$E$39*'0信息维护'!$V$29)+IF('0信息维护'!$I$113=0,0,I121/'0信息维护'!$I$113*'0信息维护'!$I$39)</f>
        <v>0</v>
      </c>
      <c r="K121" s="27"/>
    </row>
    <row r="122" spans="1:11">
      <c r="A122" s="20"/>
      <c r="B122" s="20"/>
      <c r="C122" s="20"/>
      <c r="D122" s="18" t="str">
        <f>'0信息维护'!A$30</f>
        <v>课程目标6</v>
      </c>
      <c r="E122" s="19">
        <f ca="1">OFFSET('1课程考核方式及成绩组成'!$F$10,(ROW(E122)-5)/7,MOD((ROW(E122)-5),7))</f>
        <v>0</v>
      </c>
      <c r="F122" s="19">
        <f ca="1">OFFSET('1课程考核方式及成绩组成'!$N$10,(ROW(F122)-5)/7,MOD((ROW(F122)-5),7))</f>
        <v>0</v>
      </c>
      <c r="G122" s="19">
        <f ca="1">OFFSET('1课程考核方式及成绩组成'!$V$10,(ROW(G122)-5)/7,MOD((ROW(G122)-5),7))</f>
        <v>0</v>
      </c>
      <c r="H122" s="19">
        <f ca="1">OFFSET('1课程考核方式及成绩组成'!$AD$10,(ROW(H122)-5)/7,MOD((ROW(H122)-5),7))</f>
        <v>0</v>
      </c>
      <c r="I122" s="19">
        <f ca="1">OFFSET('1课程考核方式及成绩组成'!$AL$10,(ROW(I122)-5)/7,MOD((ROW(I122)-5),7))</f>
        <v>0</v>
      </c>
      <c r="J122" s="25">
        <f ca="1">IF('0信息维护'!$I$115=0,0,E122/('0信息维护'!$I$115)*'0信息维护'!$E$40*'0信息维护'!$S$30)+IF('0信息维护'!$I$116=0,0,F122/('0信息维护'!$I$116)*'0信息维护'!$E$40*'0信息维护'!$T$30)+IF('0信息维护'!$I$117=0,0,G122/('0信息维护'!$I$117)*'0信息维护'!$E$40*'0信息维护'!$U$30)+IF('0信息维护'!$I$118=0,0,H122/('0信息维护'!$I$118)*'0信息维护'!$E$40*'0信息维护'!$V$30)+IF('0信息维护'!$I$119=0,0,I122/'0信息维护'!$I$119*'0信息维护'!$I$40)</f>
        <v>0</v>
      </c>
      <c r="K122" s="27"/>
    </row>
    <row r="123" spans="1:11">
      <c r="A123" s="21"/>
      <c r="B123" s="21"/>
      <c r="C123" s="21"/>
      <c r="D123" s="18" t="str">
        <f>'0信息维护'!A$31</f>
        <v>课程目标7</v>
      </c>
      <c r="E123" s="19">
        <f ca="1">OFFSET('1课程考核方式及成绩组成'!$F$10,(ROW(E123)-5)/7,MOD((ROW(E123)-5),7))</f>
        <v>0</v>
      </c>
      <c r="F123" s="19">
        <f ca="1">OFFSET('1课程考核方式及成绩组成'!$N$10,(ROW(F123)-5)/7,MOD((ROW(F123)-5),7))</f>
        <v>0</v>
      </c>
      <c r="G123" s="19">
        <f ca="1">OFFSET('1课程考核方式及成绩组成'!$V$10,(ROW(G123)-5)/7,MOD((ROW(G123)-5),7))</f>
        <v>0</v>
      </c>
      <c r="H123" s="19">
        <f ca="1">OFFSET('1课程考核方式及成绩组成'!$AD$10,(ROW(H123)-5)/7,MOD((ROW(H123)-5),7))</f>
        <v>0</v>
      </c>
      <c r="I123" s="19">
        <f ca="1">OFFSET('1课程考核方式及成绩组成'!$AL$10,(ROW(I123)-5)/7,MOD((ROW(I123)-5),7))</f>
        <v>0</v>
      </c>
      <c r="J123" s="25">
        <f ca="1">IF('0信息维护'!$I$121=0,0,E123/('0信息维护'!$I$121)*'0信息维护'!$E$41*'0信息维护'!$S$31)+IF('0信息维护'!$I$122=0,0,F123/('0信息维护'!$I$122)*'0信息维护'!$E$41*'0信息维护'!$T$31)+IF('0信息维护'!$I$123=0,0,G123/('0信息维护'!$I$123)*'0信息维护'!$E$41*'0信息维护'!$U$31)+IF('0信息维护'!$I$124=0,0,H123/('0信息维护'!$I$124)*'0信息维护'!$E$41*'0信息维护'!$T$31)+IF('0信息维护'!$I$125=0,0,I123/'0信息维护'!$I$125*'0信息维护'!$I$41)</f>
        <v>0</v>
      </c>
      <c r="K123" s="30"/>
    </row>
    <row r="124" spans="1:11">
      <c r="A124" s="17">
        <v>18</v>
      </c>
      <c r="B124" s="17" t="str">
        <f ca="1">OFFSET('1课程考核方式及成绩组成'!$D$10,(ROW(B124)-5)/7,)</f>
        <v>190301014</v>
      </c>
      <c r="C124" s="17" t="str">
        <f ca="1">OFFSET('1课程考核方式及成绩组成'!$E$10,(ROW(C124)-5)/7,)</f>
        <v>潘瑞智</v>
      </c>
      <c r="D124" s="18" t="str">
        <f>'0信息维护'!A$25</f>
        <v>课程目标1</v>
      </c>
      <c r="E124" s="19">
        <f ca="1">OFFSET('1课程考核方式及成绩组成'!$F$10,(ROW(E124)-5)/7,MOD((ROW(E124)-5),7))</f>
        <v>40</v>
      </c>
      <c r="F124" s="19">
        <f ca="1">OFFSET('1课程考核方式及成绩组成'!$N$10,(ROW(F124)-5)/7,MOD((ROW(F124)-5),7))</f>
        <v>0</v>
      </c>
      <c r="G124" s="19">
        <f ca="1">OFFSET('1课程考核方式及成绩组成'!$V$10,(ROW(G124)-5)/7,MOD((ROW(G124)-5),7))</f>
        <v>0</v>
      </c>
      <c r="H124" s="19">
        <f ca="1">OFFSET('1课程考核方式及成绩组成'!$AD$10,(ROW(H124)-5)/7,MOD((ROW(H124)-5),7))</f>
        <v>0</v>
      </c>
      <c r="I124" s="19">
        <f ca="1">OFFSET('1课程考核方式及成绩组成'!$AL$10,(ROW(I124)-5)/7,MOD((ROW(I124)-5),7))</f>
        <v>30</v>
      </c>
      <c r="J124" s="25">
        <f ca="1">IF('0信息维护'!$I$85=0,0,E124/('0信息维护'!$I$85)*'0信息维护'!$E$35*'0信息维护'!$S$25)+IF('0信息维护'!$I$86=0,0,F124/('0信息维护'!$I$86)*'0信息维护'!$E$35*'0信息维护'!$T$25)+IF('0信息维护'!$I$87=0,0,G124/('0信息维护'!$I$87)*'0信息维护'!$E$35*'0信息维护'!$U$25)+IF('0信息维护'!$I$88=0,0,H124/('0信息维护'!$I$88)*'0信息维护'!$E$35*'0信息维护'!$V$25)+IF('0信息维护'!$I$89=0,0,I124/'0信息维护'!$I$89*'0信息维护'!$I$35)</f>
        <v>0.916666666666667</v>
      </c>
      <c r="K124" s="26">
        <f ca="1">J124*'0信息维护'!$D$132+J125*'0信息维护'!$D$133+J126*'0信息维护'!$D$134+J127*'0信息维护'!$D$135+J128*'0信息维护'!$D$136+J129*'0信息维护'!$D$137+J130*'0信息维护'!$D$138</f>
        <v>0.766205882352941</v>
      </c>
    </row>
    <row r="125" spans="1:14">
      <c r="A125" s="20"/>
      <c r="B125" s="20"/>
      <c r="C125" s="20"/>
      <c r="D125" s="18" t="str">
        <f>'0信息维护'!A$26</f>
        <v>课程目标2</v>
      </c>
      <c r="E125" s="19">
        <f ca="1">OFFSET('1课程考核方式及成绩组成'!$F$10,(ROW(E125)-5)/7,MOD((ROW(E125)-5),7))</f>
        <v>60</v>
      </c>
      <c r="F125" s="19">
        <f ca="1">OFFSET('1课程考核方式及成绩组成'!$N$10,(ROW(F125)-5)/7,MOD((ROW(F125)-5),7))</f>
        <v>0</v>
      </c>
      <c r="G125" s="19">
        <f ca="1">OFFSET('1课程考核方式及成绩组成'!$V$10,(ROW(G125)-5)/7,MOD((ROW(G125)-5),7))</f>
        <v>0</v>
      </c>
      <c r="H125" s="19">
        <f ca="1">OFFSET('1课程考核方式及成绩组成'!$AD$10,(ROW(H125)-5)/7,MOD((ROW(H125)-5),7))</f>
        <v>0</v>
      </c>
      <c r="I125" s="19">
        <f ca="1">OFFSET('1课程考核方式及成绩组成'!$AL$10,(ROW(I125)-5)/7,MOD((ROW(I125)-5),7))</f>
        <v>18</v>
      </c>
      <c r="J125" s="25">
        <f ca="1">IF('0信息维护'!$I$91=0,0,E125/('0信息维护'!$I$91)*'0信息维护'!$S$26*'0信息维护'!$E$36)+IF('0信息维护'!$I$92=0,0,F125/('0信息维护'!$I$92)*'0信息维护'!$T$26*'0信息维护'!$E$36)+IF('0信息维护'!$I$93=0,0,G125/('0信息维护'!$I$93)*'0信息维护'!$U$26*'0信息维护'!$E$36)+IF('0信息维护'!$I$94=0,0,H125/('0信息维护'!$I$94)*'0信息维护'!$V$26*'0信息维护'!$E$36)+IF('0信息维护'!$I$95=0,0,I125/'0信息维护'!$I$95*'0信息维护'!$I$36)</f>
        <v>0.8</v>
      </c>
      <c r="K125" s="27"/>
      <c r="N125" s="29"/>
    </row>
    <row r="126" spans="1:11">
      <c r="A126" s="20"/>
      <c r="B126" s="20"/>
      <c r="C126" s="20"/>
      <c r="D126" s="18" t="str">
        <f>'0信息维护'!A$27</f>
        <v>课程目标3</v>
      </c>
      <c r="E126" s="19">
        <f ca="1">OFFSET('1课程考核方式及成绩组成'!$F$10,(ROW(E126)-5)/7,MOD((ROW(E126)-5),7))</f>
        <v>0</v>
      </c>
      <c r="F126" s="19">
        <f ca="1">OFFSET('1课程考核方式及成绩组成'!$N$10,(ROW(F126)-5)/7,MOD((ROW(F126)-5),7))</f>
        <v>0</v>
      </c>
      <c r="G126" s="19">
        <f ca="1">OFFSET('1课程考核方式及成绩组成'!$V$10,(ROW(G126)-5)/7,MOD((ROW(G126)-5),7))</f>
        <v>0</v>
      </c>
      <c r="H126" s="19">
        <f ca="1">OFFSET('1课程考核方式及成绩组成'!$AD$10,(ROW(H126)-5)/7,MOD((ROW(H126)-5),7))</f>
        <v>0</v>
      </c>
      <c r="I126" s="19">
        <f ca="1">OFFSET('1课程考核方式及成绩组成'!$AL$10,(ROW(I126)-5)/7,MOD((ROW(I126)-5),7))</f>
        <v>19</v>
      </c>
      <c r="J126" s="25">
        <f ca="1">IF('0信息维护'!$I$97=0,0,E126/('0信息维护'!$I$97)*'0信息维护'!$E$37*'0信息维护'!$S$27)+IF('0信息维护'!$I$98=0,0,F126/('0信息维护'!$I$98)*'0信息维护'!$E$37*'0信息维护'!$T$27)+IF('0信息维护'!$I$99=0,0,G126/('0信息维护'!$I$99)*'0信息维护'!$E$37*'0信息维护'!$U$27)+IF('0信息维护'!$I$100=0,0,H126/('0信息维护'!$I$100)*'0信息维护'!$E$37*'0信息维护'!$V$27)+IF('0信息维护'!$I$101=0,0,I126/'0信息维护'!$I$101*'0信息维护'!$I$37)</f>
        <v>0.558823529411765</v>
      </c>
      <c r="K126" s="27"/>
    </row>
    <row r="127" spans="1:11">
      <c r="A127" s="20"/>
      <c r="B127" s="20"/>
      <c r="C127" s="20"/>
      <c r="D127" s="18" t="str">
        <f>'0信息维护'!A$28</f>
        <v>课程目标4</v>
      </c>
      <c r="E127" s="19">
        <f ca="1">OFFSET('1课程考核方式及成绩组成'!$F$10,(ROW(E127)-5)/7,MOD((ROW(E127)-5),7))</f>
        <v>0</v>
      </c>
      <c r="F127" s="19">
        <f ca="1">OFFSET('1课程考核方式及成绩组成'!$N$10,(ROW(F127)-5)/7,MOD((ROW(F127)-5),7))</f>
        <v>83</v>
      </c>
      <c r="G127" s="19">
        <f ca="1">OFFSET('1课程考核方式及成绩组成'!$V$10,(ROW(G127)-5)/7,MOD((ROW(G127)-5),7))</f>
        <v>0</v>
      </c>
      <c r="H127" s="19">
        <f ca="1">OFFSET('1课程考核方式及成绩组成'!$AD$10,(ROW(H127)-5)/7,MOD((ROW(H127)-5),7))</f>
        <v>0</v>
      </c>
      <c r="I127" s="19">
        <f ca="1">OFFSET('1课程考核方式及成绩组成'!$AL$10,(ROW(I127)-5)/7,MOD((ROW(I127)-5),7))</f>
        <v>0</v>
      </c>
      <c r="J127" s="25">
        <f ca="1">IF('0信息维护'!$I$103=0,0,E127/('0信息维护'!$I$103)*'0信息维护'!$E$38*'0信息维护'!$S$28)+IF('0信息维护'!$I$104=0,0,F127/('0信息维护'!$I$104)*'0信息维护'!$E$38*'0信息维护'!$T$28)+IF('0信息维护'!$I$105=0,0,G127/('0信息维护'!$I$105)*'0信息维护'!$E$38*'0信息维护'!$U$28)+IF('0信息维护'!$I$106=0,0,H127/('0信息维护'!$I$106)*'0信息维护'!$E$38*'0信息维护'!$V$28)+IF('0信息维护'!$I$107=0,0,I127/'0信息维护'!$I$107*'0信息维护'!$I$38)</f>
        <v>0.83</v>
      </c>
      <c r="K127" s="27"/>
    </row>
    <row r="128" spans="1:11">
      <c r="A128" s="20"/>
      <c r="B128" s="20"/>
      <c r="C128" s="20"/>
      <c r="D128" s="18" t="str">
        <f>'0信息维护'!A$29</f>
        <v>课程目标5</v>
      </c>
      <c r="E128" s="19">
        <f ca="1">OFFSET('1课程考核方式及成绩组成'!$F$10,(ROW(E128)-5)/7,MOD((ROW(E128)-5),7))</f>
        <v>0</v>
      </c>
      <c r="F128" s="19">
        <f ca="1">OFFSET('1课程考核方式及成绩组成'!$N$10,(ROW(F128)-5)/7,MOD((ROW(F128)-5),7))</f>
        <v>0</v>
      </c>
      <c r="G128" s="19">
        <f ca="1">OFFSET('1课程考核方式及成绩组成'!$V$10,(ROW(G128)-5)/7,MOD((ROW(G128)-5),7))</f>
        <v>0</v>
      </c>
      <c r="H128" s="19">
        <f ca="1">OFFSET('1课程考核方式及成绩组成'!$AD$10,(ROW(H128)-5)/7,MOD((ROW(H128)-5),7))</f>
        <v>0</v>
      </c>
      <c r="I128" s="19">
        <f ca="1">OFFSET('1课程考核方式及成绩组成'!$AL$10,(ROW(I128)-5)/7,MOD((ROW(I128)-5),7))</f>
        <v>0</v>
      </c>
      <c r="J128" s="25">
        <f ca="1">IF('0信息维护'!$I$109=0,0,E128/('0信息维护'!$I$109)*'0信息维护'!$E$39*'0信息维护'!$S$29)+IF('0信息维护'!$I$110=0,0,F128/('0信息维护'!$I$110)*'0信息维护'!$E$39*'0信息维护'!$T$29)+IF('0信息维护'!$I$111=0,0,G128/('0信息维护'!$I$111)*'0信息维护'!$E$39*'0信息维护'!$U$29)+IF('0信息维护'!$I$112=0,0,H128/('0信息维护'!$I$112)*'0信息维护'!$E$39*'0信息维护'!$V$29)+IF('0信息维护'!$I$113=0,0,I128/'0信息维护'!$I$113*'0信息维护'!$I$39)</f>
        <v>0</v>
      </c>
      <c r="K128" s="27"/>
    </row>
    <row r="129" spans="1:11">
      <c r="A129" s="20"/>
      <c r="B129" s="20"/>
      <c r="C129" s="20"/>
      <c r="D129" s="18" t="str">
        <f>'0信息维护'!A$30</f>
        <v>课程目标6</v>
      </c>
      <c r="E129" s="19">
        <f ca="1">OFFSET('1课程考核方式及成绩组成'!$F$10,(ROW(E129)-5)/7,MOD((ROW(E129)-5),7))</f>
        <v>0</v>
      </c>
      <c r="F129" s="19">
        <f ca="1">OFFSET('1课程考核方式及成绩组成'!$N$10,(ROW(F129)-5)/7,MOD((ROW(F129)-5),7))</f>
        <v>0</v>
      </c>
      <c r="G129" s="19">
        <f ca="1">OFFSET('1课程考核方式及成绩组成'!$V$10,(ROW(G129)-5)/7,MOD((ROW(G129)-5),7))</f>
        <v>0</v>
      </c>
      <c r="H129" s="19">
        <f ca="1">OFFSET('1课程考核方式及成绩组成'!$AD$10,(ROW(H129)-5)/7,MOD((ROW(H129)-5),7))</f>
        <v>0</v>
      </c>
      <c r="I129" s="19">
        <f ca="1">OFFSET('1课程考核方式及成绩组成'!$AL$10,(ROW(I129)-5)/7,MOD((ROW(I129)-5),7))</f>
        <v>0</v>
      </c>
      <c r="J129" s="25">
        <f ca="1">IF('0信息维护'!$I$115=0,0,E129/('0信息维护'!$I$115)*'0信息维护'!$E$40*'0信息维护'!$S$30)+IF('0信息维护'!$I$116=0,0,F129/('0信息维护'!$I$116)*'0信息维护'!$E$40*'0信息维护'!$T$30)+IF('0信息维护'!$I$117=0,0,G129/('0信息维护'!$I$117)*'0信息维护'!$E$40*'0信息维护'!$U$30)+IF('0信息维护'!$I$118=0,0,H129/('0信息维护'!$I$118)*'0信息维护'!$E$40*'0信息维护'!$V$30)+IF('0信息维护'!$I$119=0,0,I129/'0信息维护'!$I$119*'0信息维护'!$I$40)</f>
        <v>0</v>
      </c>
      <c r="K129" s="27"/>
    </row>
    <row r="130" spans="1:11">
      <c r="A130" s="21"/>
      <c r="B130" s="21"/>
      <c r="C130" s="21"/>
      <c r="D130" s="18" t="str">
        <f>'0信息维护'!A$31</f>
        <v>课程目标7</v>
      </c>
      <c r="E130" s="19">
        <f ca="1">OFFSET('1课程考核方式及成绩组成'!$F$10,(ROW(E130)-5)/7,MOD((ROW(E130)-5),7))</f>
        <v>0</v>
      </c>
      <c r="F130" s="19">
        <f ca="1">OFFSET('1课程考核方式及成绩组成'!$N$10,(ROW(F130)-5)/7,MOD((ROW(F130)-5),7))</f>
        <v>0</v>
      </c>
      <c r="G130" s="19">
        <f ca="1">OFFSET('1课程考核方式及成绩组成'!$V$10,(ROW(G130)-5)/7,MOD((ROW(G130)-5),7))</f>
        <v>0</v>
      </c>
      <c r="H130" s="19">
        <f ca="1">OFFSET('1课程考核方式及成绩组成'!$AD$10,(ROW(H130)-5)/7,MOD((ROW(H130)-5),7))</f>
        <v>0</v>
      </c>
      <c r="I130" s="19">
        <f ca="1">OFFSET('1课程考核方式及成绩组成'!$AL$10,(ROW(I130)-5)/7,MOD((ROW(I130)-5),7))</f>
        <v>0</v>
      </c>
      <c r="J130" s="25">
        <f ca="1">IF('0信息维护'!$I$121=0,0,E130/('0信息维护'!$I$121)*'0信息维护'!$E$41*'0信息维护'!$S$31)+IF('0信息维护'!$I$122=0,0,F130/('0信息维护'!$I$122)*'0信息维护'!$E$41*'0信息维护'!$T$31)+IF('0信息维护'!$I$123=0,0,G130/('0信息维护'!$I$123)*'0信息维护'!$E$41*'0信息维护'!$U$31)+IF('0信息维护'!$I$124=0,0,H130/('0信息维护'!$I$124)*'0信息维护'!$E$41*'0信息维护'!$T$31)+IF('0信息维护'!$I$125=0,0,I130/'0信息维护'!$I$125*'0信息维护'!$I$41)</f>
        <v>0</v>
      </c>
      <c r="K130" s="30"/>
    </row>
    <row r="131" spans="1:11">
      <c r="A131" s="17">
        <v>19</v>
      </c>
      <c r="B131" s="17" t="str">
        <f ca="1">OFFSET('1课程考核方式及成绩组成'!$D$10,(ROW(B131)-5)/7,)</f>
        <v>190301015</v>
      </c>
      <c r="C131" s="17" t="str">
        <f ca="1">OFFSET('1课程考核方式及成绩组成'!$E$10,(ROW(C131)-5)/7,)</f>
        <v>陈俊</v>
      </c>
      <c r="D131" s="18" t="str">
        <f>'0信息维护'!A$25</f>
        <v>课程目标1</v>
      </c>
      <c r="E131" s="19">
        <f ca="1">OFFSET('1课程考核方式及成绩组成'!$F$10,(ROW(E131)-5)/7,MOD((ROW(E131)-5),7))</f>
        <v>40</v>
      </c>
      <c r="F131" s="19">
        <f ca="1">OFFSET('1课程考核方式及成绩组成'!$N$10,(ROW(F131)-5)/7,MOD((ROW(F131)-5),7))</f>
        <v>0</v>
      </c>
      <c r="G131" s="19">
        <f ca="1">OFFSET('1课程考核方式及成绩组成'!$V$10,(ROW(G131)-5)/7,MOD((ROW(G131)-5),7))</f>
        <v>0</v>
      </c>
      <c r="H131" s="19">
        <f ca="1">OFFSET('1课程考核方式及成绩组成'!$AD$10,(ROW(H131)-5)/7,MOD((ROW(H131)-5),7))</f>
        <v>0</v>
      </c>
      <c r="I131" s="19">
        <f ca="1">OFFSET('1课程考核方式及成绩组成'!$AL$10,(ROW(I131)-5)/7,MOD((ROW(I131)-5),7))</f>
        <v>30</v>
      </c>
      <c r="J131" s="25">
        <f ca="1">IF('0信息维护'!$I$85=0,0,E131/('0信息维护'!$I$85)*'0信息维护'!$E$35*'0信息维护'!$S$25)+IF('0信息维护'!$I$86=0,0,F131/('0信息维护'!$I$86)*'0信息维护'!$E$35*'0信息维护'!$T$25)+IF('0信息维护'!$I$87=0,0,G131/('0信息维护'!$I$87)*'0信息维护'!$E$35*'0信息维护'!$U$25)+IF('0信息维护'!$I$88=0,0,H131/('0信息维护'!$I$88)*'0信息维护'!$E$35*'0信息维护'!$V$25)+IF('0信息维护'!$I$89=0,0,I131/'0信息维护'!$I$89*'0信息维护'!$I$35)</f>
        <v>0.916666666666667</v>
      </c>
      <c r="K131" s="26">
        <f ca="1">J131*'0信息维护'!$D$132+J132*'0信息维护'!$D$133+J133*'0信息维护'!$D$134+J134*'0信息维护'!$D$135+J135*'0信息维护'!$D$136+J136*'0信息维护'!$D$137+J137*'0信息维护'!$D$138</f>
        <v>0.7735</v>
      </c>
    </row>
    <row r="132" spans="1:14">
      <c r="A132" s="20"/>
      <c r="B132" s="20"/>
      <c r="C132" s="20"/>
      <c r="D132" s="18" t="str">
        <f>'0信息维护'!A$26</f>
        <v>课程目标2</v>
      </c>
      <c r="E132" s="19">
        <f ca="1">OFFSET('1课程考核方式及成绩组成'!$F$10,(ROW(E132)-5)/7,MOD((ROW(E132)-5),7))</f>
        <v>60</v>
      </c>
      <c r="F132" s="19">
        <f ca="1">OFFSET('1课程考核方式及成绩组成'!$N$10,(ROW(F132)-5)/7,MOD((ROW(F132)-5),7))</f>
        <v>0</v>
      </c>
      <c r="G132" s="19">
        <f ca="1">OFFSET('1课程考核方式及成绩组成'!$V$10,(ROW(G132)-5)/7,MOD((ROW(G132)-5),7))</f>
        <v>0</v>
      </c>
      <c r="H132" s="19">
        <f ca="1">OFFSET('1课程考核方式及成绩组成'!$AD$10,(ROW(H132)-5)/7,MOD((ROW(H132)-5),7))</f>
        <v>0</v>
      </c>
      <c r="I132" s="19">
        <f ca="1">OFFSET('1课程考核方式及成绩组成'!$AL$10,(ROW(I132)-5)/7,MOD((ROW(I132)-5),7))</f>
        <v>23</v>
      </c>
      <c r="J132" s="25">
        <f ca="1">IF('0信息维护'!$I$91=0,0,E132/('0信息维护'!$I$91)*'0信息维护'!$S$26*'0信息维护'!$E$36)+IF('0信息维护'!$I$92=0,0,F132/('0信息维护'!$I$92)*'0信息维护'!$T$26*'0信息维护'!$E$36)+IF('0信息维护'!$I$93=0,0,G132/('0信息维护'!$I$93)*'0信息维护'!$U$26*'0信息维护'!$E$36)+IF('0信息维护'!$I$94=0,0,H132/('0信息维护'!$I$94)*'0信息维护'!$V$26*'0信息维护'!$E$36)+IF('0信息维护'!$I$95=0,0,I132/'0信息维护'!$I$95*'0信息维护'!$I$36)</f>
        <v>0.883333333333333</v>
      </c>
      <c r="K132" s="27"/>
      <c r="N132" s="29"/>
    </row>
    <row r="133" spans="1:11">
      <c r="A133" s="20"/>
      <c r="B133" s="20"/>
      <c r="C133" s="20"/>
      <c r="D133" s="18" t="str">
        <f>'0信息维护'!A$27</f>
        <v>课程目标3</v>
      </c>
      <c r="E133" s="19">
        <f ca="1">OFFSET('1课程考核方式及成绩组成'!$F$10,(ROW(E133)-5)/7,MOD((ROW(E133)-5),7))</f>
        <v>0</v>
      </c>
      <c r="F133" s="19">
        <f ca="1">OFFSET('1课程考核方式及成绩组成'!$N$10,(ROW(F133)-5)/7,MOD((ROW(F133)-5),7))</f>
        <v>0</v>
      </c>
      <c r="G133" s="19">
        <f ca="1">OFFSET('1课程考核方式及成绩组成'!$V$10,(ROW(G133)-5)/7,MOD((ROW(G133)-5),7))</f>
        <v>0</v>
      </c>
      <c r="H133" s="19">
        <f ca="1">OFFSET('1课程考核方式及成绩组成'!$AD$10,(ROW(H133)-5)/7,MOD((ROW(H133)-5),7))</f>
        <v>0</v>
      </c>
      <c r="I133" s="19">
        <f ca="1">OFFSET('1课程考核方式及成绩组成'!$AL$10,(ROW(I133)-5)/7,MOD((ROW(I133)-5),7))</f>
        <v>17</v>
      </c>
      <c r="J133" s="25">
        <f ca="1">IF('0信息维护'!$I$97=0,0,E133/('0信息维护'!$I$97)*'0信息维护'!$E$37*'0信息维护'!$S$27)+IF('0信息维护'!$I$98=0,0,F133/('0信息维护'!$I$98)*'0信息维护'!$E$37*'0信息维护'!$T$27)+IF('0信息维护'!$I$99=0,0,G133/('0信息维护'!$I$99)*'0信息维护'!$E$37*'0信息维护'!$U$27)+IF('0信息维护'!$I$100=0,0,H133/('0信息维护'!$I$100)*'0信息维护'!$E$37*'0信息维护'!$V$27)+IF('0信息维护'!$I$101=0,0,I133/'0信息维护'!$I$101*'0信息维护'!$I$37)</f>
        <v>0.5</v>
      </c>
      <c r="K133" s="27"/>
    </row>
    <row r="134" spans="1:11">
      <c r="A134" s="20"/>
      <c r="B134" s="20"/>
      <c r="C134" s="20"/>
      <c r="D134" s="18" t="str">
        <f>'0信息维护'!A$28</f>
        <v>课程目标4</v>
      </c>
      <c r="E134" s="19">
        <f ca="1">OFFSET('1课程考核方式及成绩组成'!$F$10,(ROW(E134)-5)/7,MOD((ROW(E134)-5),7))</f>
        <v>0</v>
      </c>
      <c r="F134" s="19">
        <f ca="1">OFFSET('1课程考核方式及成绩组成'!$N$10,(ROW(F134)-5)/7,MOD((ROW(F134)-5),7))</f>
        <v>82</v>
      </c>
      <c r="G134" s="19">
        <f ca="1">OFFSET('1课程考核方式及成绩组成'!$V$10,(ROW(G134)-5)/7,MOD((ROW(G134)-5),7))</f>
        <v>0</v>
      </c>
      <c r="H134" s="19">
        <f ca="1">OFFSET('1课程考核方式及成绩组成'!$AD$10,(ROW(H134)-5)/7,MOD((ROW(H134)-5),7))</f>
        <v>0</v>
      </c>
      <c r="I134" s="19">
        <f ca="1">OFFSET('1课程考核方式及成绩组成'!$AL$10,(ROW(I134)-5)/7,MOD((ROW(I134)-5),7))</f>
        <v>0</v>
      </c>
      <c r="J134" s="25">
        <f ca="1">IF('0信息维护'!$I$103=0,0,E134/('0信息维护'!$I$103)*'0信息维护'!$E$38*'0信息维护'!$S$28)+IF('0信息维护'!$I$104=0,0,F134/('0信息维护'!$I$104)*'0信息维护'!$E$38*'0信息维护'!$T$28)+IF('0信息维护'!$I$105=0,0,G134/('0信息维护'!$I$105)*'0信息维护'!$E$38*'0信息维护'!$U$28)+IF('0信息维护'!$I$106=0,0,H134/('0信息维护'!$I$106)*'0信息维护'!$E$38*'0信息维护'!$V$28)+IF('0信息维护'!$I$107=0,0,I134/'0信息维护'!$I$107*'0信息维护'!$I$38)</f>
        <v>0.82</v>
      </c>
      <c r="K134" s="27"/>
    </row>
    <row r="135" spans="1:11">
      <c r="A135" s="20"/>
      <c r="B135" s="20"/>
      <c r="C135" s="20"/>
      <c r="D135" s="18" t="str">
        <f>'0信息维护'!A$29</f>
        <v>课程目标5</v>
      </c>
      <c r="E135" s="19">
        <f ca="1">OFFSET('1课程考核方式及成绩组成'!$F$10,(ROW(E135)-5)/7,MOD((ROW(E135)-5),7))</f>
        <v>0</v>
      </c>
      <c r="F135" s="19">
        <f ca="1">OFFSET('1课程考核方式及成绩组成'!$N$10,(ROW(F135)-5)/7,MOD((ROW(F135)-5),7))</f>
        <v>0</v>
      </c>
      <c r="G135" s="19">
        <f ca="1">OFFSET('1课程考核方式及成绩组成'!$V$10,(ROW(G135)-5)/7,MOD((ROW(G135)-5),7))</f>
        <v>0</v>
      </c>
      <c r="H135" s="19">
        <f ca="1">OFFSET('1课程考核方式及成绩组成'!$AD$10,(ROW(H135)-5)/7,MOD((ROW(H135)-5),7))</f>
        <v>0</v>
      </c>
      <c r="I135" s="19">
        <f ca="1">OFFSET('1课程考核方式及成绩组成'!$AL$10,(ROW(I135)-5)/7,MOD((ROW(I135)-5),7))</f>
        <v>0</v>
      </c>
      <c r="J135" s="25">
        <f ca="1">IF('0信息维护'!$I$109=0,0,E135/('0信息维护'!$I$109)*'0信息维护'!$E$39*'0信息维护'!$S$29)+IF('0信息维护'!$I$110=0,0,F135/('0信息维护'!$I$110)*'0信息维护'!$E$39*'0信息维护'!$T$29)+IF('0信息维护'!$I$111=0,0,G135/('0信息维护'!$I$111)*'0信息维护'!$E$39*'0信息维护'!$U$29)+IF('0信息维护'!$I$112=0,0,H135/('0信息维护'!$I$112)*'0信息维护'!$E$39*'0信息维护'!$V$29)+IF('0信息维护'!$I$113=0,0,I135/'0信息维护'!$I$113*'0信息维护'!$I$39)</f>
        <v>0</v>
      </c>
      <c r="K135" s="27"/>
    </row>
    <row r="136" spans="1:11">
      <c r="A136" s="20"/>
      <c r="B136" s="20"/>
      <c r="C136" s="20"/>
      <c r="D136" s="18" t="str">
        <f>'0信息维护'!A$30</f>
        <v>课程目标6</v>
      </c>
      <c r="E136" s="19">
        <f ca="1">OFFSET('1课程考核方式及成绩组成'!$F$10,(ROW(E136)-5)/7,MOD((ROW(E136)-5),7))</f>
        <v>0</v>
      </c>
      <c r="F136" s="19">
        <f ca="1">OFFSET('1课程考核方式及成绩组成'!$N$10,(ROW(F136)-5)/7,MOD((ROW(F136)-5),7))</f>
        <v>0</v>
      </c>
      <c r="G136" s="19">
        <f ca="1">OFFSET('1课程考核方式及成绩组成'!$V$10,(ROW(G136)-5)/7,MOD((ROW(G136)-5),7))</f>
        <v>0</v>
      </c>
      <c r="H136" s="19">
        <f ca="1">OFFSET('1课程考核方式及成绩组成'!$AD$10,(ROW(H136)-5)/7,MOD((ROW(H136)-5),7))</f>
        <v>0</v>
      </c>
      <c r="I136" s="19">
        <f ca="1">OFFSET('1课程考核方式及成绩组成'!$AL$10,(ROW(I136)-5)/7,MOD((ROW(I136)-5),7))</f>
        <v>0</v>
      </c>
      <c r="J136" s="25">
        <f ca="1">IF('0信息维护'!$I$115=0,0,E136/('0信息维护'!$I$115)*'0信息维护'!$E$40*'0信息维护'!$S$30)+IF('0信息维护'!$I$116=0,0,F136/('0信息维护'!$I$116)*'0信息维护'!$E$40*'0信息维护'!$T$30)+IF('0信息维护'!$I$117=0,0,G136/('0信息维护'!$I$117)*'0信息维护'!$E$40*'0信息维护'!$U$30)+IF('0信息维护'!$I$118=0,0,H136/('0信息维护'!$I$118)*'0信息维护'!$E$40*'0信息维护'!$V$30)+IF('0信息维护'!$I$119=0,0,I136/'0信息维护'!$I$119*'0信息维护'!$I$40)</f>
        <v>0</v>
      </c>
      <c r="K136" s="27"/>
    </row>
    <row r="137" spans="1:11">
      <c r="A137" s="21"/>
      <c r="B137" s="21"/>
      <c r="C137" s="21"/>
      <c r="D137" s="18" t="str">
        <f>'0信息维护'!A$31</f>
        <v>课程目标7</v>
      </c>
      <c r="E137" s="19">
        <f ca="1">OFFSET('1课程考核方式及成绩组成'!$F$10,(ROW(E137)-5)/7,MOD((ROW(E137)-5),7))</f>
        <v>0</v>
      </c>
      <c r="F137" s="19">
        <f ca="1">OFFSET('1课程考核方式及成绩组成'!$N$10,(ROW(F137)-5)/7,MOD((ROW(F137)-5),7))</f>
        <v>0</v>
      </c>
      <c r="G137" s="19">
        <f ca="1">OFFSET('1课程考核方式及成绩组成'!$V$10,(ROW(G137)-5)/7,MOD((ROW(G137)-5),7))</f>
        <v>0</v>
      </c>
      <c r="H137" s="19">
        <f ca="1">OFFSET('1课程考核方式及成绩组成'!$AD$10,(ROW(H137)-5)/7,MOD((ROW(H137)-5),7))</f>
        <v>0</v>
      </c>
      <c r="I137" s="19">
        <f ca="1">OFFSET('1课程考核方式及成绩组成'!$AL$10,(ROW(I137)-5)/7,MOD((ROW(I137)-5),7))</f>
        <v>0</v>
      </c>
      <c r="J137" s="25">
        <f ca="1">IF('0信息维护'!$I$121=0,0,E137/('0信息维护'!$I$121)*'0信息维护'!$E$41*'0信息维护'!$S$31)+IF('0信息维护'!$I$122=0,0,F137/('0信息维护'!$I$122)*'0信息维护'!$E$41*'0信息维护'!$T$31)+IF('0信息维护'!$I$123=0,0,G137/('0信息维护'!$I$123)*'0信息维护'!$E$41*'0信息维护'!$U$31)+IF('0信息维护'!$I$124=0,0,H137/('0信息维护'!$I$124)*'0信息维护'!$E$41*'0信息维护'!$T$31)+IF('0信息维护'!$I$125=0,0,I137/'0信息维护'!$I$125*'0信息维护'!$I$41)</f>
        <v>0</v>
      </c>
      <c r="K137" s="30"/>
    </row>
    <row r="138" spans="1:11">
      <c r="A138" s="17">
        <v>20</v>
      </c>
      <c r="B138" s="17" t="str">
        <f ca="1">OFFSET('1课程考核方式及成绩组成'!$D$10,(ROW(B138)-5)/7,)</f>
        <v>190301016</v>
      </c>
      <c r="C138" s="17" t="str">
        <f ca="1">OFFSET('1课程考核方式及成绩组成'!$E$10,(ROW(C138)-5)/7,)</f>
        <v>任昌鹏</v>
      </c>
      <c r="D138" s="18" t="str">
        <f>'0信息维护'!A$25</f>
        <v>课程目标1</v>
      </c>
      <c r="E138" s="19">
        <f ca="1">OFFSET('1课程考核方式及成绩组成'!$F$10,(ROW(E138)-5)/7,MOD((ROW(E138)-5),7))</f>
        <v>40</v>
      </c>
      <c r="F138" s="19">
        <f ca="1">OFFSET('1课程考核方式及成绩组成'!$N$10,(ROW(F138)-5)/7,MOD((ROW(F138)-5),7))</f>
        <v>0</v>
      </c>
      <c r="G138" s="19">
        <f ca="1">OFFSET('1课程考核方式及成绩组成'!$V$10,(ROW(G138)-5)/7,MOD((ROW(G138)-5),7))</f>
        <v>0</v>
      </c>
      <c r="H138" s="19">
        <f ca="1">OFFSET('1课程考核方式及成绩组成'!$AD$10,(ROW(H138)-5)/7,MOD((ROW(H138)-5),7))</f>
        <v>0</v>
      </c>
      <c r="I138" s="19">
        <f ca="1">OFFSET('1课程考核方式及成绩组成'!$AL$10,(ROW(I138)-5)/7,MOD((ROW(I138)-5),7))</f>
        <v>36</v>
      </c>
      <c r="J138" s="25">
        <f ca="1">IF('0信息维护'!$I$85=0,0,E138/('0信息维护'!$I$85)*'0信息维护'!$E$35*'0信息维护'!$S$25)+IF('0信息维护'!$I$86=0,0,F138/('0信息维护'!$I$86)*'0信息维护'!$E$35*'0信息维护'!$T$25)+IF('0信息维护'!$I$87=0,0,G138/('0信息维护'!$I$87)*'0信息维护'!$E$35*'0信息维护'!$U$25)+IF('0信息维护'!$I$88=0,0,H138/('0信息维护'!$I$88)*'0信息维护'!$E$35*'0信息维护'!$V$25)+IF('0信息维护'!$I$89=0,0,I138/'0信息维护'!$I$89*'0信息维护'!$I$35)</f>
        <v>1</v>
      </c>
      <c r="K138" s="26">
        <f ca="1">J138*'0信息维护'!$D$132+J139*'0信息维护'!$D$133+J140*'0信息维护'!$D$134+J141*'0信息维护'!$D$135+J142*'0信息维护'!$D$136+J143*'0信息维护'!$D$137+J144*'0信息维护'!$D$138</f>
        <v>0.844529411764706</v>
      </c>
    </row>
    <row r="139" spans="1:14">
      <c r="A139" s="20"/>
      <c r="B139" s="20"/>
      <c r="C139" s="20"/>
      <c r="D139" s="18" t="str">
        <f>'0信息维护'!A$26</f>
        <v>课程目标2</v>
      </c>
      <c r="E139" s="19">
        <f ca="1">OFFSET('1课程考核方式及成绩组成'!$F$10,(ROW(E139)-5)/7,MOD((ROW(E139)-5),7))</f>
        <v>60</v>
      </c>
      <c r="F139" s="19">
        <f ca="1">OFFSET('1课程考核方式及成绩组成'!$N$10,(ROW(F139)-5)/7,MOD((ROW(F139)-5),7))</f>
        <v>0</v>
      </c>
      <c r="G139" s="19">
        <f ca="1">OFFSET('1课程考核方式及成绩组成'!$V$10,(ROW(G139)-5)/7,MOD((ROW(G139)-5),7))</f>
        <v>0</v>
      </c>
      <c r="H139" s="19">
        <f ca="1">OFFSET('1课程考核方式及成绩组成'!$AD$10,(ROW(H139)-5)/7,MOD((ROW(H139)-5),7))</f>
        <v>0</v>
      </c>
      <c r="I139" s="19">
        <f ca="1">OFFSET('1课程考核方式及成绩组成'!$AL$10,(ROW(I139)-5)/7,MOD((ROW(I139)-5),7))</f>
        <v>23</v>
      </c>
      <c r="J139" s="25">
        <f ca="1">IF('0信息维护'!$I$91=0,0,E139/('0信息维护'!$I$91)*'0信息维护'!$S$26*'0信息维护'!$E$36)+IF('0信息维护'!$I$92=0,0,F139/('0信息维护'!$I$92)*'0信息维护'!$T$26*'0信息维护'!$E$36)+IF('0信息维护'!$I$93=0,0,G139/('0信息维护'!$I$93)*'0信息维护'!$U$26*'0信息维护'!$E$36)+IF('0信息维护'!$I$94=0,0,H139/('0信息维护'!$I$94)*'0信息维护'!$V$26*'0信息维护'!$E$36)+IF('0信息维护'!$I$95=0,0,I139/'0信息维护'!$I$95*'0信息维护'!$I$36)</f>
        <v>0.883333333333333</v>
      </c>
      <c r="K139" s="27"/>
      <c r="N139" s="29"/>
    </row>
    <row r="140" spans="1:11">
      <c r="A140" s="20"/>
      <c r="B140" s="20"/>
      <c r="C140" s="20"/>
      <c r="D140" s="18" t="str">
        <f>'0信息维护'!A$27</f>
        <v>课程目标3</v>
      </c>
      <c r="E140" s="19">
        <f ca="1">OFFSET('1课程考核方式及成绩组成'!$F$10,(ROW(E140)-5)/7,MOD((ROW(E140)-5),7))</f>
        <v>0</v>
      </c>
      <c r="F140" s="19">
        <f ca="1">OFFSET('1课程考核方式及成绩组成'!$N$10,(ROW(F140)-5)/7,MOD((ROW(F140)-5),7))</f>
        <v>0</v>
      </c>
      <c r="G140" s="19">
        <f ca="1">OFFSET('1课程考核方式及成绩组成'!$V$10,(ROW(G140)-5)/7,MOD((ROW(G140)-5),7))</f>
        <v>0</v>
      </c>
      <c r="H140" s="19">
        <f ca="1">OFFSET('1课程考核方式及成绩组成'!$AD$10,(ROW(H140)-5)/7,MOD((ROW(H140)-5),7))</f>
        <v>0</v>
      </c>
      <c r="I140" s="19">
        <f ca="1">OFFSET('1课程考核方式及成绩组成'!$AL$10,(ROW(I140)-5)/7,MOD((ROW(I140)-5),7))</f>
        <v>27</v>
      </c>
      <c r="J140" s="25">
        <f ca="1">IF('0信息维护'!$I$97=0,0,E140/('0信息维护'!$I$97)*'0信息维护'!$E$37*'0信息维护'!$S$27)+IF('0信息维护'!$I$98=0,0,F140/('0信息维护'!$I$98)*'0信息维护'!$E$37*'0信息维护'!$T$27)+IF('0信息维护'!$I$99=0,0,G140/('0信息维护'!$I$99)*'0信息维护'!$E$37*'0信息维护'!$U$27)+IF('0信息维护'!$I$100=0,0,H140/('0信息维护'!$I$100)*'0信息维护'!$E$37*'0信息维护'!$V$27)+IF('0信息维护'!$I$101=0,0,I140/'0信息维护'!$I$101*'0信息维护'!$I$37)</f>
        <v>0.794117647058823</v>
      </c>
      <c r="K140" s="27"/>
    </row>
    <row r="141" spans="1:11">
      <c r="A141" s="20"/>
      <c r="B141" s="20"/>
      <c r="C141" s="20"/>
      <c r="D141" s="18" t="str">
        <f>'0信息维护'!A$28</f>
        <v>课程目标4</v>
      </c>
      <c r="E141" s="19">
        <f ca="1">OFFSET('1课程考核方式及成绩组成'!$F$10,(ROW(E141)-5)/7,MOD((ROW(E141)-5),7))</f>
        <v>0</v>
      </c>
      <c r="F141" s="19">
        <f ca="1">OFFSET('1课程考核方式及成绩组成'!$N$10,(ROW(F141)-5)/7,MOD((ROW(F141)-5),7))</f>
        <v>77</v>
      </c>
      <c r="G141" s="19">
        <f ca="1">OFFSET('1课程考核方式及成绩组成'!$V$10,(ROW(G141)-5)/7,MOD((ROW(G141)-5),7))</f>
        <v>0</v>
      </c>
      <c r="H141" s="19">
        <f ca="1">OFFSET('1课程考核方式及成绩组成'!$AD$10,(ROW(H141)-5)/7,MOD((ROW(H141)-5),7))</f>
        <v>0</v>
      </c>
      <c r="I141" s="19">
        <f ca="1">OFFSET('1课程考核方式及成绩组成'!$AL$10,(ROW(I141)-5)/7,MOD((ROW(I141)-5),7))</f>
        <v>0</v>
      </c>
      <c r="J141" s="25">
        <f ca="1">IF('0信息维护'!$I$103=0,0,E141/('0信息维护'!$I$103)*'0信息维护'!$E$38*'0信息维护'!$S$28)+IF('0信息维护'!$I$104=0,0,F141/('0信息维护'!$I$104)*'0信息维护'!$E$38*'0信息维护'!$T$28)+IF('0信息维护'!$I$105=0,0,G141/('0信息维护'!$I$105)*'0信息维护'!$E$38*'0信息维护'!$U$28)+IF('0信息维护'!$I$106=0,0,H141/('0信息维护'!$I$106)*'0信息维护'!$E$38*'0信息维护'!$V$28)+IF('0信息维护'!$I$107=0,0,I141/'0信息维护'!$I$107*'0信息维护'!$I$38)</f>
        <v>0.77</v>
      </c>
      <c r="K141" s="27"/>
    </row>
    <row r="142" spans="1:11">
      <c r="A142" s="20"/>
      <c r="B142" s="20"/>
      <c r="C142" s="20"/>
      <c r="D142" s="18" t="str">
        <f>'0信息维护'!A$29</f>
        <v>课程目标5</v>
      </c>
      <c r="E142" s="19">
        <f ca="1">OFFSET('1课程考核方式及成绩组成'!$F$10,(ROW(E142)-5)/7,MOD((ROW(E142)-5),7))</f>
        <v>0</v>
      </c>
      <c r="F142" s="19">
        <f ca="1">OFFSET('1课程考核方式及成绩组成'!$N$10,(ROW(F142)-5)/7,MOD((ROW(F142)-5),7))</f>
        <v>0</v>
      </c>
      <c r="G142" s="19">
        <f ca="1">OFFSET('1课程考核方式及成绩组成'!$V$10,(ROW(G142)-5)/7,MOD((ROW(G142)-5),7))</f>
        <v>0</v>
      </c>
      <c r="H142" s="19">
        <f ca="1">OFFSET('1课程考核方式及成绩组成'!$AD$10,(ROW(H142)-5)/7,MOD((ROW(H142)-5),7))</f>
        <v>0</v>
      </c>
      <c r="I142" s="19">
        <f ca="1">OFFSET('1课程考核方式及成绩组成'!$AL$10,(ROW(I142)-5)/7,MOD((ROW(I142)-5),7))</f>
        <v>0</v>
      </c>
      <c r="J142" s="25">
        <f ca="1">IF('0信息维护'!$I$109=0,0,E142/('0信息维护'!$I$109)*'0信息维护'!$E$39*'0信息维护'!$S$29)+IF('0信息维护'!$I$110=0,0,F142/('0信息维护'!$I$110)*'0信息维护'!$E$39*'0信息维护'!$T$29)+IF('0信息维护'!$I$111=0,0,G142/('0信息维护'!$I$111)*'0信息维护'!$E$39*'0信息维护'!$U$29)+IF('0信息维护'!$I$112=0,0,H142/('0信息维护'!$I$112)*'0信息维护'!$E$39*'0信息维护'!$V$29)+IF('0信息维护'!$I$113=0,0,I142/'0信息维护'!$I$113*'0信息维护'!$I$39)</f>
        <v>0</v>
      </c>
      <c r="K142" s="27"/>
    </row>
    <row r="143" spans="1:11">
      <c r="A143" s="20"/>
      <c r="B143" s="20"/>
      <c r="C143" s="20"/>
      <c r="D143" s="18" t="str">
        <f>'0信息维护'!A$30</f>
        <v>课程目标6</v>
      </c>
      <c r="E143" s="19">
        <f ca="1">OFFSET('1课程考核方式及成绩组成'!$F$10,(ROW(E143)-5)/7,MOD((ROW(E143)-5),7))</f>
        <v>0</v>
      </c>
      <c r="F143" s="19">
        <f ca="1">OFFSET('1课程考核方式及成绩组成'!$N$10,(ROW(F143)-5)/7,MOD((ROW(F143)-5),7))</f>
        <v>0</v>
      </c>
      <c r="G143" s="19">
        <f ca="1">OFFSET('1课程考核方式及成绩组成'!$V$10,(ROW(G143)-5)/7,MOD((ROW(G143)-5),7))</f>
        <v>0</v>
      </c>
      <c r="H143" s="19">
        <f ca="1">OFFSET('1课程考核方式及成绩组成'!$AD$10,(ROW(H143)-5)/7,MOD((ROW(H143)-5),7))</f>
        <v>0</v>
      </c>
      <c r="I143" s="19">
        <f ca="1">OFFSET('1课程考核方式及成绩组成'!$AL$10,(ROW(I143)-5)/7,MOD((ROW(I143)-5),7))</f>
        <v>0</v>
      </c>
      <c r="J143" s="25">
        <f ca="1">IF('0信息维护'!$I$115=0,0,E143/('0信息维护'!$I$115)*'0信息维护'!$E$40*'0信息维护'!$S$30)+IF('0信息维护'!$I$116=0,0,F143/('0信息维护'!$I$116)*'0信息维护'!$E$40*'0信息维护'!$T$30)+IF('0信息维护'!$I$117=0,0,G143/('0信息维护'!$I$117)*'0信息维护'!$E$40*'0信息维护'!$U$30)+IF('0信息维护'!$I$118=0,0,H143/('0信息维护'!$I$118)*'0信息维护'!$E$40*'0信息维护'!$V$30)+IF('0信息维护'!$I$119=0,0,I143/'0信息维护'!$I$119*'0信息维护'!$I$40)</f>
        <v>0</v>
      </c>
      <c r="K143" s="27"/>
    </row>
    <row r="144" spans="1:11">
      <c r="A144" s="21"/>
      <c r="B144" s="21"/>
      <c r="C144" s="21"/>
      <c r="D144" s="18" t="str">
        <f>'0信息维护'!A$31</f>
        <v>课程目标7</v>
      </c>
      <c r="E144" s="19">
        <f ca="1">OFFSET('1课程考核方式及成绩组成'!$F$10,(ROW(E144)-5)/7,MOD((ROW(E144)-5),7))</f>
        <v>0</v>
      </c>
      <c r="F144" s="19">
        <f ca="1">OFFSET('1课程考核方式及成绩组成'!$N$10,(ROW(F144)-5)/7,MOD((ROW(F144)-5),7))</f>
        <v>0</v>
      </c>
      <c r="G144" s="19">
        <f ca="1">OFFSET('1课程考核方式及成绩组成'!$V$10,(ROW(G144)-5)/7,MOD((ROW(G144)-5),7))</f>
        <v>0</v>
      </c>
      <c r="H144" s="19">
        <f ca="1">OFFSET('1课程考核方式及成绩组成'!$AD$10,(ROW(H144)-5)/7,MOD((ROW(H144)-5),7))</f>
        <v>0</v>
      </c>
      <c r="I144" s="19">
        <f ca="1">OFFSET('1课程考核方式及成绩组成'!$AL$10,(ROW(I144)-5)/7,MOD((ROW(I144)-5),7))</f>
        <v>0</v>
      </c>
      <c r="J144" s="25">
        <f ca="1">IF('0信息维护'!$I$121=0,0,E144/('0信息维护'!$I$121)*'0信息维护'!$E$41*'0信息维护'!$S$31)+IF('0信息维护'!$I$122=0,0,F144/('0信息维护'!$I$122)*'0信息维护'!$E$41*'0信息维护'!$T$31)+IF('0信息维护'!$I$123=0,0,G144/('0信息维护'!$I$123)*'0信息维护'!$E$41*'0信息维护'!$U$31)+IF('0信息维护'!$I$124=0,0,H144/('0信息维护'!$I$124)*'0信息维护'!$E$41*'0信息维护'!$T$31)+IF('0信息维护'!$I$125=0,0,I144/'0信息维护'!$I$125*'0信息维护'!$I$41)</f>
        <v>0</v>
      </c>
      <c r="K144" s="30"/>
    </row>
    <row r="145" spans="1:11">
      <c r="A145" s="17">
        <v>21</v>
      </c>
      <c r="B145" s="17" t="str">
        <f ca="1">OFFSET('1课程考核方式及成绩组成'!$D$10,(ROW(B145)-5)/7,)</f>
        <v>190301017</v>
      </c>
      <c r="C145" s="17" t="str">
        <f ca="1">OFFSET('1课程考核方式及成绩组成'!$E$10,(ROW(C145)-5)/7,)</f>
        <v>王聪</v>
      </c>
      <c r="D145" s="18" t="str">
        <f>'0信息维护'!A$25</f>
        <v>课程目标1</v>
      </c>
      <c r="E145" s="19">
        <f ca="1">OFFSET('1课程考核方式及成绩组成'!$F$10,(ROW(E145)-5)/7,MOD((ROW(E145)-5),7))</f>
        <v>40</v>
      </c>
      <c r="F145" s="19">
        <f ca="1">OFFSET('1课程考核方式及成绩组成'!$N$10,(ROW(F145)-5)/7,MOD((ROW(F145)-5),7))</f>
        <v>0</v>
      </c>
      <c r="G145" s="19">
        <f ca="1">OFFSET('1课程考核方式及成绩组成'!$V$10,(ROW(G145)-5)/7,MOD((ROW(G145)-5),7))</f>
        <v>0</v>
      </c>
      <c r="H145" s="19">
        <f ca="1">OFFSET('1课程考核方式及成绩组成'!$AD$10,(ROW(H145)-5)/7,MOD((ROW(H145)-5),7))</f>
        <v>0</v>
      </c>
      <c r="I145" s="19">
        <f ca="1">OFFSET('1课程考核方式及成绩组成'!$AL$10,(ROW(I145)-5)/7,MOD((ROW(I145)-5),7))</f>
        <v>28</v>
      </c>
      <c r="J145" s="25">
        <f ca="1">IF('0信息维护'!$I$85=0,0,E145/('0信息维护'!$I$85)*'0信息维护'!$E$35*'0信息维护'!$S$25)+IF('0信息维护'!$I$86=0,0,F145/('0信息维护'!$I$86)*'0信息维护'!$E$35*'0信息维护'!$T$25)+IF('0信息维护'!$I$87=0,0,G145/('0信息维护'!$I$87)*'0信息维护'!$E$35*'0信息维护'!$U$25)+IF('0信息维护'!$I$88=0,0,H145/('0信息维护'!$I$88)*'0信息维护'!$E$35*'0信息维护'!$V$25)+IF('0信息维护'!$I$89=0,0,I145/'0信息维护'!$I$89*'0信息维护'!$I$35)</f>
        <v>0.888888888888889</v>
      </c>
      <c r="K145" s="26">
        <f ca="1">J145*'0信息维护'!$D$132+J146*'0信息维护'!$D$133+J147*'0信息维护'!$D$134+J148*'0信息维护'!$D$135+J149*'0信息维护'!$D$136+J150*'0信息维护'!$D$137+J151*'0信息维护'!$D$138</f>
        <v>0.766745098039216</v>
      </c>
    </row>
    <row r="146" spans="1:14">
      <c r="A146" s="20"/>
      <c r="B146" s="20"/>
      <c r="C146" s="20"/>
      <c r="D146" s="18" t="str">
        <f>'0信息维护'!A$26</f>
        <v>课程目标2</v>
      </c>
      <c r="E146" s="19">
        <f ca="1">OFFSET('1课程考核方式及成绩组成'!$F$10,(ROW(E146)-5)/7,MOD((ROW(E146)-5),7))</f>
        <v>60</v>
      </c>
      <c r="F146" s="19">
        <f ca="1">OFFSET('1课程考核方式及成绩组成'!$N$10,(ROW(F146)-5)/7,MOD((ROW(F146)-5),7))</f>
        <v>0</v>
      </c>
      <c r="G146" s="19">
        <f ca="1">OFFSET('1课程考核方式及成绩组成'!$V$10,(ROW(G146)-5)/7,MOD((ROW(G146)-5),7))</f>
        <v>0</v>
      </c>
      <c r="H146" s="19">
        <f ca="1">OFFSET('1课程考核方式及成绩组成'!$AD$10,(ROW(H146)-5)/7,MOD((ROW(H146)-5),7))</f>
        <v>0</v>
      </c>
      <c r="I146" s="19">
        <f ca="1">OFFSET('1课程考核方式及成绩组成'!$AL$10,(ROW(I146)-5)/7,MOD((ROW(I146)-5),7))</f>
        <v>16</v>
      </c>
      <c r="J146" s="25">
        <f ca="1">IF('0信息维护'!$I$91=0,0,E146/('0信息维护'!$I$91)*'0信息维护'!$S$26*'0信息维护'!$E$36)+IF('0信息维护'!$I$92=0,0,F146/('0信息维护'!$I$92)*'0信息维护'!$T$26*'0信息维护'!$E$36)+IF('0信息维护'!$I$93=0,0,G146/('0信息维护'!$I$93)*'0信息维护'!$U$26*'0信息维护'!$E$36)+IF('0信息维护'!$I$94=0,0,H146/('0信息维护'!$I$94)*'0信息维护'!$V$26*'0信息维护'!$E$36)+IF('0信息维护'!$I$95=0,0,I146/'0信息维护'!$I$95*'0信息维护'!$I$36)</f>
        <v>0.766666666666667</v>
      </c>
      <c r="K146" s="27"/>
      <c r="N146" s="29"/>
    </row>
    <row r="147" spans="1:11">
      <c r="A147" s="20"/>
      <c r="B147" s="20"/>
      <c r="C147" s="20"/>
      <c r="D147" s="18" t="str">
        <f>'0信息维护'!A$27</f>
        <v>课程目标3</v>
      </c>
      <c r="E147" s="19">
        <f ca="1">OFFSET('1课程考核方式及成绩组成'!$F$10,(ROW(E147)-5)/7,MOD((ROW(E147)-5),7))</f>
        <v>0</v>
      </c>
      <c r="F147" s="19">
        <f ca="1">OFFSET('1课程考核方式及成绩组成'!$N$10,(ROW(F147)-5)/7,MOD((ROW(F147)-5),7))</f>
        <v>0</v>
      </c>
      <c r="G147" s="19">
        <f ca="1">OFFSET('1课程考核方式及成绩组成'!$V$10,(ROW(G147)-5)/7,MOD((ROW(G147)-5),7))</f>
        <v>0</v>
      </c>
      <c r="H147" s="19">
        <f ca="1">OFFSET('1课程考核方式及成绩组成'!$AD$10,(ROW(H147)-5)/7,MOD((ROW(H147)-5),7))</f>
        <v>0</v>
      </c>
      <c r="I147" s="19">
        <f ca="1">OFFSET('1课程考核方式及成绩组成'!$AL$10,(ROW(I147)-5)/7,MOD((ROW(I147)-5),7))</f>
        <v>21</v>
      </c>
      <c r="J147" s="25">
        <f ca="1">IF('0信息维护'!$I$97=0,0,E147/('0信息维护'!$I$97)*'0信息维护'!$E$37*'0信息维护'!$S$27)+IF('0信息维护'!$I$98=0,0,F147/('0信息维护'!$I$98)*'0信息维护'!$E$37*'0信息维护'!$T$27)+IF('0信息维护'!$I$99=0,0,G147/('0信息维护'!$I$99)*'0信息维护'!$E$37*'0信息维护'!$U$27)+IF('0信息维护'!$I$100=0,0,H147/('0信息维护'!$I$100)*'0信息维护'!$E$37*'0信息维护'!$V$27)+IF('0信息维护'!$I$101=0,0,I147/'0信息维护'!$I$101*'0信息维护'!$I$37)</f>
        <v>0.617647058823529</v>
      </c>
      <c r="K147" s="27"/>
    </row>
    <row r="148" spans="1:11">
      <c r="A148" s="20"/>
      <c r="B148" s="20"/>
      <c r="C148" s="20"/>
      <c r="D148" s="18" t="str">
        <f>'0信息维护'!A$28</f>
        <v>课程目标4</v>
      </c>
      <c r="E148" s="19">
        <f ca="1">OFFSET('1课程考核方式及成绩组成'!$F$10,(ROW(E148)-5)/7,MOD((ROW(E148)-5),7))</f>
        <v>0</v>
      </c>
      <c r="F148" s="19">
        <f ca="1">OFFSET('1课程考核方式及成绩组成'!$N$10,(ROW(F148)-5)/7,MOD((ROW(F148)-5),7))</f>
        <v>83</v>
      </c>
      <c r="G148" s="19">
        <f ca="1">OFFSET('1课程考核方式及成绩组成'!$V$10,(ROW(G148)-5)/7,MOD((ROW(G148)-5),7))</f>
        <v>0</v>
      </c>
      <c r="H148" s="19">
        <f ca="1">OFFSET('1课程考核方式及成绩组成'!$AD$10,(ROW(H148)-5)/7,MOD((ROW(H148)-5),7))</f>
        <v>0</v>
      </c>
      <c r="I148" s="19">
        <f ca="1">OFFSET('1课程考核方式及成绩组成'!$AL$10,(ROW(I148)-5)/7,MOD((ROW(I148)-5),7))</f>
        <v>0</v>
      </c>
      <c r="J148" s="25">
        <f ca="1">IF('0信息维护'!$I$103=0,0,E148/('0信息维护'!$I$103)*'0信息维护'!$E$38*'0信息维护'!$S$28)+IF('0信息维护'!$I$104=0,0,F148/('0信息维护'!$I$104)*'0信息维护'!$E$38*'0信息维护'!$T$28)+IF('0信息维护'!$I$105=0,0,G148/('0信息维护'!$I$105)*'0信息维护'!$E$38*'0信息维护'!$U$28)+IF('0信息维护'!$I$106=0,0,H148/('0信息维护'!$I$106)*'0信息维护'!$E$38*'0信息维护'!$V$28)+IF('0信息维护'!$I$107=0,0,I148/'0信息维护'!$I$107*'0信息维护'!$I$38)</f>
        <v>0.83</v>
      </c>
      <c r="K148" s="27"/>
    </row>
    <row r="149" spans="1:11">
      <c r="A149" s="20"/>
      <c r="B149" s="20"/>
      <c r="C149" s="20"/>
      <c r="D149" s="18" t="str">
        <f>'0信息维护'!A$29</f>
        <v>课程目标5</v>
      </c>
      <c r="E149" s="19">
        <f ca="1">OFFSET('1课程考核方式及成绩组成'!$F$10,(ROW(E149)-5)/7,MOD((ROW(E149)-5),7))</f>
        <v>0</v>
      </c>
      <c r="F149" s="19">
        <f ca="1">OFFSET('1课程考核方式及成绩组成'!$N$10,(ROW(F149)-5)/7,MOD((ROW(F149)-5),7))</f>
        <v>0</v>
      </c>
      <c r="G149" s="19">
        <f ca="1">OFFSET('1课程考核方式及成绩组成'!$V$10,(ROW(G149)-5)/7,MOD((ROW(G149)-5),7))</f>
        <v>0</v>
      </c>
      <c r="H149" s="19">
        <f ca="1">OFFSET('1课程考核方式及成绩组成'!$AD$10,(ROW(H149)-5)/7,MOD((ROW(H149)-5),7))</f>
        <v>0</v>
      </c>
      <c r="I149" s="19">
        <f ca="1">OFFSET('1课程考核方式及成绩组成'!$AL$10,(ROW(I149)-5)/7,MOD((ROW(I149)-5),7))</f>
        <v>0</v>
      </c>
      <c r="J149" s="25">
        <f ca="1">IF('0信息维护'!$I$109=0,0,E149/('0信息维护'!$I$109)*'0信息维护'!$E$39*'0信息维护'!$S$29)+IF('0信息维护'!$I$110=0,0,F149/('0信息维护'!$I$110)*'0信息维护'!$E$39*'0信息维护'!$T$29)+IF('0信息维护'!$I$111=0,0,G149/('0信息维护'!$I$111)*'0信息维护'!$E$39*'0信息维护'!$U$29)+IF('0信息维护'!$I$112=0,0,H149/('0信息维护'!$I$112)*'0信息维护'!$E$39*'0信息维护'!$V$29)+IF('0信息维护'!$I$113=0,0,I149/'0信息维护'!$I$113*'0信息维护'!$I$39)</f>
        <v>0</v>
      </c>
      <c r="K149" s="27"/>
    </row>
    <row r="150" spans="1:11">
      <c r="A150" s="20"/>
      <c r="B150" s="20"/>
      <c r="C150" s="20"/>
      <c r="D150" s="18" t="str">
        <f>'0信息维护'!A$30</f>
        <v>课程目标6</v>
      </c>
      <c r="E150" s="19">
        <f ca="1">OFFSET('1课程考核方式及成绩组成'!$F$10,(ROW(E150)-5)/7,MOD((ROW(E150)-5),7))</f>
        <v>0</v>
      </c>
      <c r="F150" s="19">
        <f ca="1">OFFSET('1课程考核方式及成绩组成'!$N$10,(ROW(F150)-5)/7,MOD((ROW(F150)-5),7))</f>
        <v>0</v>
      </c>
      <c r="G150" s="19">
        <f ca="1">OFFSET('1课程考核方式及成绩组成'!$V$10,(ROW(G150)-5)/7,MOD((ROW(G150)-5),7))</f>
        <v>0</v>
      </c>
      <c r="H150" s="19">
        <f ca="1">OFFSET('1课程考核方式及成绩组成'!$AD$10,(ROW(H150)-5)/7,MOD((ROW(H150)-5),7))</f>
        <v>0</v>
      </c>
      <c r="I150" s="19">
        <f ca="1">OFFSET('1课程考核方式及成绩组成'!$AL$10,(ROW(I150)-5)/7,MOD((ROW(I150)-5),7))</f>
        <v>0</v>
      </c>
      <c r="J150" s="25">
        <f ca="1">IF('0信息维护'!$I$115=0,0,E150/('0信息维护'!$I$115)*'0信息维护'!$E$40*'0信息维护'!$S$30)+IF('0信息维护'!$I$116=0,0,F150/('0信息维护'!$I$116)*'0信息维护'!$E$40*'0信息维护'!$T$30)+IF('0信息维护'!$I$117=0,0,G150/('0信息维护'!$I$117)*'0信息维护'!$E$40*'0信息维护'!$U$30)+IF('0信息维护'!$I$118=0,0,H150/('0信息维护'!$I$118)*'0信息维护'!$E$40*'0信息维护'!$V$30)+IF('0信息维护'!$I$119=0,0,I150/'0信息维护'!$I$119*'0信息维护'!$I$40)</f>
        <v>0</v>
      </c>
      <c r="K150" s="27"/>
    </row>
    <row r="151" spans="1:11">
      <c r="A151" s="21"/>
      <c r="B151" s="21"/>
      <c r="C151" s="21"/>
      <c r="D151" s="18" t="str">
        <f>'0信息维护'!A$31</f>
        <v>课程目标7</v>
      </c>
      <c r="E151" s="19">
        <f ca="1">OFFSET('1课程考核方式及成绩组成'!$F$10,(ROW(E151)-5)/7,MOD((ROW(E151)-5),7))</f>
        <v>0</v>
      </c>
      <c r="F151" s="19">
        <f ca="1">OFFSET('1课程考核方式及成绩组成'!$N$10,(ROW(F151)-5)/7,MOD((ROW(F151)-5),7))</f>
        <v>0</v>
      </c>
      <c r="G151" s="19">
        <f ca="1">OFFSET('1课程考核方式及成绩组成'!$V$10,(ROW(G151)-5)/7,MOD((ROW(G151)-5),7))</f>
        <v>0</v>
      </c>
      <c r="H151" s="19">
        <f ca="1">OFFSET('1课程考核方式及成绩组成'!$AD$10,(ROW(H151)-5)/7,MOD((ROW(H151)-5),7))</f>
        <v>0</v>
      </c>
      <c r="I151" s="19">
        <f ca="1">OFFSET('1课程考核方式及成绩组成'!$AL$10,(ROW(I151)-5)/7,MOD((ROW(I151)-5),7))</f>
        <v>0</v>
      </c>
      <c r="J151" s="25">
        <f ca="1">IF('0信息维护'!$I$121=0,0,E151/('0信息维护'!$I$121)*'0信息维护'!$E$41*'0信息维护'!$S$31)+IF('0信息维护'!$I$122=0,0,F151/('0信息维护'!$I$122)*'0信息维护'!$E$41*'0信息维护'!$T$31)+IF('0信息维护'!$I$123=0,0,G151/('0信息维护'!$I$123)*'0信息维护'!$E$41*'0信息维护'!$U$31)+IF('0信息维护'!$I$124=0,0,H151/('0信息维护'!$I$124)*'0信息维护'!$E$41*'0信息维护'!$T$31)+IF('0信息维护'!$I$125=0,0,I151/'0信息维护'!$I$125*'0信息维护'!$I$41)</f>
        <v>0</v>
      </c>
      <c r="K151" s="30"/>
    </row>
    <row r="152" spans="1:11">
      <c r="A152" s="17">
        <v>22</v>
      </c>
      <c r="B152" s="17" t="str">
        <f ca="1">OFFSET('1课程考核方式及成绩组成'!$D$10,(ROW(B152)-5)/7,)</f>
        <v>190301018</v>
      </c>
      <c r="C152" s="17" t="str">
        <f ca="1">OFFSET('1课程考核方式及成绩组成'!$E$10,(ROW(C152)-5)/7,)</f>
        <v>胡雨梦</v>
      </c>
      <c r="D152" s="18" t="str">
        <f>'0信息维护'!A$25</f>
        <v>课程目标1</v>
      </c>
      <c r="E152" s="19">
        <f ca="1">OFFSET('1课程考核方式及成绩组成'!$F$10,(ROW(E152)-5)/7,MOD((ROW(E152)-5),7))</f>
        <v>40</v>
      </c>
      <c r="F152" s="19">
        <f ca="1">OFFSET('1课程考核方式及成绩组成'!$N$10,(ROW(F152)-5)/7,MOD((ROW(F152)-5),7))</f>
        <v>0</v>
      </c>
      <c r="G152" s="19">
        <f ca="1">OFFSET('1课程考核方式及成绩组成'!$V$10,(ROW(G152)-5)/7,MOD((ROW(G152)-5),7))</f>
        <v>0</v>
      </c>
      <c r="H152" s="19">
        <f ca="1">OFFSET('1课程考核方式及成绩组成'!$AD$10,(ROW(H152)-5)/7,MOD((ROW(H152)-5),7))</f>
        <v>0</v>
      </c>
      <c r="I152" s="19">
        <f ca="1">OFFSET('1课程考核方式及成绩组成'!$AL$10,(ROW(I152)-5)/7,MOD((ROW(I152)-5),7))</f>
        <v>32</v>
      </c>
      <c r="J152" s="25">
        <f ca="1">IF('0信息维护'!$I$85=0,0,E152/('0信息维护'!$I$85)*'0信息维护'!$E$35*'0信息维护'!$S$25)+IF('0信息维护'!$I$86=0,0,F152/('0信息维护'!$I$86)*'0信息维护'!$E$35*'0信息维护'!$T$25)+IF('0信息维护'!$I$87=0,0,G152/('0信息维护'!$I$87)*'0信息维护'!$E$35*'0信息维护'!$U$25)+IF('0信息维护'!$I$88=0,0,H152/('0信息维护'!$I$88)*'0信息维护'!$E$35*'0信息维护'!$V$25)+IF('0信息维护'!$I$89=0,0,I152/'0信息维护'!$I$89*'0信息维护'!$I$35)</f>
        <v>0.944444444444444</v>
      </c>
      <c r="K152" s="26">
        <f ca="1">J152*'0信息维护'!$D$132+J153*'0信息维护'!$D$133+J154*'0信息维护'!$D$134+J155*'0信息维护'!$D$135+J156*'0信息维护'!$D$136+J157*'0信息维护'!$D$137+J158*'0信息维护'!$D$138</f>
        <v>0.757372549019608</v>
      </c>
    </row>
    <row r="153" spans="1:14">
      <c r="A153" s="20"/>
      <c r="B153" s="20"/>
      <c r="C153" s="20"/>
      <c r="D153" s="18" t="str">
        <f>'0信息维护'!A$26</f>
        <v>课程目标2</v>
      </c>
      <c r="E153" s="19">
        <f ca="1">OFFSET('1课程考核方式及成绩组成'!$F$10,(ROW(E153)-5)/7,MOD((ROW(E153)-5),7))</f>
        <v>60</v>
      </c>
      <c r="F153" s="19">
        <f ca="1">OFFSET('1课程考核方式及成绩组成'!$N$10,(ROW(F153)-5)/7,MOD((ROW(F153)-5),7))</f>
        <v>0</v>
      </c>
      <c r="G153" s="19">
        <f ca="1">OFFSET('1课程考核方式及成绩组成'!$V$10,(ROW(G153)-5)/7,MOD((ROW(G153)-5),7))</f>
        <v>0</v>
      </c>
      <c r="H153" s="19">
        <f ca="1">OFFSET('1课程考核方式及成绩组成'!$AD$10,(ROW(H153)-5)/7,MOD((ROW(H153)-5),7))</f>
        <v>0</v>
      </c>
      <c r="I153" s="19">
        <f ca="1">OFFSET('1课程考核方式及成绩组成'!$AL$10,(ROW(I153)-5)/7,MOD((ROW(I153)-5),7))</f>
        <v>22</v>
      </c>
      <c r="J153" s="25">
        <f ca="1">IF('0信息维护'!$I$91=0,0,E153/('0信息维护'!$I$91)*'0信息维护'!$S$26*'0信息维护'!$E$36)+IF('0信息维护'!$I$92=0,0,F153/('0信息维护'!$I$92)*'0信息维护'!$T$26*'0信息维护'!$E$36)+IF('0信息维护'!$I$93=0,0,G153/('0信息维护'!$I$93)*'0信息维护'!$U$26*'0信息维护'!$E$36)+IF('0信息维护'!$I$94=0,0,H153/('0信息维护'!$I$94)*'0信息维护'!$V$26*'0信息维护'!$E$36)+IF('0信息维护'!$I$95=0,0,I153/'0信息维护'!$I$95*'0信息维护'!$I$36)</f>
        <v>0.866666666666667</v>
      </c>
      <c r="K153" s="27"/>
      <c r="N153" s="29"/>
    </row>
    <row r="154" spans="1:11">
      <c r="A154" s="20"/>
      <c r="B154" s="20"/>
      <c r="C154" s="20"/>
      <c r="D154" s="18" t="str">
        <f>'0信息维护'!A$27</f>
        <v>课程目标3</v>
      </c>
      <c r="E154" s="19">
        <f ca="1">OFFSET('1课程考核方式及成绩组成'!$F$10,(ROW(E154)-5)/7,MOD((ROW(E154)-5),7))</f>
        <v>0</v>
      </c>
      <c r="F154" s="19">
        <f ca="1">OFFSET('1课程考核方式及成绩组成'!$N$10,(ROW(F154)-5)/7,MOD((ROW(F154)-5),7))</f>
        <v>0</v>
      </c>
      <c r="G154" s="19">
        <f ca="1">OFFSET('1课程考核方式及成绩组成'!$V$10,(ROW(G154)-5)/7,MOD((ROW(G154)-5),7))</f>
        <v>0</v>
      </c>
      <c r="H154" s="19">
        <f ca="1">OFFSET('1课程考核方式及成绩组成'!$AD$10,(ROW(H154)-5)/7,MOD((ROW(H154)-5),7))</f>
        <v>0</v>
      </c>
      <c r="I154" s="19">
        <f ca="1">OFFSET('1课程考核方式及成绩组成'!$AL$10,(ROW(I154)-5)/7,MOD((ROW(I154)-5),7))</f>
        <v>19</v>
      </c>
      <c r="J154" s="25">
        <f ca="1">IF('0信息维护'!$I$97=0,0,E154/('0信息维护'!$I$97)*'0信息维护'!$E$37*'0信息维护'!$S$27)+IF('0信息维护'!$I$98=0,0,F154/('0信息维护'!$I$98)*'0信息维护'!$E$37*'0信息维护'!$T$27)+IF('0信息维护'!$I$99=0,0,G154/('0信息维护'!$I$99)*'0信息维护'!$E$37*'0信息维护'!$U$27)+IF('0信息维护'!$I$100=0,0,H154/('0信息维护'!$I$100)*'0信息维护'!$E$37*'0信息维护'!$V$27)+IF('0信息维护'!$I$101=0,0,I154/'0信息维护'!$I$101*'0信息维护'!$I$37)</f>
        <v>0.558823529411765</v>
      </c>
      <c r="K154" s="27"/>
    </row>
    <row r="155" spans="1:11">
      <c r="A155" s="20"/>
      <c r="B155" s="20"/>
      <c r="C155" s="20"/>
      <c r="D155" s="18" t="str">
        <f>'0信息维护'!A$28</f>
        <v>课程目标4</v>
      </c>
      <c r="E155" s="19">
        <f ca="1">OFFSET('1课程考核方式及成绩组成'!$F$10,(ROW(E155)-5)/7,MOD((ROW(E155)-5),7))</f>
        <v>0</v>
      </c>
      <c r="F155" s="19">
        <f ca="1">OFFSET('1课程考核方式及成绩组成'!$N$10,(ROW(F155)-5)/7,MOD((ROW(F155)-5),7))</f>
        <v>72</v>
      </c>
      <c r="G155" s="19">
        <f ca="1">OFFSET('1课程考核方式及成绩组成'!$V$10,(ROW(G155)-5)/7,MOD((ROW(G155)-5),7))</f>
        <v>0</v>
      </c>
      <c r="H155" s="19">
        <f ca="1">OFFSET('1课程考核方式及成绩组成'!$AD$10,(ROW(H155)-5)/7,MOD((ROW(H155)-5),7))</f>
        <v>0</v>
      </c>
      <c r="I155" s="19">
        <f ca="1">OFFSET('1课程考核方式及成绩组成'!$AL$10,(ROW(I155)-5)/7,MOD((ROW(I155)-5),7))</f>
        <v>0</v>
      </c>
      <c r="J155" s="25">
        <f ca="1">IF('0信息维护'!$I$103=0,0,E155/('0信息维护'!$I$103)*'0信息维护'!$E$38*'0信息维护'!$S$28)+IF('0信息维护'!$I$104=0,0,F155/('0信息维护'!$I$104)*'0信息维护'!$E$38*'0信息维护'!$T$28)+IF('0信息维护'!$I$105=0,0,G155/('0信息维护'!$I$105)*'0信息维护'!$E$38*'0信息维护'!$U$28)+IF('0信息维护'!$I$106=0,0,H155/('0信息维护'!$I$106)*'0信息维护'!$E$38*'0信息维护'!$V$28)+IF('0信息维护'!$I$107=0,0,I155/'0信息维护'!$I$107*'0信息维护'!$I$38)</f>
        <v>0.72</v>
      </c>
      <c r="K155" s="27"/>
    </row>
    <row r="156" spans="1:11">
      <c r="A156" s="20"/>
      <c r="B156" s="20"/>
      <c r="C156" s="20"/>
      <c r="D156" s="18" t="str">
        <f>'0信息维护'!A$29</f>
        <v>课程目标5</v>
      </c>
      <c r="E156" s="19">
        <f ca="1">OFFSET('1课程考核方式及成绩组成'!$F$10,(ROW(E156)-5)/7,MOD((ROW(E156)-5),7))</f>
        <v>0</v>
      </c>
      <c r="F156" s="19">
        <f ca="1">OFFSET('1课程考核方式及成绩组成'!$N$10,(ROW(F156)-5)/7,MOD((ROW(F156)-5),7))</f>
        <v>0</v>
      </c>
      <c r="G156" s="19">
        <f ca="1">OFFSET('1课程考核方式及成绩组成'!$V$10,(ROW(G156)-5)/7,MOD((ROW(G156)-5),7))</f>
        <v>0</v>
      </c>
      <c r="H156" s="19">
        <f ca="1">OFFSET('1课程考核方式及成绩组成'!$AD$10,(ROW(H156)-5)/7,MOD((ROW(H156)-5),7))</f>
        <v>0</v>
      </c>
      <c r="I156" s="19">
        <f ca="1">OFFSET('1课程考核方式及成绩组成'!$AL$10,(ROW(I156)-5)/7,MOD((ROW(I156)-5),7))</f>
        <v>0</v>
      </c>
      <c r="J156" s="25">
        <f ca="1">IF('0信息维护'!$I$109=0,0,E156/('0信息维护'!$I$109)*'0信息维护'!$E$39*'0信息维护'!$S$29)+IF('0信息维护'!$I$110=0,0,F156/('0信息维护'!$I$110)*'0信息维护'!$E$39*'0信息维护'!$T$29)+IF('0信息维护'!$I$111=0,0,G156/('0信息维护'!$I$111)*'0信息维护'!$E$39*'0信息维护'!$U$29)+IF('0信息维护'!$I$112=0,0,H156/('0信息维护'!$I$112)*'0信息维护'!$E$39*'0信息维护'!$V$29)+IF('0信息维护'!$I$113=0,0,I156/'0信息维护'!$I$113*'0信息维护'!$I$39)</f>
        <v>0</v>
      </c>
      <c r="K156" s="27"/>
    </row>
    <row r="157" spans="1:11">
      <c r="A157" s="20"/>
      <c r="B157" s="20"/>
      <c r="C157" s="20"/>
      <c r="D157" s="18" t="str">
        <f>'0信息维护'!A$30</f>
        <v>课程目标6</v>
      </c>
      <c r="E157" s="19">
        <f ca="1">OFFSET('1课程考核方式及成绩组成'!$F$10,(ROW(E157)-5)/7,MOD((ROW(E157)-5),7))</f>
        <v>0</v>
      </c>
      <c r="F157" s="19">
        <f ca="1">OFFSET('1课程考核方式及成绩组成'!$N$10,(ROW(F157)-5)/7,MOD((ROW(F157)-5),7))</f>
        <v>0</v>
      </c>
      <c r="G157" s="19">
        <f ca="1">OFFSET('1课程考核方式及成绩组成'!$V$10,(ROW(G157)-5)/7,MOD((ROW(G157)-5),7))</f>
        <v>0</v>
      </c>
      <c r="H157" s="19">
        <f ca="1">OFFSET('1课程考核方式及成绩组成'!$AD$10,(ROW(H157)-5)/7,MOD((ROW(H157)-5),7))</f>
        <v>0</v>
      </c>
      <c r="I157" s="19">
        <f ca="1">OFFSET('1课程考核方式及成绩组成'!$AL$10,(ROW(I157)-5)/7,MOD((ROW(I157)-5),7))</f>
        <v>0</v>
      </c>
      <c r="J157" s="25">
        <f ca="1">IF('0信息维护'!$I$115=0,0,E157/('0信息维护'!$I$115)*'0信息维护'!$E$40*'0信息维护'!$S$30)+IF('0信息维护'!$I$116=0,0,F157/('0信息维护'!$I$116)*'0信息维护'!$E$40*'0信息维护'!$T$30)+IF('0信息维护'!$I$117=0,0,G157/('0信息维护'!$I$117)*'0信息维护'!$E$40*'0信息维护'!$U$30)+IF('0信息维护'!$I$118=0,0,H157/('0信息维护'!$I$118)*'0信息维护'!$E$40*'0信息维护'!$V$30)+IF('0信息维护'!$I$119=0,0,I157/'0信息维护'!$I$119*'0信息维护'!$I$40)</f>
        <v>0</v>
      </c>
      <c r="K157" s="27"/>
    </row>
    <row r="158" spans="1:11">
      <c r="A158" s="21"/>
      <c r="B158" s="21"/>
      <c r="C158" s="21"/>
      <c r="D158" s="18" t="str">
        <f>'0信息维护'!A$31</f>
        <v>课程目标7</v>
      </c>
      <c r="E158" s="19">
        <f ca="1">OFFSET('1课程考核方式及成绩组成'!$F$10,(ROW(E158)-5)/7,MOD((ROW(E158)-5),7))</f>
        <v>0</v>
      </c>
      <c r="F158" s="19">
        <f ca="1">OFFSET('1课程考核方式及成绩组成'!$N$10,(ROW(F158)-5)/7,MOD((ROW(F158)-5),7))</f>
        <v>0</v>
      </c>
      <c r="G158" s="19">
        <f ca="1">OFFSET('1课程考核方式及成绩组成'!$V$10,(ROW(G158)-5)/7,MOD((ROW(G158)-5),7))</f>
        <v>0</v>
      </c>
      <c r="H158" s="19">
        <f ca="1">OFFSET('1课程考核方式及成绩组成'!$AD$10,(ROW(H158)-5)/7,MOD((ROW(H158)-5),7))</f>
        <v>0</v>
      </c>
      <c r="I158" s="19">
        <f ca="1">OFFSET('1课程考核方式及成绩组成'!$AL$10,(ROW(I158)-5)/7,MOD((ROW(I158)-5),7))</f>
        <v>0</v>
      </c>
      <c r="J158" s="25">
        <f ca="1">IF('0信息维护'!$I$121=0,0,E158/('0信息维护'!$I$121)*'0信息维护'!$E$41*'0信息维护'!$S$31)+IF('0信息维护'!$I$122=0,0,F158/('0信息维护'!$I$122)*'0信息维护'!$E$41*'0信息维护'!$T$31)+IF('0信息维护'!$I$123=0,0,G158/('0信息维护'!$I$123)*'0信息维护'!$E$41*'0信息维护'!$U$31)+IF('0信息维护'!$I$124=0,0,H158/('0信息维护'!$I$124)*'0信息维护'!$E$41*'0信息维护'!$T$31)+IF('0信息维护'!$I$125=0,0,I158/'0信息维护'!$I$125*'0信息维护'!$I$41)</f>
        <v>0</v>
      </c>
      <c r="K158" s="30"/>
    </row>
    <row r="159" spans="1:11">
      <c r="A159" s="17">
        <v>23</v>
      </c>
      <c r="B159" s="17" t="str">
        <f ca="1">OFFSET('1课程考核方式及成绩组成'!$D$10,(ROW(B159)-5)/7,)</f>
        <v>190301019</v>
      </c>
      <c r="C159" s="17" t="str">
        <f ca="1">OFFSET('1课程考核方式及成绩组成'!$E$10,(ROW(C159)-5)/7,)</f>
        <v>钟瑞东</v>
      </c>
      <c r="D159" s="18" t="str">
        <f>'0信息维护'!A$25</f>
        <v>课程目标1</v>
      </c>
      <c r="E159" s="19">
        <f ca="1">OFFSET('1课程考核方式及成绩组成'!$F$10,(ROW(E159)-5)/7,MOD((ROW(E159)-5),7))</f>
        <v>40</v>
      </c>
      <c r="F159" s="19">
        <f ca="1">OFFSET('1课程考核方式及成绩组成'!$N$10,(ROW(F159)-5)/7,MOD((ROW(F159)-5),7))</f>
        <v>0</v>
      </c>
      <c r="G159" s="19">
        <f ca="1">OFFSET('1课程考核方式及成绩组成'!$V$10,(ROW(G159)-5)/7,MOD((ROW(G159)-5),7))</f>
        <v>0</v>
      </c>
      <c r="H159" s="19">
        <f ca="1">OFFSET('1课程考核方式及成绩组成'!$AD$10,(ROW(H159)-5)/7,MOD((ROW(H159)-5),7))</f>
        <v>0</v>
      </c>
      <c r="I159" s="19">
        <f ca="1">OFFSET('1课程考核方式及成绩组成'!$AL$10,(ROW(I159)-5)/7,MOD((ROW(I159)-5),7))</f>
        <v>26</v>
      </c>
      <c r="J159" s="25">
        <f ca="1">IF('0信息维护'!$I$85=0,0,E159/('0信息维护'!$I$85)*'0信息维护'!$E$35*'0信息维护'!$S$25)+IF('0信息维护'!$I$86=0,0,F159/('0信息维护'!$I$86)*'0信息维护'!$E$35*'0信息维护'!$T$25)+IF('0信息维护'!$I$87=0,0,G159/('0信息维护'!$I$87)*'0信息维护'!$E$35*'0信息维护'!$U$25)+IF('0信息维护'!$I$88=0,0,H159/('0信息维护'!$I$88)*'0信息维护'!$E$35*'0信息维护'!$V$25)+IF('0信息维护'!$I$89=0,0,I159/'0信息维护'!$I$89*'0信息维护'!$I$35)</f>
        <v>0.861111111111111</v>
      </c>
      <c r="K159" s="26">
        <f ca="1">J159*'0信息维护'!$D$132+J160*'0信息维护'!$D$133+J161*'0信息维护'!$D$134+J162*'0信息维护'!$D$135+J163*'0信息维护'!$D$136+J164*'0信息维护'!$D$137+J165*'0信息维护'!$D$138</f>
        <v>0.740813725490196</v>
      </c>
    </row>
    <row r="160" spans="1:14">
      <c r="A160" s="20"/>
      <c r="B160" s="20"/>
      <c r="C160" s="20"/>
      <c r="D160" s="18" t="str">
        <f>'0信息维护'!A$26</f>
        <v>课程目标2</v>
      </c>
      <c r="E160" s="19">
        <f ca="1">OFFSET('1课程考核方式及成绩组成'!$F$10,(ROW(E160)-5)/7,MOD((ROW(E160)-5),7))</f>
        <v>60</v>
      </c>
      <c r="F160" s="19">
        <f ca="1">OFFSET('1课程考核方式及成绩组成'!$N$10,(ROW(F160)-5)/7,MOD((ROW(F160)-5),7))</f>
        <v>0</v>
      </c>
      <c r="G160" s="19">
        <f ca="1">OFFSET('1课程考核方式及成绩组成'!$V$10,(ROW(G160)-5)/7,MOD((ROW(G160)-5),7))</f>
        <v>0</v>
      </c>
      <c r="H160" s="19">
        <f ca="1">OFFSET('1课程考核方式及成绩组成'!$AD$10,(ROW(H160)-5)/7,MOD((ROW(H160)-5),7))</f>
        <v>0</v>
      </c>
      <c r="I160" s="19">
        <f ca="1">OFFSET('1课程考核方式及成绩组成'!$AL$10,(ROW(I160)-5)/7,MOD((ROW(I160)-5),7))</f>
        <v>19</v>
      </c>
      <c r="J160" s="25">
        <f ca="1">IF('0信息维护'!$I$91=0,0,E160/('0信息维护'!$I$91)*'0信息维护'!$S$26*'0信息维护'!$E$36)+IF('0信息维护'!$I$92=0,0,F160/('0信息维护'!$I$92)*'0信息维护'!$T$26*'0信息维护'!$E$36)+IF('0信息维护'!$I$93=0,0,G160/('0信息维护'!$I$93)*'0信息维护'!$U$26*'0信息维护'!$E$36)+IF('0信息维护'!$I$94=0,0,H160/('0信息维护'!$I$94)*'0信息维护'!$V$26*'0信息维护'!$E$36)+IF('0信息维护'!$I$95=0,0,I160/'0信息维护'!$I$95*'0信息维护'!$I$36)</f>
        <v>0.816666666666667</v>
      </c>
      <c r="K160" s="27"/>
      <c r="N160" s="29"/>
    </row>
    <row r="161" spans="1:11">
      <c r="A161" s="20"/>
      <c r="B161" s="20"/>
      <c r="C161" s="20"/>
      <c r="D161" s="18" t="str">
        <f>'0信息维护'!A$27</f>
        <v>课程目标3</v>
      </c>
      <c r="E161" s="19">
        <f ca="1">OFFSET('1课程考核方式及成绩组成'!$F$10,(ROW(E161)-5)/7,MOD((ROW(E161)-5),7))</f>
        <v>0</v>
      </c>
      <c r="F161" s="19">
        <f ca="1">OFFSET('1课程考核方式及成绩组成'!$N$10,(ROW(F161)-5)/7,MOD((ROW(F161)-5),7))</f>
        <v>0</v>
      </c>
      <c r="G161" s="19">
        <f ca="1">OFFSET('1课程考核方式及成绩组成'!$V$10,(ROW(G161)-5)/7,MOD((ROW(G161)-5),7))</f>
        <v>0</v>
      </c>
      <c r="H161" s="19">
        <f ca="1">OFFSET('1课程考核方式及成绩组成'!$AD$10,(ROW(H161)-5)/7,MOD((ROW(H161)-5),7))</f>
        <v>0</v>
      </c>
      <c r="I161" s="19">
        <f ca="1">OFFSET('1课程考核方式及成绩组成'!$AL$10,(ROW(I161)-5)/7,MOD((ROW(I161)-5),7))</f>
        <v>16</v>
      </c>
      <c r="J161" s="25">
        <f ca="1">IF('0信息维护'!$I$97=0,0,E161/('0信息维护'!$I$97)*'0信息维护'!$E$37*'0信息维护'!$S$27)+IF('0信息维护'!$I$98=0,0,F161/('0信息维护'!$I$98)*'0信息维护'!$E$37*'0信息维护'!$T$27)+IF('0信息维护'!$I$99=0,0,G161/('0信息维护'!$I$99)*'0信息维护'!$E$37*'0信息维护'!$U$27)+IF('0信息维护'!$I$100=0,0,H161/('0信息维护'!$I$100)*'0信息维护'!$E$37*'0信息维护'!$V$27)+IF('0信息维护'!$I$101=0,0,I161/'0信息维护'!$I$101*'0信息维护'!$I$37)</f>
        <v>0.470588235294118</v>
      </c>
      <c r="K161" s="27"/>
    </row>
    <row r="162" spans="1:11">
      <c r="A162" s="20"/>
      <c r="B162" s="20"/>
      <c r="C162" s="20"/>
      <c r="D162" s="18" t="str">
        <f>'0信息维护'!A$28</f>
        <v>课程目标4</v>
      </c>
      <c r="E162" s="19">
        <f ca="1">OFFSET('1课程考核方式及成绩组成'!$F$10,(ROW(E162)-5)/7,MOD((ROW(E162)-5),7))</f>
        <v>0</v>
      </c>
      <c r="F162" s="19">
        <f ca="1">OFFSET('1课程考核方式及成绩组成'!$N$10,(ROW(F162)-5)/7,MOD((ROW(F162)-5),7))</f>
        <v>83</v>
      </c>
      <c r="G162" s="19">
        <f ca="1">OFFSET('1课程考核方式及成绩组成'!$V$10,(ROW(G162)-5)/7,MOD((ROW(G162)-5),7))</f>
        <v>0</v>
      </c>
      <c r="H162" s="19">
        <f ca="1">OFFSET('1课程考核方式及成绩组成'!$AD$10,(ROW(H162)-5)/7,MOD((ROW(H162)-5),7))</f>
        <v>0</v>
      </c>
      <c r="I162" s="19">
        <f ca="1">OFFSET('1课程考核方式及成绩组成'!$AL$10,(ROW(I162)-5)/7,MOD((ROW(I162)-5),7))</f>
        <v>0</v>
      </c>
      <c r="J162" s="25">
        <f ca="1">IF('0信息维护'!$I$103=0,0,E162/('0信息维护'!$I$103)*'0信息维护'!$E$38*'0信息维护'!$S$28)+IF('0信息维护'!$I$104=0,0,F162/('0信息维护'!$I$104)*'0信息维护'!$E$38*'0信息维护'!$T$28)+IF('0信息维护'!$I$105=0,0,G162/('0信息维护'!$I$105)*'0信息维护'!$E$38*'0信息维护'!$U$28)+IF('0信息维护'!$I$106=0,0,H162/('0信息维护'!$I$106)*'0信息维护'!$E$38*'0信息维护'!$V$28)+IF('0信息维护'!$I$107=0,0,I162/'0信息维护'!$I$107*'0信息维护'!$I$38)</f>
        <v>0.83</v>
      </c>
      <c r="K162" s="27"/>
    </row>
    <row r="163" spans="1:11">
      <c r="A163" s="20"/>
      <c r="B163" s="20"/>
      <c r="C163" s="20"/>
      <c r="D163" s="18" t="str">
        <f>'0信息维护'!A$29</f>
        <v>课程目标5</v>
      </c>
      <c r="E163" s="19">
        <f ca="1">OFFSET('1课程考核方式及成绩组成'!$F$10,(ROW(E163)-5)/7,MOD((ROW(E163)-5),7))</f>
        <v>0</v>
      </c>
      <c r="F163" s="19">
        <f ca="1">OFFSET('1课程考核方式及成绩组成'!$N$10,(ROW(F163)-5)/7,MOD((ROW(F163)-5),7))</f>
        <v>0</v>
      </c>
      <c r="G163" s="19">
        <f ca="1">OFFSET('1课程考核方式及成绩组成'!$V$10,(ROW(G163)-5)/7,MOD((ROW(G163)-5),7))</f>
        <v>0</v>
      </c>
      <c r="H163" s="19">
        <f ca="1">OFFSET('1课程考核方式及成绩组成'!$AD$10,(ROW(H163)-5)/7,MOD((ROW(H163)-5),7))</f>
        <v>0</v>
      </c>
      <c r="I163" s="19">
        <f ca="1">OFFSET('1课程考核方式及成绩组成'!$AL$10,(ROW(I163)-5)/7,MOD((ROW(I163)-5),7))</f>
        <v>0</v>
      </c>
      <c r="J163" s="25">
        <f ca="1">IF('0信息维护'!$I$109=0,0,E163/('0信息维护'!$I$109)*'0信息维护'!$E$39*'0信息维护'!$S$29)+IF('0信息维护'!$I$110=0,0,F163/('0信息维护'!$I$110)*'0信息维护'!$E$39*'0信息维护'!$T$29)+IF('0信息维护'!$I$111=0,0,G163/('0信息维护'!$I$111)*'0信息维护'!$E$39*'0信息维护'!$U$29)+IF('0信息维护'!$I$112=0,0,H163/('0信息维护'!$I$112)*'0信息维护'!$E$39*'0信息维护'!$V$29)+IF('0信息维护'!$I$113=0,0,I163/'0信息维护'!$I$113*'0信息维护'!$I$39)</f>
        <v>0</v>
      </c>
      <c r="K163" s="27"/>
    </row>
    <row r="164" spans="1:11">
      <c r="A164" s="20"/>
      <c r="B164" s="20"/>
      <c r="C164" s="20"/>
      <c r="D164" s="18" t="str">
        <f>'0信息维护'!A$30</f>
        <v>课程目标6</v>
      </c>
      <c r="E164" s="19">
        <f ca="1">OFFSET('1课程考核方式及成绩组成'!$F$10,(ROW(E164)-5)/7,MOD((ROW(E164)-5),7))</f>
        <v>0</v>
      </c>
      <c r="F164" s="19">
        <f ca="1">OFFSET('1课程考核方式及成绩组成'!$N$10,(ROW(F164)-5)/7,MOD((ROW(F164)-5),7))</f>
        <v>0</v>
      </c>
      <c r="G164" s="19">
        <f ca="1">OFFSET('1课程考核方式及成绩组成'!$V$10,(ROW(G164)-5)/7,MOD((ROW(G164)-5),7))</f>
        <v>0</v>
      </c>
      <c r="H164" s="19">
        <f ca="1">OFFSET('1课程考核方式及成绩组成'!$AD$10,(ROW(H164)-5)/7,MOD((ROW(H164)-5),7))</f>
        <v>0</v>
      </c>
      <c r="I164" s="19">
        <f ca="1">OFFSET('1课程考核方式及成绩组成'!$AL$10,(ROW(I164)-5)/7,MOD((ROW(I164)-5),7))</f>
        <v>0</v>
      </c>
      <c r="J164" s="25">
        <f ca="1">IF('0信息维护'!$I$115=0,0,E164/('0信息维护'!$I$115)*'0信息维护'!$E$40*'0信息维护'!$S$30)+IF('0信息维护'!$I$116=0,0,F164/('0信息维护'!$I$116)*'0信息维护'!$E$40*'0信息维护'!$T$30)+IF('0信息维护'!$I$117=0,0,G164/('0信息维护'!$I$117)*'0信息维护'!$E$40*'0信息维护'!$U$30)+IF('0信息维护'!$I$118=0,0,H164/('0信息维护'!$I$118)*'0信息维护'!$E$40*'0信息维护'!$V$30)+IF('0信息维护'!$I$119=0,0,I164/'0信息维护'!$I$119*'0信息维护'!$I$40)</f>
        <v>0</v>
      </c>
      <c r="K164" s="27"/>
    </row>
    <row r="165" spans="1:11">
      <c r="A165" s="21"/>
      <c r="B165" s="21"/>
      <c r="C165" s="21"/>
      <c r="D165" s="18" t="str">
        <f>'0信息维护'!A$31</f>
        <v>课程目标7</v>
      </c>
      <c r="E165" s="19">
        <f ca="1">OFFSET('1课程考核方式及成绩组成'!$F$10,(ROW(E165)-5)/7,MOD((ROW(E165)-5),7))</f>
        <v>0</v>
      </c>
      <c r="F165" s="19">
        <f ca="1">OFFSET('1课程考核方式及成绩组成'!$N$10,(ROW(F165)-5)/7,MOD((ROW(F165)-5),7))</f>
        <v>0</v>
      </c>
      <c r="G165" s="19">
        <f ca="1">OFFSET('1课程考核方式及成绩组成'!$V$10,(ROW(G165)-5)/7,MOD((ROW(G165)-5),7))</f>
        <v>0</v>
      </c>
      <c r="H165" s="19">
        <f ca="1">OFFSET('1课程考核方式及成绩组成'!$AD$10,(ROW(H165)-5)/7,MOD((ROW(H165)-5),7))</f>
        <v>0</v>
      </c>
      <c r="I165" s="19">
        <f ca="1">OFFSET('1课程考核方式及成绩组成'!$AL$10,(ROW(I165)-5)/7,MOD((ROW(I165)-5),7))</f>
        <v>0</v>
      </c>
      <c r="J165" s="25">
        <f ca="1">IF('0信息维护'!$I$121=0,0,E165/('0信息维护'!$I$121)*'0信息维护'!$E$41*'0信息维护'!$S$31)+IF('0信息维护'!$I$122=0,0,F165/('0信息维护'!$I$122)*'0信息维护'!$E$41*'0信息维护'!$T$31)+IF('0信息维护'!$I$123=0,0,G165/('0信息维护'!$I$123)*'0信息维护'!$E$41*'0信息维护'!$U$31)+IF('0信息维护'!$I$124=0,0,H165/('0信息维护'!$I$124)*'0信息维护'!$E$41*'0信息维护'!$T$31)+IF('0信息维护'!$I$125=0,0,I165/'0信息维护'!$I$125*'0信息维护'!$I$41)</f>
        <v>0</v>
      </c>
      <c r="K165" s="30"/>
    </row>
    <row r="166" spans="1:11">
      <c r="A166" s="17">
        <v>24</v>
      </c>
      <c r="B166" s="17" t="str">
        <f ca="1">OFFSET('1课程考核方式及成绩组成'!$D$10,(ROW(B166)-5)/7,)</f>
        <v>190301020</v>
      </c>
      <c r="C166" s="17" t="str">
        <f ca="1">OFFSET('1课程考核方式及成绩组成'!$E$10,(ROW(C166)-5)/7,)</f>
        <v>张鹏</v>
      </c>
      <c r="D166" s="18" t="str">
        <f>'0信息维护'!A$25</f>
        <v>课程目标1</v>
      </c>
      <c r="E166" s="19">
        <f ca="1">OFFSET('1课程考核方式及成绩组成'!$F$10,(ROW(E166)-5)/7,MOD((ROW(E166)-5),7))</f>
        <v>40</v>
      </c>
      <c r="F166" s="19">
        <f ca="1">OFFSET('1课程考核方式及成绩组成'!$N$10,(ROW(F166)-5)/7,MOD((ROW(F166)-5),7))</f>
        <v>0</v>
      </c>
      <c r="G166" s="19">
        <f ca="1">OFFSET('1课程考核方式及成绩组成'!$V$10,(ROW(G166)-5)/7,MOD((ROW(G166)-5),7))</f>
        <v>0</v>
      </c>
      <c r="H166" s="19">
        <f ca="1">OFFSET('1课程考核方式及成绩组成'!$AD$10,(ROW(H166)-5)/7,MOD((ROW(H166)-5),7))</f>
        <v>0</v>
      </c>
      <c r="I166" s="19">
        <f ca="1">OFFSET('1课程考核方式及成绩组成'!$AL$10,(ROW(I166)-5)/7,MOD((ROW(I166)-5),7))</f>
        <v>6</v>
      </c>
      <c r="J166" s="25">
        <f ca="1">IF('0信息维护'!$I$85=0,0,E166/('0信息维护'!$I$85)*'0信息维护'!$E$35*'0信息维护'!$S$25)+IF('0信息维护'!$I$86=0,0,F166/('0信息维护'!$I$86)*'0信息维护'!$E$35*'0信息维护'!$T$25)+IF('0信息维护'!$I$87=0,0,G166/('0信息维护'!$I$87)*'0信息维护'!$E$35*'0信息维护'!$U$25)+IF('0信息维护'!$I$88=0,0,H166/('0信息维护'!$I$88)*'0信息维护'!$E$35*'0信息维护'!$V$25)+IF('0信息维护'!$I$89=0,0,I166/'0信息维护'!$I$89*'0信息维护'!$I$35)</f>
        <v>0.583333333333333</v>
      </c>
      <c r="K166" s="26">
        <f ca="1">J166*'0信息维护'!$D$132+J167*'0信息维护'!$D$133+J168*'0信息维护'!$D$134+J169*'0信息维护'!$D$135+J170*'0信息维护'!$D$136+J171*'0信息维护'!$D$137+J172*'0信息维护'!$D$138</f>
        <v>0.601794117647059</v>
      </c>
    </row>
    <row r="167" spans="1:14">
      <c r="A167" s="20"/>
      <c r="B167" s="20"/>
      <c r="C167" s="20"/>
      <c r="D167" s="18" t="str">
        <f>'0信息维护'!A$26</f>
        <v>课程目标2</v>
      </c>
      <c r="E167" s="19">
        <f ca="1">OFFSET('1课程考核方式及成绩组成'!$F$10,(ROW(E167)-5)/7,MOD((ROW(E167)-5),7))</f>
        <v>60</v>
      </c>
      <c r="F167" s="19">
        <f ca="1">OFFSET('1课程考核方式及成绩组成'!$N$10,(ROW(F167)-5)/7,MOD((ROW(F167)-5),7))</f>
        <v>0</v>
      </c>
      <c r="G167" s="19">
        <f ca="1">OFFSET('1课程考核方式及成绩组成'!$V$10,(ROW(G167)-5)/7,MOD((ROW(G167)-5),7))</f>
        <v>0</v>
      </c>
      <c r="H167" s="19">
        <f ca="1">OFFSET('1课程考核方式及成绩组成'!$AD$10,(ROW(H167)-5)/7,MOD((ROW(H167)-5),7))</f>
        <v>0</v>
      </c>
      <c r="I167" s="19">
        <f ca="1">OFFSET('1课程考核方式及成绩组成'!$AL$10,(ROW(I167)-5)/7,MOD((ROW(I167)-5),7))</f>
        <v>7</v>
      </c>
      <c r="J167" s="25">
        <f ca="1">IF('0信息维护'!$I$91=0,0,E167/('0信息维护'!$I$91)*'0信息维护'!$S$26*'0信息维护'!$E$36)+IF('0信息维护'!$I$92=0,0,F167/('0信息维护'!$I$92)*'0信息维护'!$T$26*'0信息维护'!$E$36)+IF('0信息维护'!$I$93=0,0,G167/('0信息维护'!$I$93)*'0信息维护'!$U$26*'0信息维护'!$E$36)+IF('0信息维护'!$I$94=0,0,H167/('0信息维护'!$I$94)*'0信息维护'!$V$26*'0信息维护'!$E$36)+IF('0信息维护'!$I$95=0,0,I167/'0信息维护'!$I$95*'0信息维护'!$I$36)</f>
        <v>0.616666666666667</v>
      </c>
      <c r="K167" s="27"/>
      <c r="N167" s="29"/>
    </row>
    <row r="168" spans="1:11">
      <c r="A168" s="20"/>
      <c r="B168" s="20"/>
      <c r="C168" s="20"/>
      <c r="D168" s="18" t="str">
        <f>'0信息维护'!A$27</f>
        <v>课程目标3</v>
      </c>
      <c r="E168" s="19">
        <f ca="1">OFFSET('1课程考核方式及成绩组成'!$F$10,(ROW(E168)-5)/7,MOD((ROW(E168)-5),7))</f>
        <v>0</v>
      </c>
      <c r="F168" s="19">
        <f ca="1">OFFSET('1课程考核方式及成绩组成'!$N$10,(ROW(F168)-5)/7,MOD((ROW(F168)-5),7))</f>
        <v>0</v>
      </c>
      <c r="G168" s="19">
        <f ca="1">OFFSET('1课程考核方式及成绩组成'!$V$10,(ROW(G168)-5)/7,MOD((ROW(G168)-5),7))</f>
        <v>0</v>
      </c>
      <c r="H168" s="19">
        <f ca="1">OFFSET('1课程考核方式及成绩组成'!$AD$10,(ROW(H168)-5)/7,MOD((ROW(H168)-5),7))</f>
        <v>0</v>
      </c>
      <c r="I168" s="19">
        <f ca="1">OFFSET('1课程考核方式及成绩组成'!$AL$10,(ROW(I168)-5)/7,MOD((ROW(I168)-5),7))</f>
        <v>15</v>
      </c>
      <c r="J168" s="25">
        <f ca="1">IF('0信息维护'!$I$97=0,0,E168/('0信息维护'!$I$97)*'0信息维护'!$E$37*'0信息维护'!$S$27)+IF('0信息维护'!$I$98=0,0,F168/('0信息维护'!$I$98)*'0信息维护'!$E$37*'0信息维护'!$T$27)+IF('0信息维护'!$I$99=0,0,G168/('0信息维护'!$I$99)*'0信息维护'!$E$37*'0信息维护'!$U$27)+IF('0信息维护'!$I$100=0,0,H168/('0信息维护'!$I$100)*'0信息维护'!$E$37*'0信息维护'!$V$27)+IF('0信息维护'!$I$101=0,0,I168/'0信息维护'!$I$101*'0信息维护'!$I$37)</f>
        <v>0.441176470588235</v>
      </c>
      <c r="K168" s="27"/>
    </row>
    <row r="169" spans="1:11">
      <c r="A169" s="20"/>
      <c r="B169" s="20"/>
      <c r="C169" s="20"/>
      <c r="D169" s="18" t="str">
        <f>'0信息维护'!A$28</f>
        <v>课程目标4</v>
      </c>
      <c r="E169" s="19">
        <f ca="1">OFFSET('1课程考核方式及成绩组成'!$F$10,(ROW(E169)-5)/7,MOD((ROW(E169)-5),7))</f>
        <v>0</v>
      </c>
      <c r="F169" s="19">
        <f ca="1">OFFSET('1课程考核方式及成绩组成'!$N$10,(ROW(F169)-5)/7,MOD((ROW(F169)-5),7))</f>
        <v>73</v>
      </c>
      <c r="G169" s="19">
        <f ca="1">OFFSET('1课程考核方式及成绩组成'!$V$10,(ROW(G169)-5)/7,MOD((ROW(G169)-5),7))</f>
        <v>0</v>
      </c>
      <c r="H169" s="19">
        <f ca="1">OFFSET('1课程考核方式及成绩组成'!$AD$10,(ROW(H169)-5)/7,MOD((ROW(H169)-5),7))</f>
        <v>0</v>
      </c>
      <c r="I169" s="19">
        <f ca="1">OFFSET('1课程考核方式及成绩组成'!$AL$10,(ROW(I169)-5)/7,MOD((ROW(I169)-5),7))</f>
        <v>0</v>
      </c>
      <c r="J169" s="25">
        <f ca="1">IF('0信息维护'!$I$103=0,0,E169/('0信息维护'!$I$103)*'0信息维护'!$E$38*'0信息维护'!$S$28)+IF('0信息维护'!$I$104=0,0,F169/('0信息维护'!$I$104)*'0信息维护'!$E$38*'0信息维护'!$T$28)+IF('0信息维护'!$I$105=0,0,G169/('0信息维护'!$I$105)*'0信息维护'!$E$38*'0信息维护'!$U$28)+IF('0信息维护'!$I$106=0,0,H169/('0信息维护'!$I$106)*'0信息维护'!$E$38*'0信息维护'!$V$28)+IF('0信息维护'!$I$107=0,0,I169/'0信息维护'!$I$107*'0信息维护'!$I$38)</f>
        <v>0.73</v>
      </c>
      <c r="K169" s="27"/>
    </row>
    <row r="170" spans="1:11">
      <c r="A170" s="20"/>
      <c r="B170" s="20"/>
      <c r="C170" s="20"/>
      <c r="D170" s="18" t="str">
        <f>'0信息维护'!A$29</f>
        <v>课程目标5</v>
      </c>
      <c r="E170" s="19">
        <f ca="1">OFFSET('1课程考核方式及成绩组成'!$F$10,(ROW(E170)-5)/7,MOD((ROW(E170)-5),7))</f>
        <v>0</v>
      </c>
      <c r="F170" s="19">
        <f ca="1">OFFSET('1课程考核方式及成绩组成'!$N$10,(ROW(F170)-5)/7,MOD((ROW(F170)-5),7))</f>
        <v>0</v>
      </c>
      <c r="G170" s="19">
        <f ca="1">OFFSET('1课程考核方式及成绩组成'!$V$10,(ROW(G170)-5)/7,MOD((ROW(G170)-5),7))</f>
        <v>0</v>
      </c>
      <c r="H170" s="19">
        <f ca="1">OFFSET('1课程考核方式及成绩组成'!$AD$10,(ROW(H170)-5)/7,MOD((ROW(H170)-5),7))</f>
        <v>0</v>
      </c>
      <c r="I170" s="19">
        <f ca="1">OFFSET('1课程考核方式及成绩组成'!$AL$10,(ROW(I170)-5)/7,MOD((ROW(I170)-5),7))</f>
        <v>0</v>
      </c>
      <c r="J170" s="25">
        <f ca="1">IF('0信息维护'!$I$109=0,0,E170/('0信息维护'!$I$109)*'0信息维护'!$E$39*'0信息维护'!$S$29)+IF('0信息维护'!$I$110=0,0,F170/('0信息维护'!$I$110)*'0信息维护'!$E$39*'0信息维护'!$T$29)+IF('0信息维护'!$I$111=0,0,G170/('0信息维护'!$I$111)*'0信息维护'!$E$39*'0信息维护'!$U$29)+IF('0信息维护'!$I$112=0,0,H170/('0信息维护'!$I$112)*'0信息维护'!$E$39*'0信息维护'!$V$29)+IF('0信息维护'!$I$113=0,0,I170/'0信息维护'!$I$113*'0信息维护'!$I$39)</f>
        <v>0</v>
      </c>
      <c r="K170" s="27"/>
    </row>
    <row r="171" spans="1:11">
      <c r="A171" s="20"/>
      <c r="B171" s="20"/>
      <c r="C171" s="20"/>
      <c r="D171" s="18" t="str">
        <f>'0信息维护'!A$30</f>
        <v>课程目标6</v>
      </c>
      <c r="E171" s="19">
        <f ca="1">OFFSET('1课程考核方式及成绩组成'!$F$10,(ROW(E171)-5)/7,MOD((ROW(E171)-5),7))</f>
        <v>0</v>
      </c>
      <c r="F171" s="19">
        <f ca="1">OFFSET('1课程考核方式及成绩组成'!$N$10,(ROW(F171)-5)/7,MOD((ROW(F171)-5),7))</f>
        <v>0</v>
      </c>
      <c r="G171" s="19">
        <f ca="1">OFFSET('1课程考核方式及成绩组成'!$V$10,(ROW(G171)-5)/7,MOD((ROW(G171)-5),7))</f>
        <v>0</v>
      </c>
      <c r="H171" s="19">
        <f ca="1">OFFSET('1课程考核方式及成绩组成'!$AD$10,(ROW(H171)-5)/7,MOD((ROW(H171)-5),7))</f>
        <v>0</v>
      </c>
      <c r="I171" s="19">
        <f ca="1">OFFSET('1课程考核方式及成绩组成'!$AL$10,(ROW(I171)-5)/7,MOD((ROW(I171)-5),7))</f>
        <v>0</v>
      </c>
      <c r="J171" s="25">
        <f ca="1">IF('0信息维护'!$I$115=0,0,E171/('0信息维护'!$I$115)*'0信息维护'!$E$40*'0信息维护'!$S$30)+IF('0信息维护'!$I$116=0,0,F171/('0信息维护'!$I$116)*'0信息维护'!$E$40*'0信息维护'!$T$30)+IF('0信息维护'!$I$117=0,0,G171/('0信息维护'!$I$117)*'0信息维护'!$E$40*'0信息维护'!$U$30)+IF('0信息维护'!$I$118=0,0,H171/('0信息维护'!$I$118)*'0信息维护'!$E$40*'0信息维护'!$V$30)+IF('0信息维护'!$I$119=0,0,I171/'0信息维护'!$I$119*'0信息维护'!$I$40)</f>
        <v>0</v>
      </c>
      <c r="K171" s="27"/>
    </row>
    <row r="172" spans="1:11">
      <c r="A172" s="21"/>
      <c r="B172" s="21"/>
      <c r="C172" s="21"/>
      <c r="D172" s="18" t="str">
        <f>'0信息维护'!A$31</f>
        <v>课程目标7</v>
      </c>
      <c r="E172" s="19">
        <f ca="1">OFFSET('1课程考核方式及成绩组成'!$F$10,(ROW(E172)-5)/7,MOD((ROW(E172)-5),7))</f>
        <v>0</v>
      </c>
      <c r="F172" s="19">
        <f ca="1">OFFSET('1课程考核方式及成绩组成'!$N$10,(ROW(F172)-5)/7,MOD((ROW(F172)-5),7))</f>
        <v>0</v>
      </c>
      <c r="G172" s="19">
        <f ca="1">OFFSET('1课程考核方式及成绩组成'!$V$10,(ROW(G172)-5)/7,MOD((ROW(G172)-5),7))</f>
        <v>0</v>
      </c>
      <c r="H172" s="19">
        <f ca="1">OFFSET('1课程考核方式及成绩组成'!$AD$10,(ROW(H172)-5)/7,MOD((ROW(H172)-5),7))</f>
        <v>0</v>
      </c>
      <c r="I172" s="19">
        <f ca="1">OFFSET('1课程考核方式及成绩组成'!$AL$10,(ROW(I172)-5)/7,MOD((ROW(I172)-5),7))</f>
        <v>0</v>
      </c>
      <c r="J172" s="25">
        <f ca="1">IF('0信息维护'!$I$121=0,0,E172/('0信息维护'!$I$121)*'0信息维护'!$E$41*'0信息维护'!$S$31)+IF('0信息维护'!$I$122=0,0,F172/('0信息维护'!$I$122)*'0信息维护'!$E$41*'0信息维护'!$T$31)+IF('0信息维护'!$I$123=0,0,G172/('0信息维护'!$I$123)*'0信息维护'!$E$41*'0信息维护'!$U$31)+IF('0信息维护'!$I$124=0,0,H172/('0信息维护'!$I$124)*'0信息维护'!$E$41*'0信息维护'!$T$31)+IF('0信息维护'!$I$125=0,0,I172/'0信息维护'!$I$125*'0信息维护'!$I$41)</f>
        <v>0</v>
      </c>
      <c r="K172" s="30"/>
    </row>
    <row r="173" spans="1:11">
      <c r="A173" s="17">
        <v>25</v>
      </c>
      <c r="B173" s="17" t="str">
        <f ca="1">OFFSET('1课程考核方式及成绩组成'!$D$10,(ROW(B173)-5)/7,)</f>
        <v>190301021</v>
      </c>
      <c r="C173" s="17" t="str">
        <f ca="1">OFFSET('1课程考核方式及成绩组成'!$E$10,(ROW(C173)-5)/7,)</f>
        <v>尹杰</v>
      </c>
      <c r="D173" s="18" t="str">
        <f>'0信息维护'!A$25</f>
        <v>课程目标1</v>
      </c>
      <c r="E173" s="19">
        <f ca="1">OFFSET('1课程考核方式及成绩组成'!$F$10,(ROW(E173)-5)/7,MOD((ROW(E173)-5),7))</f>
        <v>40</v>
      </c>
      <c r="F173" s="19">
        <f ca="1">OFFSET('1课程考核方式及成绩组成'!$N$10,(ROW(F173)-5)/7,MOD((ROW(F173)-5),7))</f>
        <v>0</v>
      </c>
      <c r="G173" s="19">
        <f ca="1">OFFSET('1课程考核方式及成绩组成'!$V$10,(ROW(G173)-5)/7,MOD((ROW(G173)-5),7))</f>
        <v>0</v>
      </c>
      <c r="H173" s="19">
        <f ca="1">OFFSET('1课程考核方式及成绩组成'!$AD$10,(ROW(H173)-5)/7,MOD((ROW(H173)-5),7))</f>
        <v>0</v>
      </c>
      <c r="I173" s="19">
        <f ca="1">OFFSET('1课程考核方式及成绩组成'!$AL$10,(ROW(I173)-5)/7,MOD((ROW(I173)-5),7))</f>
        <v>20</v>
      </c>
      <c r="J173" s="25">
        <f ca="1">IF('0信息维护'!$I$85=0,0,E173/('0信息维护'!$I$85)*'0信息维护'!$E$35*'0信息维护'!$S$25)+IF('0信息维护'!$I$86=0,0,F173/('0信息维护'!$I$86)*'0信息维护'!$E$35*'0信息维护'!$T$25)+IF('0信息维护'!$I$87=0,0,G173/('0信息维护'!$I$87)*'0信息维护'!$E$35*'0信息维护'!$U$25)+IF('0信息维护'!$I$88=0,0,H173/('0信息维护'!$I$88)*'0信息维护'!$E$35*'0信息维护'!$V$25)+IF('0信息维护'!$I$89=0,0,I173/'0信息维护'!$I$89*'0信息维护'!$I$35)</f>
        <v>0.777777777777778</v>
      </c>
      <c r="K173" s="26">
        <f ca="1">J173*'0信息维护'!$D$132+J174*'0信息维护'!$D$133+J175*'0信息维护'!$D$134+J176*'0信息维护'!$D$135+J177*'0信息维护'!$D$136+J178*'0信息维护'!$D$137+J179*'0信息维护'!$D$138</f>
        <v>0.683313725490196</v>
      </c>
    </row>
    <row r="174" spans="1:14">
      <c r="A174" s="20"/>
      <c r="B174" s="20"/>
      <c r="C174" s="20"/>
      <c r="D174" s="18" t="str">
        <f>'0信息维护'!A$26</f>
        <v>课程目标2</v>
      </c>
      <c r="E174" s="19">
        <f ca="1">OFFSET('1课程考核方式及成绩组成'!$F$10,(ROW(E174)-5)/7,MOD((ROW(E174)-5),7))</f>
        <v>60</v>
      </c>
      <c r="F174" s="19">
        <f ca="1">OFFSET('1课程考核方式及成绩组成'!$N$10,(ROW(F174)-5)/7,MOD((ROW(F174)-5),7))</f>
        <v>0</v>
      </c>
      <c r="G174" s="19">
        <f ca="1">OFFSET('1课程考核方式及成绩组成'!$V$10,(ROW(G174)-5)/7,MOD((ROW(G174)-5),7))</f>
        <v>0</v>
      </c>
      <c r="H174" s="19">
        <f ca="1">OFFSET('1课程考核方式及成绩组成'!$AD$10,(ROW(H174)-5)/7,MOD((ROW(H174)-5),7))</f>
        <v>0</v>
      </c>
      <c r="I174" s="19">
        <f ca="1">OFFSET('1课程考核方式及成绩组成'!$AL$10,(ROW(I174)-5)/7,MOD((ROW(I174)-5),7))</f>
        <v>7</v>
      </c>
      <c r="J174" s="25">
        <f ca="1">IF('0信息维护'!$I$91=0,0,E174/('0信息维护'!$I$91)*'0信息维护'!$S$26*'0信息维护'!$E$36)+IF('0信息维护'!$I$92=0,0,F174/('0信息维护'!$I$92)*'0信息维护'!$T$26*'0信息维护'!$E$36)+IF('0信息维护'!$I$93=0,0,G174/('0信息维护'!$I$93)*'0信息维护'!$U$26*'0信息维护'!$E$36)+IF('0信息维护'!$I$94=0,0,H174/('0信息维护'!$I$94)*'0信息维护'!$V$26*'0信息维护'!$E$36)+IF('0信息维护'!$I$95=0,0,I174/'0信息维护'!$I$95*'0信息维护'!$I$36)</f>
        <v>0.616666666666667</v>
      </c>
      <c r="K174" s="27"/>
      <c r="N174" s="29"/>
    </row>
    <row r="175" spans="1:11">
      <c r="A175" s="20"/>
      <c r="B175" s="20"/>
      <c r="C175" s="20"/>
      <c r="D175" s="18" t="str">
        <f>'0信息维护'!A$27</f>
        <v>课程目标3</v>
      </c>
      <c r="E175" s="19">
        <f ca="1">OFFSET('1课程考核方式及成绩组成'!$F$10,(ROW(E175)-5)/7,MOD((ROW(E175)-5),7))</f>
        <v>0</v>
      </c>
      <c r="F175" s="19">
        <f ca="1">OFFSET('1课程考核方式及成绩组成'!$N$10,(ROW(F175)-5)/7,MOD((ROW(F175)-5),7))</f>
        <v>0</v>
      </c>
      <c r="G175" s="19">
        <f ca="1">OFFSET('1课程考核方式及成绩组成'!$V$10,(ROW(G175)-5)/7,MOD((ROW(G175)-5),7))</f>
        <v>0</v>
      </c>
      <c r="H175" s="19">
        <f ca="1">OFFSET('1课程考核方式及成绩组成'!$AD$10,(ROW(H175)-5)/7,MOD((ROW(H175)-5),7))</f>
        <v>0</v>
      </c>
      <c r="I175" s="19">
        <f ca="1">OFFSET('1课程考核方式及成绩组成'!$AL$10,(ROW(I175)-5)/7,MOD((ROW(I175)-5),7))</f>
        <v>16</v>
      </c>
      <c r="J175" s="25">
        <f ca="1">IF('0信息维护'!$I$97=0,0,E175/('0信息维护'!$I$97)*'0信息维护'!$E$37*'0信息维护'!$S$27)+IF('0信息维护'!$I$98=0,0,F175/('0信息维护'!$I$98)*'0信息维护'!$E$37*'0信息维护'!$T$27)+IF('0信息维护'!$I$99=0,0,G175/('0信息维护'!$I$99)*'0信息维护'!$E$37*'0信息维护'!$U$27)+IF('0信息维护'!$I$100=0,0,H175/('0信息维护'!$I$100)*'0信息维护'!$E$37*'0信息维护'!$V$27)+IF('0信息维护'!$I$101=0,0,I175/'0信息维护'!$I$101*'0信息维护'!$I$37)</f>
        <v>0.470588235294118</v>
      </c>
      <c r="K175" s="27"/>
    </row>
    <row r="176" spans="1:11">
      <c r="A176" s="20"/>
      <c r="B176" s="20"/>
      <c r="C176" s="20"/>
      <c r="D176" s="18" t="str">
        <f>'0信息维护'!A$28</f>
        <v>课程目标4</v>
      </c>
      <c r="E176" s="19">
        <f ca="1">OFFSET('1课程考核方式及成绩组成'!$F$10,(ROW(E176)-5)/7,MOD((ROW(E176)-5),7))</f>
        <v>0</v>
      </c>
      <c r="F176" s="19">
        <f ca="1">OFFSET('1课程考核方式及成绩组成'!$N$10,(ROW(F176)-5)/7,MOD((ROW(F176)-5),7))</f>
        <v>88</v>
      </c>
      <c r="G176" s="19">
        <f ca="1">OFFSET('1课程考核方式及成绩组成'!$V$10,(ROW(G176)-5)/7,MOD((ROW(G176)-5),7))</f>
        <v>0</v>
      </c>
      <c r="H176" s="19">
        <f ca="1">OFFSET('1课程考核方式及成绩组成'!$AD$10,(ROW(H176)-5)/7,MOD((ROW(H176)-5),7))</f>
        <v>0</v>
      </c>
      <c r="I176" s="19">
        <f ca="1">OFFSET('1课程考核方式及成绩组成'!$AL$10,(ROW(I176)-5)/7,MOD((ROW(I176)-5),7))</f>
        <v>0</v>
      </c>
      <c r="J176" s="25">
        <f ca="1">IF('0信息维护'!$I$103=0,0,E176/('0信息维护'!$I$103)*'0信息维护'!$E$38*'0信息维护'!$S$28)+IF('0信息维护'!$I$104=0,0,F176/('0信息维护'!$I$104)*'0信息维护'!$E$38*'0信息维护'!$T$28)+IF('0信息维护'!$I$105=0,0,G176/('0信息维护'!$I$105)*'0信息维护'!$E$38*'0信息维护'!$U$28)+IF('0信息维护'!$I$106=0,0,H176/('0信息维护'!$I$106)*'0信息维护'!$E$38*'0信息维护'!$V$28)+IF('0信息维护'!$I$107=0,0,I176/'0信息维护'!$I$107*'0信息维护'!$I$38)</f>
        <v>0.88</v>
      </c>
      <c r="K176" s="27"/>
    </row>
    <row r="177" spans="1:11">
      <c r="A177" s="20"/>
      <c r="B177" s="20"/>
      <c r="C177" s="20"/>
      <c r="D177" s="18" t="str">
        <f>'0信息维护'!A$29</f>
        <v>课程目标5</v>
      </c>
      <c r="E177" s="19">
        <f ca="1">OFFSET('1课程考核方式及成绩组成'!$F$10,(ROW(E177)-5)/7,MOD((ROW(E177)-5),7))</f>
        <v>0</v>
      </c>
      <c r="F177" s="19">
        <f ca="1">OFFSET('1课程考核方式及成绩组成'!$N$10,(ROW(F177)-5)/7,MOD((ROW(F177)-5),7))</f>
        <v>0</v>
      </c>
      <c r="G177" s="19">
        <f ca="1">OFFSET('1课程考核方式及成绩组成'!$V$10,(ROW(G177)-5)/7,MOD((ROW(G177)-5),7))</f>
        <v>0</v>
      </c>
      <c r="H177" s="19">
        <f ca="1">OFFSET('1课程考核方式及成绩组成'!$AD$10,(ROW(H177)-5)/7,MOD((ROW(H177)-5),7))</f>
        <v>0</v>
      </c>
      <c r="I177" s="19">
        <f ca="1">OFFSET('1课程考核方式及成绩组成'!$AL$10,(ROW(I177)-5)/7,MOD((ROW(I177)-5),7))</f>
        <v>0</v>
      </c>
      <c r="J177" s="25">
        <f ca="1">IF('0信息维护'!$I$109=0,0,E177/('0信息维护'!$I$109)*'0信息维护'!$E$39*'0信息维护'!$S$29)+IF('0信息维护'!$I$110=0,0,F177/('0信息维护'!$I$110)*'0信息维护'!$E$39*'0信息维护'!$T$29)+IF('0信息维护'!$I$111=0,0,G177/('0信息维护'!$I$111)*'0信息维护'!$E$39*'0信息维护'!$U$29)+IF('0信息维护'!$I$112=0,0,H177/('0信息维护'!$I$112)*'0信息维护'!$E$39*'0信息维护'!$V$29)+IF('0信息维护'!$I$113=0,0,I177/'0信息维护'!$I$113*'0信息维护'!$I$39)</f>
        <v>0</v>
      </c>
      <c r="K177" s="27"/>
    </row>
    <row r="178" spans="1:11">
      <c r="A178" s="20"/>
      <c r="B178" s="20"/>
      <c r="C178" s="20"/>
      <c r="D178" s="18" t="str">
        <f>'0信息维护'!A$30</f>
        <v>课程目标6</v>
      </c>
      <c r="E178" s="19">
        <f ca="1">OFFSET('1课程考核方式及成绩组成'!$F$10,(ROW(E178)-5)/7,MOD((ROW(E178)-5),7))</f>
        <v>0</v>
      </c>
      <c r="F178" s="19">
        <f ca="1">OFFSET('1课程考核方式及成绩组成'!$N$10,(ROW(F178)-5)/7,MOD((ROW(F178)-5),7))</f>
        <v>0</v>
      </c>
      <c r="G178" s="19">
        <f ca="1">OFFSET('1课程考核方式及成绩组成'!$V$10,(ROW(G178)-5)/7,MOD((ROW(G178)-5),7))</f>
        <v>0</v>
      </c>
      <c r="H178" s="19">
        <f ca="1">OFFSET('1课程考核方式及成绩组成'!$AD$10,(ROW(H178)-5)/7,MOD((ROW(H178)-5),7))</f>
        <v>0</v>
      </c>
      <c r="I178" s="19">
        <f ca="1">OFFSET('1课程考核方式及成绩组成'!$AL$10,(ROW(I178)-5)/7,MOD((ROW(I178)-5),7))</f>
        <v>0</v>
      </c>
      <c r="J178" s="25">
        <f ca="1">IF('0信息维护'!$I$115=0,0,E178/('0信息维护'!$I$115)*'0信息维护'!$E$40*'0信息维护'!$S$30)+IF('0信息维护'!$I$116=0,0,F178/('0信息维护'!$I$116)*'0信息维护'!$E$40*'0信息维护'!$T$30)+IF('0信息维护'!$I$117=0,0,G178/('0信息维护'!$I$117)*'0信息维护'!$E$40*'0信息维护'!$U$30)+IF('0信息维护'!$I$118=0,0,H178/('0信息维护'!$I$118)*'0信息维护'!$E$40*'0信息维护'!$V$30)+IF('0信息维护'!$I$119=0,0,I178/'0信息维护'!$I$119*'0信息维护'!$I$40)</f>
        <v>0</v>
      </c>
      <c r="K178" s="27"/>
    </row>
    <row r="179" spans="1:11">
      <c r="A179" s="21"/>
      <c r="B179" s="21"/>
      <c r="C179" s="21"/>
      <c r="D179" s="18" t="str">
        <f>'0信息维护'!A$31</f>
        <v>课程目标7</v>
      </c>
      <c r="E179" s="19">
        <f ca="1">OFFSET('1课程考核方式及成绩组成'!$F$10,(ROW(E179)-5)/7,MOD((ROW(E179)-5),7))</f>
        <v>0</v>
      </c>
      <c r="F179" s="19">
        <f ca="1">OFFSET('1课程考核方式及成绩组成'!$N$10,(ROW(F179)-5)/7,MOD((ROW(F179)-5),7))</f>
        <v>0</v>
      </c>
      <c r="G179" s="19">
        <f ca="1">OFFSET('1课程考核方式及成绩组成'!$V$10,(ROW(G179)-5)/7,MOD((ROW(G179)-5),7))</f>
        <v>0</v>
      </c>
      <c r="H179" s="19">
        <f ca="1">OFFSET('1课程考核方式及成绩组成'!$AD$10,(ROW(H179)-5)/7,MOD((ROW(H179)-5),7))</f>
        <v>0</v>
      </c>
      <c r="I179" s="19">
        <f ca="1">OFFSET('1课程考核方式及成绩组成'!$AL$10,(ROW(I179)-5)/7,MOD((ROW(I179)-5),7))</f>
        <v>0</v>
      </c>
      <c r="J179" s="25">
        <f ca="1">IF('0信息维护'!$I$121=0,0,E179/('0信息维护'!$I$121)*'0信息维护'!$E$41*'0信息维护'!$S$31)+IF('0信息维护'!$I$122=0,0,F179/('0信息维护'!$I$122)*'0信息维护'!$E$41*'0信息维护'!$T$31)+IF('0信息维护'!$I$123=0,0,G179/('0信息维护'!$I$123)*'0信息维护'!$E$41*'0信息维护'!$U$31)+IF('0信息维护'!$I$124=0,0,H179/('0信息维护'!$I$124)*'0信息维护'!$E$41*'0信息维护'!$T$31)+IF('0信息维护'!$I$125=0,0,I179/'0信息维护'!$I$125*'0信息维护'!$I$41)</f>
        <v>0</v>
      </c>
      <c r="K179" s="30"/>
    </row>
    <row r="180" spans="1:11">
      <c r="A180" s="17">
        <v>26</v>
      </c>
      <c r="B180" s="17" t="str">
        <f ca="1">OFFSET('1课程考核方式及成绩组成'!$D$10,(ROW(B180)-5)/7,)</f>
        <v>190301022</v>
      </c>
      <c r="C180" s="17" t="str">
        <f ca="1">OFFSET('1课程考核方式及成绩组成'!$E$10,(ROW(C180)-5)/7,)</f>
        <v>寇云琦</v>
      </c>
      <c r="D180" s="18" t="str">
        <f>'0信息维护'!A$25</f>
        <v>课程目标1</v>
      </c>
      <c r="E180" s="19">
        <f ca="1">OFFSET('1课程考核方式及成绩组成'!$F$10,(ROW(E180)-5)/7,MOD((ROW(E180)-5),7))</f>
        <v>40</v>
      </c>
      <c r="F180" s="19">
        <f ca="1">OFFSET('1课程考核方式及成绩组成'!$N$10,(ROW(F180)-5)/7,MOD((ROW(F180)-5),7))</f>
        <v>0</v>
      </c>
      <c r="G180" s="19">
        <f ca="1">OFFSET('1课程考核方式及成绩组成'!$V$10,(ROW(G180)-5)/7,MOD((ROW(G180)-5),7))</f>
        <v>0</v>
      </c>
      <c r="H180" s="19">
        <f ca="1">OFFSET('1课程考核方式及成绩组成'!$AD$10,(ROW(H180)-5)/7,MOD((ROW(H180)-5),7))</f>
        <v>0</v>
      </c>
      <c r="I180" s="19">
        <f ca="1">OFFSET('1课程考核方式及成绩组成'!$AL$10,(ROW(I180)-5)/7,MOD((ROW(I180)-5),7))</f>
        <v>34</v>
      </c>
      <c r="J180" s="25">
        <f ca="1">IF('0信息维护'!$I$85=0,0,E180/('0信息维护'!$I$85)*'0信息维护'!$E$35*'0信息维护'!$S$25)+IF('0信息维护'!$I$86=0,0,F180/('0信息维护'!$I$86)*'0信息维护'!$E$35*'0信息维护'!$T$25)+IF('0信息维护'!$I$87=0,0,G180/('0信息维护'!$I$87)*'0信息维护'!$E$35*'0信息维护'!$U$25)+IF('0信息维护'!$I$88=0,0,H180/('0信息维护'!$I$88)*'0信息维护'!$E$35*'0信息维护'!$V$25)+IF('0信息维护'!$I$89=0,0,I180/'0信息维护'!$I$89*'0信息维护'!$I$35)</f>
        <v>0.972222222222222</v>
      </c>
      <c r="K180" s="26">
        <f ca="1">J180*'0信息维护'!$D$132+J181*'0信息维护'!$D$133+J182*'0信息维护'!$D$134+J183*'0信息维护'!$D$135+J184*'0信息维护'!$D$136+J185*'0信息维护'!$D$137+J186*'0信息维护'!$D$138</f>
        <v>0.789245098039216</v>
      </c>
    </row>
    <row r="181" spans="1:14">
      <c r="A181" s="20"/>
      <c r="B181" s="20"/>
      <c r="C181" s="20"/>
      <c r="D181" s="18" t="str">
        <f>'0信息维护'!A$26</f>
        <v>课程目标2</v>
      </c>
      <c r="E181" s="19">
        <f ca="1">OFFSET('1课程考核方式及成绩组成'!$F$10,(ROW(E181)-5)/7,MOD((ROW(E181)-5),7))</f>
        <v>60</v>
      </c>
      <c r="F181" s="19">
        <f ca="1">OFFSET('1课程考核方式及成绩组成'!$N$10,(ROW(F181)-5)/7,MOD((ROW(F181)-5),7))</f>
        <v>0</v>
      </c>
      <c r="G181" s="19">
        <f ca="1">OFFSET('1课程考核方式及成绩组成'!$V$10,(ROW(G181)-5)/7,MOD((ROW(G181)-5),7))</f>
        <v>0</v>
      </c>
      <c r="H181" s="19">
        <f ca="1">OFFSET('1课程考核方式及成绩组成'!$AD$10,(ROW(H181)-5)/7,MOD((ROW(H181)-5),7))</f>
        <v>0</v>
      </c>
      <c r="I181" s="19">
        <f ca="1">OFFSET('1课程考核方式及成绩组成'!$AL$10,(ROW(I181)-5)/7,MOD((ROW(I181)-5),7))</f>
        <v>21</v>
      </c>
      <c r="J181" s="25">
        <f ca="1">IF('0信息维护'!$I$91=0,0,E181/('0信息维护'!$I$91)*'0信息维护'!$S$26*'0信息维护'!$E$36)+IF('0信息维护'!$I$92=0,0,F181/('0信息维护'!$I$92)*'0信息维护'!$T$26*'0信息维护'!$E$36)+IF('0信息维护'!$I$93=0,0,G181/('0信息维护'!$I$93)*'0信息维护'!$U$26*'0信息维护'!$E$36)+IF('0信息维护'!$I$94=0,0,H181/('0信息维护'!$I$94)*'0信息维护'!$V$26*'0信息维护'!$E$36)+IF('0信息维护'!$I$95=0,0,I181/'0信息维护'!$I$95*'0信息维护'!$I$36)</f>
        <v>0.85</v>
      </c>
      <c r="K181" s="27"/>
      <c r="N181" s="29"/>
    </row>
    <row r="182" spans="1:11">
      <c r="A182" s="20"/>
      <c r="B182" s="20"/>
      <c r="C182" s="20"/>
      <c r="D182" s="18" t="str">
        <f>'0信息维护'!A$27</f>
        <v>课程目标3</v>
      </c>
      <c r="E182" s="19">
        <f ca="1">OFFSET('1课程考核方式及成绩组成'!$F$10,(ROW(E182)-5)/7,MOD((ROW(E182)-5),7))</f>
        <v>0</v>
      </c>
      <c r="F182" s="19">
        <f ca="1">OFFSET('1课程考核方式及成绩组成'!$N$10,(ROW(F182)-5)/7,MOD((ROW(F182)-5),7))</f>
        <v>0</v>
      </c>
      <c r="G182" s="19">
        <f ca="1">OFFSET('1课程考核方式及成绩组成'!$V$10,(ROW(G182)-5)/7,MOD((ROW(G182)-5),7))</f>
        <v>0</v>
      </c>
      <c r="H182" s="19">
        <f ca="1">OFFSET('1课程考核方式及成绩组成'!$AD$10,(ROW(H182)-5)/7,MOD((ROW(H182)-5),7))</f>
        <v>0</v>
      </c>
      <c r="I182" s="19">
        <f ca="1">OFFSET('1课程考核方式及成绩组成'!$AL$10,(ROW(I182)-5)/7,MOD((ROW(I182)-5),7))</f>
        <v>21</v>
      </c>
      <c r="J182" s="25">
        <f ca="1">IF('0信息维护'!$I$97=0,0,E182/('0信息维护'!$I$97)*'0信息维护'!$E$37*'0信息维护'!$S$27)+IF('0信息维护'!$I$98=0,0,F182/('0信息维护'!$I$98)*'0信息维护'!$E$37*'0信息维护'!$T$27)+IF('0信息维护'!$I$99=0,0,G182/('0信息维护'!$I$99)*'0信息维护'!$E$37*'0信息维护'!$U$27)+IF('0信息维护'!$I$100=0,0,H182/('0信息维护'!$I$100)*'0信息维护'!$E$37*'0信息维护'!$V$27)+IF('0信息维护'!$I$101=0,0,I182/'0信息维护'!$I$101*'0信息维护'!$I$37)</f>
        <v>0.617647058823529</v>
      </c>
      <c r="K182" s="27"/>
    </row>
    <row r="183" spans="1:11">
      <c r="A183" s="20"/>
      <c r="B183" s="20"/>
      <c r="C183" s="20"/>
      <c r="D183" s="18" t="str">
        <f>'0信息维护'!A$28</f>
        <v>课程目标4</v>
      </c>
      <c r="E183" s="19">
        <f ca="1">OFFSET('1课程考核方式及成绩组成'!$F$10,(ROW(E183)-5)/7,MOD((ROW(E183)-5),7))</f>
        <v>0</v>
      </c>
      <c r="F183" s="19">
        <f ca="1">OFFSET('1课程考核方式及成绩组成'!$N$10,(ROW(F183)-5)/7,MOD((ROW(F183)-5),7))</f>
        <v>78</v>
      </c>
      <c r="G183" s="19">
        <f ca="1">OFFSET('1课程考核方式及成绩组成'!$V$10,(ROW(G183)-5)/7,MOD((ROW(G183)-5),7))</f>
        <v>0</v>
      </c>
      <c r="H183" s="19">
        <f ca="1">OFFSET('1课程考核方式及成绩组成'!$AD$10,(ROW(H183)-5)/7,MOD((ROW(H183)-5),7))</f>
        <v>0</v>
      </c>
      <c r="I183" s="19">
        <f ca="1">OFFSET('1课程考核方式及成绩组成'!$AL$10,(ROW(I183)-5)/7,MOD((ROW(I183)-5),7))</f>
        <v>0</v>
      </c>
      <c r="J183" s="25">
        <f ca="1">IF('0信息维护'!$I$103=0,0,E183/('0信息维护'!$I$103)*'0信息维护'!$E$38*'0信息维护'!$S$28)+IF('0信息维护'!$I$104=0,0,F183/('0信息维护'!$I$104)*'0信息维护'!$E$38*'0信息维护'!$T$28)+IF('0信息维护'!$I$105=0,0,G183/('0信息维护'!$I$105)*'0信息维护'!$E$38*'0信息维护'!$U$28)+IF('0信息维护'!$I$106=0,0,H183/('0信息维护'!$I$106)*'0信息维护'!$E$38*'0信息维护'!$V$28)+IF('0信息维护'!$I$107=0,0,I183/'0信息维护'!$I$107*'0信息维护'!$I$38)</f>
        <v>0.78</v>
      </c>
      <c r="K183" s="27"/>
    </row>
    <row r="184" spans="1:11">
      <c r="A184" s="20"/>
      <c r="B184" s="20"/>
      <c r="C184" s="20"/>
      <c r="D184" s="18" t="str">
        <f>'0信息维护'!A$29</f>
        <v>课程目标5</v>
      </c>
      <c r="E184" s="19">
        <f ca="1">OFFSET('1课程考核方式及成绩组成'!$F$10,(ROW(E184)-5)/7,MOD((ROW(E184)-5),7))</f>
        <v>0</v>
      </c>
      <c r="F184" s="19">
        <f ca="1">OFFSET('1课程考核方式及成绩组成'!$N$10,(ROW(F184)-5)/7,MOD((ROW(F184)-5),7))</f>
        <v>0</v>
      </c>
      <c r="G184" s="19">
        <f ca="1">OFFSET('1课程考核方式及成绩组成'!$V$10,(ROW(G184)-5)/7,MOD((ROW(G184)-5),7))</f>
        <v>0</v>
      </c>
      <c r="H184" s="19">
        <f ca="1">OFFSET('1课程考核方式及成绩组成'!$AD$10,(ROW(H184)-5)/7,MOD((ROW(H184)-5),7))</f>
        <v>0</v>
      </c>
      <c r="I184" s="19">
        <f ca="1">OFFSET('1课程考核方式及成绩组成'!$AL$10,(ROW(I184)-5)/7,MOD((ROW(I184)-5),7))</f>
        <v>0</v>
      </c>
      <c r="J184" s="25">
        <f ca="1">IF('0信息维护'!$I$109=0,0,E184/('0信息维护'!$I$109)*'0信息维护'!$E$39*'0信息维护'!$S$29)+IF('0信息维护'!$I$110=0,0,F184/('0信息维护'!$I$110)*'0信息维护'!$E$39*'0信息维护'!$T$29)+IF('0信息维护'!$I$111=0,0,G184/('0信息维护'!$I$111)*'0信息维护'!$E$39*'0信息维护'!$U$29)+IF('0信息维护'!$I$112=0,0,H184/('0信息维护'!$I$112)*'0信息维护'!$E$39*'0信息维护'!$V$29)+IF('0信息维护'!$I$113=0,0,I184/'0信息维护'!$I$113*'0信息维护'!$I$39)</f>
        <v>0</v>
      </c>
      <c r="K184" s="27"/>
    </row>
    <row r="185" spans="1:11">
      <c r="A185" s="20"/>
      <c r="B185" s="20"/>
      <c r="C185" s="20"/>
      <c r="D185" s="18" t="str">
        <f>'0信息维护'!A$30</f>
        <v>课程目标6</v>
      </c>
      <c r="E185" s="19">
        <f ca="1">OFFSET('1课程考核方式及成绩组成'!$F$10,(ROW(E185)-5)/7,MOD((ROW(E185)-5),7))</f>
        <v>0</v>
      </c>
      <c r="F185" s="19">
        <f ca="1">OFFSET('1课程考核方式及成绩组成'!$N$10,(ROW(F185)-5)/7,MOD((ROW(F185)-5),7))</f>
        <v>0</v>
      </c>
      <c r="G185" s="19">
        <f ca="1">OFFSET('1课程考核方式及成绩组成'!$V$10,(ROW(G185)-5)/7,MOD((ROW(G185)-5),7))</f>
        <v>0</v>
      </c>
      <c r="H185" s="19">
        <f ca="1">OFFSET('1课程考核方式及成绩组成'!$AD$10,(ROW(H185)-5)/7,MOD((ROW(H185)-5),7))</f>
        <v>0</v>
      </c>
      <c r="I185" s="19">
        <f ca="1">OFFSET('1课程考核方式及成绩组成'!$AL$10,(ROW(I185)-5)/7,MOD((ROW(I185)-5),7))</f>
        <v>0</v>
      </c>
      <c r="J185" s="25">
        <f ca="1">IF('0信息维护'!$I$115=0,0,E185/('0信息维护'!$I$115)*'0信息维护'!$E$40*'0信息维护'!$S$30)+IF('0信息维护'!$I$116=0,0,F185/('0信息维护'!$I$116)*'0信息维护'!$E$40*'0信息维护'!$T$30)+IF('0信息维护'!$I$117=0,0,G185/('0信息维护'!$I$117)*'0信息维护'!$E$40*'0信息维护'!$U$30)+IF('0信息维护'!$I$118=0,0,H185/('0信息维护'!$I$118)*'0信息维护'!$E$40*'0信息维护'!$V$30)+IF('0信息维护'!$I$119=0,0,I185/'0信息维护'!$I$119*'0信息维护'!$I$40)</f>
        <v>0</v>
      </c>
      <c r="K185" s="27"/>
    </row>
    <row r="186" spans="1:11">
      <c r="A186" s="21"/>
      <c r="B186" s="21"/>
      <c r="C186" s="21"/>
      <c r="D186" s="18" t="str">
        <f>'0信息维护'!A$31</f>
        <v>课程目标7</v>
      </c>
      <c r="E186" s="19">
        <f ca="1">OFFSET('1课程考核方式及成绩组成'!$F$10,(ROW(E186)-5)/7,MOD((ROW(E186)-5),7))</f>
        <v>0</v>
      </c>
      <c r="F186" s="19">
        <f ca="1">OFFSET('1课程考核方式及成绩组成'!$N$10,(ROW(F186)-5)/7,MOD((ROW(F186)-5),7))</f>
        <v>0</v>
      </c>
      <c r="G186" s="19">
        <f ca="1">OFFSET('1课程考核方式及成绩组成'!$V$10,(ROW(G186)-5)/7,MOD((ROW(G186)-5),7))</f>
        <v>0</v>
      </c>
      <c r="H186" s="19">
        <f ca="1">OFFSET('1课程考核方式及成绩组成'!$AD$10,(ROW(H186)-5)/7,MOD((ROW(H186)-5),7))</f>
        <v>0</v>
      </c>
      <c r="I186" s="19">
        <f ca="1">OFFSET('1课程考核方式及成绩组成'!$AL$10,(ROW(I186)-5)/7,MOD((ROW(I186)-5),7))</f>
        <v>0</v>
      </c>
      <c r="J186" s="25">
        <f ca="1">IF('0信息维护'!$I$121=0,0,E186/('0信息维护'!$I$121)*'0信息维护'!$E$41*'0信息维护'!$S$31)+IF('0信息维护'!$I$122=0,0,F186/('0信息维护'!$I$122)*'0信息维护'!$E$41*'0信息维护'!$T$31)+IF('0信息维护'!$I$123=0,0,G186/('0信息维护'!$I$123)*'0信息维护'!$E$41*'0信息维护'!$U$31)+IF('0信息维护'!$I$124=0,0,H186/('0信息维护'!$I$124)*'0信息维护'!$E$41*'0信息维护'!$T$31)+IF('0信息维护'!$I$125=0,0,I186/'0信息维护'!$I$125*'0信息维护'!$I$41)</f>
        <v>0</v>
      </c>
      <c r="K186" s="30"/>
    </row>
    <row r="187" spans="1:11">
      <c r="A187" s="17">
        <v>27</v>
      </c>
      <c r="B187" s="17" t="str">
        <f ca="1">OFFSET('1课程考核方式及成绩组成'!$D$10,(ROW(B187)-5)/7,)</f>
        <v>190301023</v>
      </c>
      <c r="C187" s="17" t="str">
        <f ca="1">OFFSET('1课程考核方式及成绩组成'!$E$10,(ROW(C187)-5)/7,)</f>
        <v>杨承烨</v>
      </c>
      <c r="D187" s="18" t="str">
        <f>'0信息维护'!A$25</f>
        <v>课程目标1</v>
      </c>
      <c r="E187" s="19">
        <f ca="1">OFFSET('1课程考核方式及成绩组成'!$F$10,(ROW(E187)-5)/7,MOD((ROW(E187)-5),7))</f>
        <v>40</v>
      </c>
      <c r="F187" s="19">
        <f ca="1">OFFSET('1课程考核方式及成绩组成'!$N$10,(ROW(F187)-5)/7,MOD((ROW(F187)-5),7))</f>
        <v>0</v>
      </c>
      <c r="G187" s="19">
        <f ca="1">OFFSET('1课程考核方式及成绩组成'!$V$10,(ROW(G187)-5)/7,MOD((ROW(G187)-5),7))</f>
        <v>0</v>
      </c>
      <c r="H187" s="19">
        <f ca="1">OFFSET('1课程考核方式及成绩组成'!$AD$10,(ROW(H187)-5)/7,MOD((ROW(H187)-5),7))</f>
        <v>0</v>
      </c>
      <c r="I187" s="19">
        <f ca="1">OFFSET('1课程考核方式及成绩组成'!$AL$10,(ROW(I187)-5)/7,MOD((ROW(I187)-5),7))</f>
        <v>26</v>
      </c>
      <c r="J187" s="25">
        <f ca="1">IF('0信息维护'!$I$85=0,0,E187/('0信息维护'!$I$85)*'0信息维护'!$E$35*'0信息维护'!$S$25)+IF('0信息维护'!$I$86=0,0,F187/('0信息维护'!$I$86)*'0信息维护'!$E$35*'0信息维护'!$T$25)+IF('0信息维护'!$I$87=0,0,G187/('0信息维护'!$I$87)*'0信息维护'!$E$35*'0信息维护'!$U$25)+IF('0信息维护'!$I$88=0,0,H187/('0信息维护'!$I$88)*'0信息维护'!$E$35*'0信息维护'!$V$25)+IF('0信息维护'!$I$89=0,0,I187/'0信息维护'!$I$89*'0信息维护'!$I$35)</f>
        <v>0.861111111111111</v>
      </c>
      <c r="K187" s="26">
        <f ca="1">J187*'0信息维护'!$D$132+J188*'0信息维护'!$D$133+J189*'0信息维护'!$D$134+J190*'0信息维护'!$D$135+J191*'0信息维护'!$D$136+J192*'0信息维护'!$D$137+J193*'0信息维护'!$D$138</f>
        <v>0.78693137254902</v>
      </c>
    </row>
    <row r="188" spans="1:14">
      <c r="A188" s="20"/>
      <c r="B188" s="20"/>
      <c r="C188" s="20"/>
      <c r="D188" s="18" t="str">
        <f>'0信息维护'!A$26</f>
        <v>课程目标2</v>
      </c>
      <c r="E188" s="19">
        <f ca="1">OFFSET('1课程考核方式及成绩组成'!$F$10,(ROW(E188)-5)/7,MOD((ROW(E188)-5),7))</f>
        <v>60</v>
      </c>
      <c r="F188" s="19">
        <f ca="1">OFFSET('1课程考核方式及成绩组成'!$N$10,(ROW(F188)-5)/7,MOD((ROW(F188)-5),7))</f>
        <v>0</v>
      </c>
      <c r="G188" s="19">
        <f ca="1">OFFSET('1课程考核方式及成绩组成'!$V$10,(ROW(G188)-5)/7,MOD((ROW(G188)-5),7))</f>
        <v>0</v>
      </c>
      <c r="H188" s="19">
        <f ca="1">OFFSET('1课程考核方式及成绩组成'!$AD$10,(ROW(H188)-5)/7,MOD((ROW(H188)-5),7))</f>
        <v>0</v>
      </c>
      <c r="I188" s="19">
        <f ca="1">OFFSET('1课程考核方式及成绩组成'!$AL$10,(ROW(I188)-5)/7,MOD((ROW(I188)-5),7))</f>
        <v>23</v>
      </c>
      <c r="J188" s="25">
        <f ca="1">IF('0信息维护'!$I$91=0,0,E188/('0信息维护'!$I$91)*'0信息维护'!$S$26*'0信息维护'!$E$36)+IF('0信息维护'!$I$92=0,0,F188/('0信息维护'!$I$92)*'0信息维护'!$T$26*'0信息维护'!$E$36)+IF('0信息维护'!$I$93=0,0,G188/('0信息维护'!$I$93)*'0信息维护'!$U$26*'0信息维护'!$E$36)+IF('0信息维护'!$I$94=0,0,H188/('0信息维护'!$I$94)*'0信息维护'!$V$26*'0信息维护'!$E$36)+IF('0信息维护'!$I$95=0,0,I188/'0信息维护'!$I$95*'0信息维护'!$I$36)</f>
        <v>0.883333333333333</v>
      </c>
      <c r="K188" s="27"/>
      <c r="N188" s="29"/>
    </row>
    <row r="189" spans="1:11">
      <c r="A189" s="20"/>
      <c r="B189" s="20"/>
      <c r="C189" s="20"/>
      <c r="D189" s="18" t="str">
        <f>'0信息维护'!A$27</f>
        <v>课程目标3</v>
      </c>
      <c r="E189" s="19">
        <f ca="1">OFFSET('1课程考核方式及成绩组成'!$F$10,(ROW(E189)-5)/7,MOD((ROW(E189)-5),7))</f>
        <v>0</v>
      </c>
      <c r="F189" s="19">
        <f ca="1">OFFSET('1课程考核方式及成绩组成'!$N$10,(ROW(F189)-5)/7,MOD((ROW(F189)-5),7))</f>
        <v>0</v>
      </c>
      <c r="G189" s="19">
        <f ca="1">OFFSET('1课程考核方式及成绩组成'!$V$10,(ROW(G189)-5)/7,MOD((ROW(G189)-5),7))</f>
        <v>0</v>
      </c>
      <c r="H189" s="19">
        <f ca="1">OFFSET('1课程考核方式及成绩组成'!$AD$10,(ROW(H189)-5)/7,MOD((ROW(H189)-5),7))</f>
        <v>0</v>
      </c>
      <c r="I189" s="19">
        <f ca="1">OFFSET('1课程考核方式及成绩组成'!$AL$10,(ROW(I189)-5)/7,MOD((ROW(I189)-5),7))</f>
        <v>22</v>
      </c>
      <c r="J189" s="25">
        <f ca="1">IF('0信息维护'!$I$97=0,0,E189/('0信息维护'!$I$97)*'0信息维护'!$E$37*'0信息维护'!$S$27)+IF('0信息维护'!$I$98=0,0,F189/('0信息维护'!$I$98)*'0信息维护'!$E$37*'0信息维护'!$T$27)+IF('0信息维护'!$I$99=0,0,G189/('0信息维护'!$I$99)*'0信息维护'!$E$37*'0信息维护'!$U$27)+IF('0信息维护'!$I$100=0,0,H189/('0信息维护'!$I$100)*'0信息维护'!$E$37*'0信息维护'!$V$27)+IF('0信息维护'!$I$101=0,0,I189/'0信息维护'!$I$101*'0信息维护'!$I$37)</f>
        <v>0.647058823529412</v>
      </c>
      <c r="K189" s="27"/>
    </row>
    <row r="190" spans="1:11">
      <c r="A190" s="20"/>
      <c r="B190" s="20"/>
      <c r="C190" s="20"/>
      <c r="D190" s="18" t="str">
        <f>'0信息维护'!A$28</f>
        <v>课程目标4</v>
      </c>
      <c r="E190" s="19">
        <f ca="1">OFFSET('1课程考核方式及成绩组成'!$F$10,(ROW(E190)-5)/7,MOD((ROW(E190)-5),7))</f>
        <v>0</v>
      </c>
      <c r="F190" s="19">
        <f ca="1">OFFSET('1课程考核方式及成绩组成'!$N$10,(ROW(F190)-5)/7,MOD((ROW(F190)-5),7))</f>
        <v>77</v>
      </c>
      <c r="G190" s="19">
        <f ca="1">OFFSET('1课程考核方式及成绩组成'!$V$10,(ROW(G190)-5)/7,MOD((ROW(G190)-5),7))</f>
        <v>0</v>
      </c>
      <c r="H190" s="19">
        <f ca="1">OFFSET('1课程考核方式及成绩组成'!$AD$10,(ROW(H190)-5)/7,MOD((ROW(H190)-5),7))</f>
        <v>0</v>
      </c>
      <c r="I190" s="19">
        <f ca="1">OFFSET('1课程考核方式及成绩组成'!$AL$10,(ROW(I190)-5)/7,MOD((ROW(I190)-5),7))</f>
        <v>0</v>
      </c>
      <c r="J190" s="25">
        <f ca="1">IF('0信息维护'!$I$103=0,0,E190/('0信息维护'!$I$103)*'0信息维护'!$E$38*'0信息维护'!$S$28)+IF('0信息维护'!$I$104=0,0,F190/('0信息维护'!$I$104)*'0信息维护'!$E$38*'0信息维护'!$T$28)+IF('0信息维护'!$I$105=0,0,G190/('0信息维护'!$I$105)*'0信息维护'!$E$38*'0信息维护'!$U$28)+IF('0信息维护'!$I$106=0,0,H190/('0信息维护'!$I$106)*'0信息维护'!$E$38*'0信息维护'!$V$28)+IF('0信息维护'!$I$107=0,0,I190/'0信息维护'!$I$107*'0信息维护'!$I$38)</f>
        <v>0.77</v>
      </c>
      <c r="K190" s="27"/>
    </row>
    <row r="191" spans="1:11">
      <c r="A191" s="20"/>
      <c r="B191" s="20"/>
      <c r="C191" s="20"/>
      <c r="D191" s="18" t="str">
        <f>'0信息维护'!A$29</f>
        <v>课程目标5</v>
      </c>
      <c r="E191" s="19">
        <f ca="1">OFFSET('1课程考核方式及成绩组成'!$F$10,(ROW(E191)-5)/7,MOD((ROW(E191)-5),7))</f>
        <v>0</v>
      </c>
      <c r="F191" s="19">
        <f ca="1">OFFSET('1课程考核方式及成绩组成'!$N$10,(ROW(F191)-5)/7,MOD((ROW(F191)-5),7))</f>
        <v>0</v>
      </c>
      <c r="G191" s="19">
        <f ca="1">OFFSET('1课程考核方式及成绩组成'!$V$10,(ROW(G191)-5)/7,MOD((ROW(G191)-5),7))</f>
        <v>0</v>
      </c>
      <c r="H191" s="19">
        <f ca="1">OFFSET('1课程考核方式及成绩组成'!$AD$10,(ROW(H191)-5)/7,MOD((ROW(H191)-5),7))</f>
        <v>0</v>
      </c>
      <c r="I191" s="19">
        <f ca="1">OFFSET('1课程考核方式及成绩组成'!$AL$10,(ROW(I191)-5)/7,MOD((ROW(I191)-5),7))</f>
        <v>0</v>
      </c>
      <c r="J191" s="25">
        <f ca="1">IF('0信息维护'!$I$109=0,0,E191/('0信息维护'!$I$109)*'0信息维护'!$E$39*'0信息维护'!$S$29)+IF('0信息维护'!$I$110=0,0,F191/('0信息维护'!$I$110)*'0信息维护'!$E$39*'0信息维护'!$T$29)+IF('0信息维护'!$I$111=0,0,G191/('0信息维护'!$I$111)*'0信息维护'!$E$39*'0信息维护'!$U$29)+IF('0信息维护'!$I$112=0,0,H191/('0信息维护'!$I$112)*'0信息维护'!$E$39*'0信息维护'!$V$29)+IF('0信息维护'!$I$113=0,0,I191/'0信息维护'!$I$113*'0信息维护'!$I$39)</f>
        <v>0</v>
      </c>
      <c r="K191" s="27"/>
    </row>
    <row r="192" spans="1:11">
      <c r="A192" s="20"/>
      <c r="B192" s="20"/>
      <c r="C192" s="20"/>
      <c r="D192" s="18" t="str">
        <f>'0信息维护'!A$30</f>
        <v>课程目标6</v>
      </c>
      <c r="E192" s="19">
        <f ca="1">OFFSET('1课程考核方式及成绩组成'!$F$10,(ROW(E192)-5)/7,MOD((ROW(E192)-5),7))</f>
        <v>0</v>
      </c>
      <c r="F192" s="19">
        <f ca="1">OFFSET('1课程考核方式及成绩组成'!$N$10,(ROW(F192)-5)/7,MOD((ROW(F192)-5),7))</f>
        <v>0</v>
      </c>
      <c r="G192" s="19">
        <f ca="1">OFFSET('1课程考核方式及成绩组成'!$V$10,(ROW(G192)-5)/7,MOD((ROW(G192)-5),7))</f>
        <v>0</v>
      </c>
      <c r="H192" s="19">
        <f ca="1">OFFSET('1课程考核方式及成绩组成'!$AD$10,(ROW(H192)-5)/7,MOD((ROW(H192)-5),7))</f>
        <v>0</v>
      </c>
      <c r="I192" s="19">
        <f ca="1">OFFSET('1课程考核方式及成绩组成'!$AL$10,(ROW(I192)-5)/7,MOD((ROW(I192)-5),7))</f>
        <v>0</v>
      </c>
      <c r="J192" s="25">
        <f ca="1">IF('0信息维护'!$I$115=0,0,E192/('0信息维护'!$I$115)*'0信息维护'!$E$40*'0信息维护'!$S$30)+IF('0信息维护'!$I$116=0,0,F192/('0信息维护'!$I$116)*'0信息维护'!$E$40*'0信息维护'!$T$30)+IF('0信息维护'!$I$117=0,0,G192/('0信息维护'!$I$117)*'0信息维护'!$E$40*'0信息维护'!$U$30)+IF('0信息维护'!$I$118=0,0,H192/('0信息维护'!$I$118)*'0信息维护'!$E$40*'0信息维护'!$V$30)+IF('0信息维护'!$I$119=0,0,I192/'0信息维护'!$I$119*'0信息维护'!$I$40)</f>
        <v>0</v>
      </c>
      <c r="K192" s="27"/>
    </row>
    <row r="193" spans="1:11">
      <c r="A193" s="21"/>
      <c r="B193" s="21"/>
      <c r="C193" s="21"/>
      <c r="D193" s="18" t="str">
        <f>'0信息维护'!A$31</f>
        <v>课程目标7</v>
      </c>
      <c r="E193" s="19">
        <f ca="1">OFFSET('1课程考核方式及成绩组成'!$F$10,(ROW(E193)-5)/7,MOD((ROW(E193)-5),7))</f>
        <v>0</v>
      </c>
      <c r="F193" s="19">
        <f ca="1">OFFSET('1课程考核方式及成绩组成'!$N$10,(ROW(F193)-5)/7,MOD((ROW(F193)-5),7))</f>
        <v>0</v>
      </c>
      <c r="G193" s="19">
        <f ca="1">OFFSET('1课程考核方式及成绩组成'!$V$10,(ROW(G193)-5)/7,MOD((ROW(G193)-5),7))</f>
        <v>0</v>
      </c>
      <c r="H193" s="19">
        <f ca="1">OFFSET('1课程考核方式及成绩组成'!$AD$10,(ROW(H193)-5)/7,MOD((ROW(H193)-5),7))</f>
        <v>0</v>
      </c>
      <c r="I193" s="19">
        <f ca="1">OFFSET('1课程考核方式及成绩组成'!$AL$10,(ROW(I193)-5)/7,MOD((ROW(I193)-5),7))</f>
        <v>0</v>
      </c>
      <c r="J193" s="25">
        <f ca="1">IF('0信息维护'!$I$121=0,0,E193/('0信息维护'!$I$121)*'0信息维护'!$E$41*'0信息维护'!$S$31)+IF('0信息维护'!$I$122=0,0,F193/('0信息维护'!$I$122)*'0信息维护'!$E$41*'0信息维护'!$T$31)+IF('0信息维护'!$I$123=0,0,G193/('0信息维护'!$I$123)*'0信息维护'!$E$41*'0信息维护'!$U$31)+IF('0信息维护'!$I$124=0,0,H193/('0信息维护'!$I$124)*'0信息维护'!$E$41*'0信息维护'!$T$31)+IF('0信息维护'!$I$125=0,0,I193/'0信息维护'!$I$125*'0信息维护'!$I$41)</f>
        <v>0</v>
      </c>
      <c r="K193" s="30"/>
    </row>
    <row r="194" spans="1:11">
      <c r="A194" s="17">
        <v>28</v>
      </c>
      <c r="B194" s="17" t="str">
        <f ca="1">OFFSET('1课程考核方式及成绩组成'!$D$10,(ROW(B194)-5)/7,)</f>
        <v>190301024</v>
      </c>
      <c r="C194" s="17" t="str">
        <f ca="1">OFFSET('1课程考核方式及成绩组成'!$E$10,(ROW(C194)-5)/7,)</f>
        <v>喻钦鑫</v>
      </c>
      <c r="D194" s="18" t="str">
        <f>'0信息维护'!A$25</f>
        <v>课程目标1</v>
      </c>
      <c r="E194" s="19">
        <f ca="1">OFFSET('1课程考核方式及成绩组成'!$F$10,(ROW(E194)-5)/7,MOD((ROW(E194)-5),7))</f>
        <v>35</v>
      </c>
      <c r="F194" s="19">
        <f ca="1">OFFSET('1课程考核方式及成绩组成'!$N$10,(ROW(F194)-5)/7,MOD((ROW(F194)-5),7))</f>
        <v>0</v>
      </c>
      <c r="G194" s="19">
        <f ca="1">OFFSET('1课程考核方式及成绩组成'!$V$10,(ROW(G194)-5)/7,MOD((ROW(G194)-5),7))</f>
        <v>0</v>
      </c>
      <c r="H194" s="19">
        <f ca="1">OFFSET('1课程考核方式及成绩组成'!$AD$10,(ROW(H194)-5)/7,MOD((ROW(H194)-5),7))</f>
        <v>0</v>
      </c>
      <c r="I194" s="19">
        <f ca="1">OFFSET('1课程考核方式及成绩组成'!$AL$10,(ROW(I194)-5)/7,MOD((ROW(I194)-5),7))</f>
        <v>25</v>
      </c>
      <c r="J194" s="25">
        <f ca="1">IF('0信息维护'!$I$85=0,0,E194/('0信息维护'!$I$85)*'0信息维护'!$E$35*'0信息维护'!$S$25)+IF('0信息维护'!$I$86=0,0,F194/('0信息维护'!$I$86)*'0信息维护'!$E$35*'0信息维护'!$T$25)+IF('0信息维护'!$I$87=0,0,G194/('0信息维护'!$I$87)*'0信息维护'!$E$35*'0信息维护'!$U$25)+IF('0信息维护'!$I$88=0,0,H194/('0信息维护'!$I$88)*'0信息维护'!$E$35*'0信息维护'!$V$25)+IF('0信息维护'!$I$89=0,0,I194/'0信息维护'!$I$89*'0信息维护'!$I$35)</f>
        <v>0.784722222222222</v>
      </c>
      <c r="K194" s="26">
        <f ca="1">J194*'0信息维护'!$D$132+J195*'0信息维护'!$D$133+J196*'0信息维护'!$D$134+J197*'0信息维护'!$D$135+J198*'0信息维护'!$D$136+J199*'0信息维护'!$D$137+J200*'0信息维护'!$D$138</f>
        <v>0.679620098039216</v>
      </c>
    </row>
    <row r="195" spans="1:14">
      <c r="A195" s="20"/>
      <c r="B195" s="20"/>
      <c r="C195" s="20"/>
      <c r="D195" s="18" t="str">
        <f>'0信息维护'!A$26</f>
        <v>课程目标2</v>
      </c>
      <c r="E195" s="19">
        <f ca="1">OFFSET('1课程考核方式及成绩组成'!$F$10,(ROW(E195)-5)/7,MOD((ROW(E195)-5),7))</f>
        <v>55</v>
      </c>
      <c r="F195" s="19">
        <f ca="1">OFFSET('1课程考核方式及成绩组成'!$N$10,(ROW(F195)-5)/7,MOD((ROW(F195)-5),7))</f>
        <v>0</v>
      </c>
      <c r="G195" s="19">
        <f ca="1">OFFSET('1课程考核方式及成绩组成'!$V$10,(ROW(G195)-5)/7,MOD((ROW(G195)-5),7))</f>
        <v>0</v>
      </c>
      <c r="H195" s="19">
        <f ca="1">OFFSET('1课程考核方式及成绩组成'!$AD$10,(ROW(H195)-5)/7,MOD((ROW(H195)-5),7))</f>
        <v>0</v>
      </c>
      <c r="I195" s="19">
        <f ca="1">OFFSET('1课程考核方式及成绩组成'!$AL$10,(ROW(I195)-5)/7,MOD((ROW(I195)-5),7))</f>
        <v>12</v>
      </c>
      <c r="J195" s="25">
        <f ca="1">IF('0信息维护'!$I$91=0,0,E195/('0信息维护'!$I$91)*'0信息维护'!$S$26*'0信息维护'!$E$36)+IF('0信息维护'!$I$92=0,0,F195/('0信息维护'!$I$92)*'0信息维护'!$T$26*'0信息维护'!$E$36)+IF('0信息维护'!$I$93=0,0,G195/('0信息维护'!$I$93)*'0信息维护'!$U$26*'0信息维护'!$E$36)+IF('0信息维护'!$I$94=0,0,H195/('0信息维护'!$I$94)*'0信息维护'!$V$26*'0信息维护'!$E$36)+IF('0信息维护'!$I$95=0,0,I195/'0信息维护'!$I$95*'0信息维护'!$I$36)</f>
        <v>0.658333333333333</v>
      </c>
      <c r="K195" s="27"/>
      <c r="N195" s="29"/>
    </row>
    <row r="196" spans="1:11">
      <c r="A196" s="20"/>
      <c r="B196" s="20"/>
      <c r="C196" s="20"/>
      <c r="D196" s="18" t="str">
        <f>'0信息维护'!A$27</f>
        <v>课程目标3</v>
      </c>
      <c r="E196" s="19">
        <f ca="1">OFFSET('1课程考核方式及成绩组成'!$F$10,(ROW(E196)-5)/7,MOD((ROW(E196)-5),7))</f>
        <v>0</v>
      </c>
      <c r="F196" s="19">
        <f ca="1">OFFSET('1课程考核方式及成绩组成'!$N$10,(ROW(F196)-5)/7,MOD((ROW(F196)-5),7))</f>
        <v>0</v>
      </c>
      <c r="G196" s="19">
        <f ca="1">OFFSET('1课程考核方式及成绩组成'!$V$10,(ROW(G196)-5)/7,MOD((ROW(G196)-5),7))</f>
        <v>0</v>
      </c>
      <c r="H196" s="19">
        <f ca="1">OFFSET('1课程考核方式及成绩组成'!$AD$10,(ROW(H196)-5)/7,MOD((ROW(H196)-5),7))</f>
        <v>0</v>
      </c>
      <c r="I196" s="19">
        <f ca="1">OFFSET('1课程考核方式及成绩组成'!$AL$10,(ROW(I196)-5)/7,MOD((ROW(I196)-5),7))</f>
        <v>21</v>
      </c>
      <c r="J196" s="25">
        <f ca="1">IF('0信息维护'!$I$97=0,0,E196/('0信息维护'!$I$97)*'0信息维护'!$E$37*'0信息维护'!$S$27)+IF('0信息维护'!$I$98=0,0,F196/('0信息维护'!$I$98)*'0信息维护'!$E$37*'0信息维护'!$T$27)+IF('0信息维护'!$I$99=0,0,G196/('0信息维护'!$I$99)*'0信息维护'!$E$37*'0信息维护'!$U$27)+IF('0信息维护'!$I$100=0,0,H196/('0信息维护'!$I$100)*'0信息维护'!$E$37*'0信息维护'!$V$27)+IF('0信息维护'!$I$101=0,0,I196/'0信息维护'!$I$101*'0信息维护'!$I$37)</f>
        <v>0.617647058823529</v>
      </c>
      <c r="K196" s="27"/>
    </row>
    <row r="197" spans="1:11">
      <c r="A197" s="20"/>
      <c r="B197" s="20"/>
      <c r="C197" s="20"/>
      <c r="D197" s="18" t="str">
        <f>'0信息维护'!A$28</f>
        <v>课程目标4</v>
      </c>
      <c r="E197" s="19">
        <f ca="1">OFFSET('1课程考核方式及成绩组成'!$F$10,(ROW(E197)-5)/7,MOD((ROW(E197)-5),7))</f>
        <v>0</v>
      </c>
      <c r="F197" s="19">
        <f ca="1">OFFSET('1课程考核方式及成绩组成'!$N$10,(ROW(F197)-5)/7,MOD((ROW(F197)-5),7))</f>
        <v>70</v>
      </c>
      <c r="G197" s="19">
        <f ca="1">OFFSET('1课程考核方式及成绩组成'!$V$10,(ROW(G197)-5)/7,MOD((ROW(G197)-5),7))</f>
        <v>0</v>
      </c>
      <c r="H197" s="19">
        <f ca="1">OFFSET('1课程考核方式及成绩组成'!$AD$10,(ROW(H197)-5)/7,MOD((ROW(H197)-5),7))</f>
        <v>0</v>
      </c>
      <c r="I197" s="19">
        <f ca="1">OFFSET('1课程考核方式及成绩组成'!$AL$10,(ROW(I197)-5)/7,MOD((ROW(I197)-5),7))</f>
        <v>0</v>
      </c>
      <c r="J197" s="25">
        <f ca="1">IF('0信息维护'!$I$103=0,0,E197/('0信息维护'!$I$103)*'0信息维护'!$E$38*'0信息维护'!$S$28)+IF('0信息维护'!$I$104=0,0,F197/('0信息维护'!$I$104)*'0信息维护'!$E$38*'0信息维护'!$T$28)+IF('0信息维护'!$I$105=0,0,G197/('0信息维护'!$I$105)*'0信息维护'!$E$38*'0信息维护'!$U$28)+IF('0信息维护'!$I$106=0,0,H197/('0信息维护'!$I$106)*'0信息维护'!$E$38*'0信息维护'!$V$28)+IF('0信息维护'!$I$107=0,0,I197/'0信息维护'!$I$107*'0信息维护'!$I$38)</f>
        <v>0.7</v>
      </c>
      <c r="K197" s="27"/>
    </row>
    <row r="198" spans="1:11">
      <c r="A198" s="20"/>
      <c r="B198" s="20"/>
      <c r="C198" s="20"/>
      <c r="D198" s="18" t="str">
        <f>'0信息维护'!A$29</f>
        <v>课程目标5</v>
      </c>
      <c r="E198" s="19">
        <f ca="1">OFFSET('1课程考核方式及成绩组成'!$F$10,(ROW(E198)-5)/7,MOD((ROW(E198)-5),7))</f>
        <v>0</v>
      </c>
      <c r="F198" s="19">
        <f ca="1">OFFSET('1课程考核方式及成绩组成'!$N$10,(ROW(F198)-5)/7,MOD((ROW(F198)-5),7))</f>
        <v>0</v>
      </c>
      <c r="G198" s="19">
        <f ca="1">OFFSET('1课程考核方式及成绩组成'!$V$10,(ROW(G198)-5)/7,MOD((ROW(G198)-5),7))</f>
        <v>0</v>
      </c>
      <c r="H198" s="19">
        <f ca="1">OFFSET('1课程考核方式及成绩组成'!$AD$10,(ROW(H198)-5)/7,MOD((ROW(H198)-5),7))</f>
        <v>0</v>
      </c>
      <c r="I198" s="19">
        <f ca="1">OFFSET('1课程考核方式及成绩组成'!$AL$10,(ROW(I198)-5)/7,MOD((ROW(I198)-5),7))</f>
        <v>0</v>
      </c>
      <c r="J198" s="25">
        <f ca="1">IF('0信息维护'!$I$109=0,0,E198/('0信息维护'!$I$109)*'0信息维护'!$E$39*'0信息维护'!$S$29)+IF('0信息维护'!$I$110=0,0,F198/('0信息维护'!$I$110)*'0信息维护'!$E$39*'0信息维护'!$T$29)+IF('0信息维护'!$I$111=0,0,G198/('0信息维护'!$I$111)*'0信息维护'!$E$39*'0信息维护'!$U$29)+IF('0信息维护'!$I$112=0,0,H198/('0信息维护'!$I$112)*'0信息维护'!$E$39*'0信息维护'!$V$29)+IF('0信息维护'!$I$113=0,0,I198/'0信息维护'!$I$113*'0信息维护'!$I$39)</f>
        <v>0</v>
      </c>
      <c r="K198" s="27"/>
    </row>
    <row r="199" spans="1:11">
      <c r="A199" s="20"/>
      <c r="B199" s="20"/>
      <c r="C199" s="20"/>
      <c r="D199" s="18" t="str">
        <f>'0信息维护'!A$30</f>
        <v>课程目标6</v>
      </c>
      <c r="E199" s="19">
        <f ca="1">OFFSET('1课程考核方式及成绩组成'!$F$10,(ROW(E199)-5)/7,MOD((ROW(E199)-5),7))</f>
        <v>0</v>
      </c>
      <c r="F199" s="19">
        <f ca="1">OFFSET('1课程考核方式及成绩组成'!$N$10,(ROW(F199)-5)/7,MOD((ROW(F199)-5),7))</f>
        <v>0</v>
      </c>
      <c r="G199" s="19">
        <f ca="1">OFFSET('1课程考核方式及成绩组成'!$V$10,(ROW(G199)-5)/7,MOD((ROW(G199)-5),7))</f>
        <v>0</v>
      </c>
      <c r="H199" s="19">
        <f ca="1">OFFSET('1课程考核方式及成绩组成'!$AD$10,(ROW(H199)-5)/7,MOD((ROW(H199)-5),7))</f>
        <v>0</v>
      </c>
      <c r="I199" s="19">
        <f ca="1">OFFSET('1课程考核方式及成绩组成'!$AL$10,(ROW(I199)-5)/7,MOD((ROW(I199)-5),7))</f>
        <v>0</v>
      </c>
      <c r="J199" s="25">
        <f ca="1">IF('0信息维护'!$I$115=0,0,E199/('0信息维护'!$I$115)*'0信息维护'!$E$40*'0信息维护'!$S$30)+IF('0信息维护'!$I$116=0,0,F199/('0信息维护'!$I$116)*'0信息维护'!$E$40*'0信息维护'!$T$30)+IF('0信息维护'!$I$117=0,0,G199/('0信息维护'!$I$117)*'0信息维护'!$E$40*'0信息维护'!$U$30)+IF('0信息维护'!$I$118=0,0,H199/('0信息维护'!$I$118)*'0信息维护'!$E$40*'0信息维护'!$V$30)+IF('0信息维护'!$I$119=0,0,I199/'0信息维护'!$I$119*'0信息维护'!$I$40)</f>
        <v>0</v>
      </c>
      <c r="K199" s="27"/>
    </row>
    <row r="200" spans="1:11">
      <c r="A200" s="21"/>
      <c r="B200" s="21"/>
      <c r="C200" s="21"/>
      <c r="D200" s="18" t="str">
        <f>'0信息维护'!A$31</f>
        <v>课程目标7</v>
      </c>
      <c r="E200" s="19">
        <f ca="1">OFFSET('1课程考核方式及成绩组成'!$F$10,(ROW(E200)-5)/7,MOD((ROW(E200)-5),7))</f>
        <v>0</v>
      </c>
      <c r="F200" s="19">
        <f ca="1">OFFSET('1课程考核方式及成绩组成'!$N$10,(ROW(F200)-5)/7,MOD((ROW(F200)-5),7))</f>
        <v>0</v>
      </c>
      <c r="G200" s="19">
        <f ca="1">OFFSET('1课程考核方式及成绩组成'!$V$10,(ROW(G200)-5)/7,MOD((ROW(G200)-5),7))</f>
        <v>0</v>
      </c>
      <c r="H200" s="19">
        <f ca="1">OFFSET('1课程考核方式及成绩组成'!$AD$10,(ROW(H200)-5)/7,MOD((ROW(H200)-5),7))</f>
        <v>0</v>
      </c>
      <c r="I200" s="19">
        <f ca="1">OFFSET('1课程考核方式及成绩组成'!$AL$10,(ROW(I200)-5)/7,MOD((ROW(I200)-5),7))</f>
        <v>0</v>
      </c>
      <c r="J200" s="25">
        <f ca="1">IF('0信息维护'!$I$121=0,0,E200/('0信息维护'!$I$121)*'0信息维护'!$E$41*'0信息维护'!$S$31)+IF('0信息维护'!$I$122=0,0,F200/('0信息维护'!$I$122)*'0信息维护'!$E$41*'0信息维护'!$T$31)+IF('0信息维护'!$I$123=0,0,G200/('0信息维护'!$I$123)*'0信息维护'!$E$41*'0信息维护'!$U$31)+IF('0信息维护'!$I$124=0,0,H200/('0信息维护'!$I$124)*'0信息维护'!$E$41*'0信息维护'!$T$31)+IF('0信息维护'!$I$125=0,0,I200/'0信息维护'!$I$125*'0信息维护'!$I$41)</f>
        <v>0</v>
      </c>
      <c r="K200" s="30"/>
    </row>
    <row r="201" spans="1:11">
      <c r="A201" s="17">
        <v>29</v>
      </c>
      <c r="B201" s="17" t="str">
        <f ca="1">OFFSET('1课程考核方式及成绩组成'!$D$10,(ROW(B201)-5)/7,)</f>
        <v>190301025</v>
      </c>
      <c r="C201" s="17" t="str">
        <f ca="1">OFFSET('1课程考核方式及成绩组成'!$E$10,(ROW(C201)-5)/7,)</f>
        <v>唐伟峰</v>
      </c>
      <c r="D201" s="18" t="str">
        <f>'0信息维护'!A$25</f>
        <v>课程目标1</v>
      </c>
      <c r="E201" s="19">
        <f ca="1">OFFSET('1课程考核方式及成绩组成'!$F$10,(ROW(E201)-5)/7,MOD((ROW(E201)-5),7))</f>
        <v>30</v>
      </c>
      <c r="F201" s="19">
        <f ca="1">OFFSET('1课程考核方式及成绩组成'!$N$10,(ROW(F201)-5)/7,MOD((ROW(F201)-5),7))</f>
        <v>0</v>
      </c>
      <c r="G201" s="19">
        <f ca="1">OFFSET('1课程考核方式及成绩组成'!$V$10,(ROW(G201)-5)/7,MOD((ROW(G201)-5),7))</f>
        <v>0</v>
      </c>
      <c r="H201" s="19">
        <f ca="1">OFFSET('1课程考核方式及成绩组成'!$AD$10,(ROW(H201)-5)/7,MOD((ROW(H201)-5),7))</f>
        <v>0</v>
      </c>
      <c r="I201" s="19">
        <f ca="1">OFFSET('1课程考核方式及成绩组成'!$AL$10,(ROW(I201)-5)/7,MOD((ROW(I201)-5),7))</f>
        <v>24</v>
      </c>
      <c r="J201" s="25">
        <f ca="1">IF('0信息维护'!$I$85=0,0,E201/('0信息维护'!$I$85)*'0信息维护'!$E$35*'0信息维护'!$S$25)+IF('0信息维护'!$I$86=0,0,F201/('0信息维护'!$I$86)*'0信息维护'!$E$35*'0信息维护'!$T$25)+IF('0信息维护'!$I$87=0,0,G201/('0信息维护'!$I$87)*'0信息维护'!$E$35*'0信息维护'!$U$25)+IF('0信息维护'!$I$88=0,0,H201/('0信息维护'!$I$88)*'0信息维护'!$E$35*'0信息维护'!$V$25)+IF('0信息维护'!$I$89=0,0,I201/'0信息维护'!$I$89*'0信息维护'!$I$35)</f>
        <v>0.708333333333333</v>
      </c>
      <c r="K201" s="26">
        <f ca="1">J201*'0信息维护'!$D$132+J202*'0信息维护'!$D$133+J203*'0信息维护'!$D$134+J204*'0信息维护'!$D$135+J205*'0信息维护'!$D$136+J206*'0信息维护'!$D$137+J207*'0信息维护'!$D$138</f>
        <v>0.46625</v>
      </c>
    </row>
    <row r="202" spans="1:14">
      <c r="A202" s="20"/>
      <c r="B202" s="20"/>
      <c r="C202" s="20"/>
      <c r="D202" s="18" t="str">
        <f>'0信息维护'!A$26</f>
        <v>课程目标2</v>
      </c>
      <c r="E202" s="19">
        <f ca="1">OFFSET('1课程考核方式及成绩组成'!$F$10,(ROW(E202)-5)/7,MOD((ROW(E202)-5),7))</f>
        <v>60</v>
      </c>
      <c r="F202" s="19">
        <f ca="1">OFFSET('1课程考核方式及成绩组成'!$N$10,(ROW(F202)-5)/7,MOD((ROW(F202)-5),7))</f>
        <v>0</v>
      </c>
      <c r="G202" s="19">
        <f ca="1">OFFSET('1课程考核方式及成绩组成'!$V$10,(ROW(G202)-5)/7,MOD((ROW(G202)-5),7))</f>
        <v>0</v>
      </c>
      <c r="H202" s="19">
        <f ca="1">OFFSET('1课程考核方式及成绩组成'!$AD$10,(ROW(H202)-5)/7,MOD((ROW(H202)-5),7))</f>
        <v>0</v>
      </c>
      <c r="I202" s="19">
        <f ca="1">OFFSET('1课程考核方式及成绩组成'!$AL$10,(ROW(I202)-5)/7,MOD((ROW(I202)-5),7))</f>
        <v>17</v>
      </c>
      <c r="J202" s="25">
        <f ca="1">IF('0信息维护'!$I$91=0,0,E202/('0信息维护'!$I$91)*'0信息维护'!$S$26*'0信息维护'!$E$36)+IF('0信息维护'!$I$92=0,0,F202/('0信息维护'!$I$92)*'0信息维护'!$T$26*'0信息维护'!$E$36)+IF('0信息维护'!$I$93=0,0,G202/('0信息维护'!$I$93)*'0信息维护'!$U$26*'0信息维护'!$E$36)+IF('0信息维护'!$I$94=0,0,H202/('0信息维护'!$I$94)*'0信息维护'!$V$26*'0信息维护'!$E$36)+IF('0信息维护'!$I$95=0,0,I202/'0信息维护'!$I$95*'0信息维护'!$I$36)</f>
        <v>0.783333333333333</v>
      </c>
      <c r="K202" s="27"/>
      <c r="N202" s="29"/>
    </row>
    <row r="203" spans="1:11">
      <c r="A203" s="20"/>
      <c r="B203" s="20"/>
      <c r="C203" s="20"/>
      <c r="D203" s="18" t="str">
        <f>'0信息维护'!A$27</f>
        <v>课程目标3</v>
      </c>
      <c r="E203" s="19">
        <f ca="1">OFFSET('1课程考核方式及成绩组成'!$F$10,(ROW(E203)-5)/7,MOD((ROW(E203)-5),7))</f>
        <v>0</v>
      </c>
      <c r="F203" s="19">
        <f ca="1">OFFSET('1课程考核方式及成绩组成'!$N$10,(ROW(F203)-5)/7,MOD((ROW(F203)-5),7))</f>
        <v>0</v>
      </c>
      <c r="G203" s="19">
        <f ca="1">OFFSET('1课程考核方式及成绩组成'!$V$10,(ROW(G203)-5)/7,MOD((ROW(G203)-5),7))</f>
        <v>0</v>
      </c>
      <c r="H203" s="19">
        <f ca="1">OFFSET('1课程考核方式及成绩组成'!$AD$10,(ROW(H203)-5)/7,MOD((ROW(H203)-5),7))</f>
        <v>0</v>
      </c>
      <c r="I203" s="19">
        <f ca="1">OFFSET('1课程考核方式及成绩组成'!$AL$10,(ROW(I203)-5)/7,MOD((ROW(I203)-5),7))</f>
        <v>17</v>
      </c>
      <c r="J203" s="25">
        <f ca="1">IF('0信息维护'!$I$97=0,0,E203/('0信息维护'!$I$97)*'0信息维护'!$E$37*'0信息维护'!$S$27)+IF('0信息维护'!$I$98=0,0,F203/('0信息维护'!$I$98)*'0信息维护'!$E$37*'0信息维护'!$T$27)+IF('0信息维护'!$I$99=0,0,G203/('0信息维护'!$I$99)*'0信息维护'!$E$37*'0信息维护'!$U$27)+IF('0信息维护'!$I$100=0,0,H203/('0信息维护'!$I$100)*'0信息维护'!$E$37*'0信息维护'!$V$27)+IF('0信息维护'!$I$101=0,0,I203/'0信息维护'!$I$101*'0信息维护'!$I$37)</f>
        <v>0.5</v>
      </c>
      <c r="K203" s="27"/>
    </row>
    <row r="204" spans="1:11">
      <c r="A204" s="20"/>
      <c r="B204" s="20"/>
      <c r="C204" s="20"/>
      <c r="D204" s="18" t="str">
        <f>'0信息维护'!A$28</f>
        <v>课程目标4</v>
      </c>
      <c r="E204" s="19">
        <f ca="1">OFFSET('1课程考核方式及成绩组成'!$F$10,(ROW(E204)-5)/7,MOD((ROW(E204)-5),7))</f>
        <v>0</v>
      </c>
      <c r="F204" s="19">
        <f ca="1">OFFSET('1课程考核方式及成绩组成'!$N$10,(ROW(F204)-5)/7,MOD((ROW(F204)-5),7))</f>
        <v>0</v>
      </c>
      <c r="G204" s="19">
        <f ca="1">OFFSET('1课程考核方式及成绩组成'!$V$10,(ROW(G204)-5)/7,MOD((ROW(G204)-5),7))</f>
        <v>0</v>
      </c>
      <c r="H204" s="19">
        <f ca="1">OFFSET('1课程考核方式及成绩组成'!$AD$10,(ROW(H204)-5)/7,MOD((ROW(H204)-5),7))</f>
        <v>0</v>
      </c>
      <c r="I204" s="19">
        <f ca="1">OFFSET('1课程考核方式及成绩组成'!$AL$10,(ROW(I204)-5)/7,MOD((ROW(I204)-5),7))</f>
        <v>0</v>
      </c>
      <c r="J204" s="25">
        <f ca="1">IF('0信息维护'!$I$103=0,0,E204/('0信息维护'!$I$103)*'0信息维护'!$E$38*'0信息维护'!$S$28)+IF('0信息维护'!$I$104=0,0,F204/('0信息维护'!$I$104)*'0信息维护'!$E$38*'0信息维护'!$T$28)+IF('0信息维护'!$I$105=0,0,G204/('0信息维护'!$I$105)*'0信息维护'!$E$38*'0信息维护'!$U$28)+IF('0信息维护'!$I$106=0,0,H204/('0信息维护'!$I$106)*'0信息维护'!$E$38*'0信息维护'!$V$28)+IF('0信息维护'!$I$107=0,0,I204/'0信息维护'!$I$107*'0信息维护'!$I$38)</f>
        <v>0</v>
      </c>
      <c r="K204" s="27"/>
    </row>
    <row r="205" spans="1:11">
      <c r="A205" s="20"/>
      <c r="B205" s="20"/>
      <c r="C205" s="20"/>
      <c r="D205" s="18" t="str">
        <f>'0信息维护'!A$29</f>
        <v>课程目标5</v>
      </c>
      <c r="E205" s="19">
        <f ca="1">OFFSET('1课程考核方式及成绩组成'!$F$10,(ROW(E205)-5)/7,MOD((ROW(E205)-5),7))</f>
        <v>0</v>
      </c>
      <c r="F205" s="19">
        <f ca="1">OFFSET('1课程考核方式及成绩组成'!$N$10,(ROW(F205)-5)/7,MOD((ROW(F205)-5),7))</f>
        <v>0</v>
      </c>
      <c r="G205" s="19">
        <f ca="1">OFFSET('1课程考核方式及成绩组成'!$V$10,(ROW(G205)-5)/7,MOD((ROW(G205)-5),7))</f>
        <v>0</v>
      </c>
      <c r="H205" s="19">
        <f ca="1">OFFSET('1课程考核方式及成绩组成'!$AD$10,(ROW(H205)-5)/7,MOD((ROW(H205)-5),7))</f>
        <v>0</v>
      </c>
      <c r="I205" s="19">
        <f ca="1">OFFSET('1课程考核方式及成绩组成'!$AL$10,(ROW(I205)-5)/7,MOD((ROW(I205)-5),7))</f>
        <v>0</v>
      </c>
      <c r="J205" s="25">
        <f ca="1">IF('0信息维护'!$I$109=0,0,E205/('0信息维护'!$I$109)*'0信息维护'!$E$39*'0信息维护'!$S$29)+IF('0信息维护'!$I$110=0,0,F205/('0信息维护'!$I$110)*'0信息维护'!$E$39*'0信息维护'!$T$29)+IF('0信息维护'!$I$111=0,0,G205/('0信息维护'!$I$111)*'0信息维护'!$E$39*'0信息维护'!$U$29)+IF('0信息维护'!$I$112=0,0,H205/('0信息维护'!$I$112)*'0信息维护'!$E$39*'0信息维护'!$V$29)+IF('0信息维护'!$I$113=0,0,I205/'0信息维护'!$I$113*'0信息维护'!$I$39)</f>
        <v>0</v>
      </c>
      <c r="K205" s="27"/>
    </row>
    <row r="206" spans="1:11">
      <c r="A206" s="20"/>
      <c r="B206" s="20"/>
      <c r="C206" s="20"/>
      <c r="D206" s="18" t="str">
        <f>'0信息维护'!A$30</f>
        <v>课程目标6</v>
      </c>
      <c r="E206" s="19">
        <f ca="1">OFFSET('1课程考核方式及成绩组成'!$F$10,(ROW(E206)-5)/7,MOD((ROW(E206)-5),7))</f>
        <v>0</v>
      </c>
      <c r="F206" s="19">
        <f ca="1">OFFSET('1课程考核方式及成绩组成'!$N$10,(ROW(F206)-5)/7,MOD((ROW(F206)-5),7))</f>
        <v>0</v>
      </c>
      <c r="G206" s="19">
        <f ca="1">OFFSET('1课程考核方式及成绩组成'!$V$10,(ROW(G206)-5)/7,MOD((ROW(G206)-5),7))</f>
        <v>0</v>
      </c>
      <c r="H206" s="19">
        <f ca="1">OFFSET('1课程考核方式及成绩组成'!$AD$10,(ROW(H206)-5)/7,MOD((ROW(H206)-5),7))</f>
        <v>0</v>
      </c>
      <c r="I206" s="19">
        <f ca="1">OFFSET('1课程考核方式及成绩组成'!$AL$10,(ROW(I206)-5)/7,MOD((ROW(I206)-5),7))</f>
        <v>0</v>
      </c>
      <c r="J206" s="25">
        <f ca="1">IF('0信息维护'!$I$115=0,0,E206/('0信息维护'!$I$115)*'0信息维护'!$E$40*'0信息维护'!$S$30)+IF('0信息维护'!$I$116=0,0,F206/('0信息维护'!$I$116)*'0信息维护'!$E$40*'0信息维护'!$T$30)+IF('0信息维护'!$I$117=0,0,G206/('0信息维护'!$I$117)*'0信息维护'!$E$40*'0信息维护'!$U$30)+IF('0信息维护'!$I$118=0,0,H206/('0信息维护'!$I$118)*'0信息维护'!$E$40*'0信息维护'!$V$30)+IF('0信息维护'!$I$119=0,0,I206/'0信息维护'!$I$119*'0信息维护'!$I$40)</f>
        <v>0</v>
      </c>
      <c r="K206" s="27"/>
    </row>
    <row r="207" spans="1:11">
      <c r="A207" s="21"/>
      <c r="B207" s="21"/>
      <c r="C207" s="21"/>
      <c r="D207" s="18" t="str">
        <f>'0信息维护'!A$31</f>
        <v>课程目标7</v>
      </c>
      <c r="E207" s="19">
        <f ca="1">OFFSET('1课程考核方式及成绩组成'!$F$10,(ROW(E207)-5)/7,MOD((ROW(E207)-5),7))</f>
        <v>0</v>
      </c>
      <c r="F207" s="19">
        <f ca="1">OFFSET('1课程考核方式及成绩组成'!$N$10,(ROW(F207)-5)/7,MOD((ROW(F207)-5),7))</f>
        <v>0</v>
      </c>
      <c r="G207" s="19">
        <f ca="1">OFFSET('1课程考核方式及成绩组成'!$V$10,(ROW(G207)-5)/7,MOD((ROW(G207)-5),7))</f>
        <v>0</v>
      </c>
      <c r="H207" s="19">
        <f ca="1">OFFSET('1课程考核方式及成绩组成'!$AD$10,(ROW(H207)-5)/7,MOD((ROW(H207)-5),7))</f>
        <v>0</v>
      </c>
      <c r="I207" s="19">
        <f ca="1">OFFSET('1课程考核方式及成绩组成'!$AL$10,(ROW(I207)-5)/7,MOD((ROW(I207)-5),7))</f>
        <v>0</v>
      </c>
      <c r="J207" s="25">
        <f ca="1">IF('0信息维护'!$I$121=0,0,E207/('0信息维护'!$I$121)*'0信息维护'!$E$41*'0信息维护'!$S$31)+IF('0信息维护'!$I$122=0,0,F207/('0信息维护'!$I$122)*'0信息维护'!$E$41*'0信息维护'!$T$31)+IF('0信息维护'!$I$123=0,0,G207/('0信息维护'!$I$123)*'0信息维护'!$E$41*'0信息维护'!$U$31)+IF('0信息维护'!$I$124=0,0,H207/('0信息维护'!$I$124)*'0信息维护'!$E$41*'0信息维护'!$T$31)+IF('0信息维护'!$I$125=0,0,I207/'0信息维护'!$I$125*'0信息维护'!$I$41)</f>
        <v>0</v>
      </c>
      <c r="K207" s="30"/>
    </row>
    <row r="208" spans="1:11">
      <c r="A208" s="17">
        <v>30</v>
      </c>
      <c r="B208" s="17" t="str">
        <f ca="1">OFFSET('1课程考核方式及成绩组成'!$D$10,(ROW(B208)-5)/7,)</f>
        <v>190301026</v>
      </c>
      <c r="C208" s="17" t="str">
        <f ca="1">OFFSET('1课程考核方式及成绩组成'!$E$10,(ROW(C208)-5)/7,)</f>
        <v>李宗益</v>
      </c>
      <c r="D208" s="18" t="str">
        <f>'0信息维护'!A$25</f>
        <v>课程目标1</v>
      </c>
      <c r="E208" s="19">
        <f ca="1">OFFSET('1课程考核方式及成绩组成'!$F$10,(ROW(E208)-5)/7,MOD((ROW(E208)-5),7))</f>
        <v>40</v>
      </c>
      <c r="F208" s="19">
        <f ca="1">OFFSET('1课程考核方式及成绩组成'!$N$10,(ROW(F208)-5)/7,MOD((ROW(F208)-5),7))</f>
        <v>0</v>
      </c>
      <c r="G208" s="19">
        <f ca="1">OFFSET('1课程考核方式及成绩组成'!$V$10,(ROW(G208)-5)/7,MOD((ROW(G208)-5),7))</f>
        <v>0</v>
      </c>
      <c r="H208" s="19">
        <f ca="1">OFFSET('1课程考核方式及成绩组成'!$AD$10,(ROW(H208)-5)/7,MOD((ROW(H208)-5),7))</f>
        <v>0</v>
      </c>
      <c r="I208" s="19">
        <f ca="1">OFFSET('1课程考核方式及成绩组成'!$AL$10,(ROW(I208)-5)/7,MOD((ROW(I208)-5),7))</f>
        <v>28</v>
      </c>
      <c r="J208" s="25">
        <f ca="1">IF('0信息维护'!$I$85=0,0,E208/('0信息维护'!$I$85)*'0信息维护'!$E$35*'0信息维护'!$S$25)+IF('0信息维护'!$I$86=0,0,F208/('0信息维护'!$I$86)*'0信息维护'!$E$35*'0信息维护'!$T$25)+IF('0信息维护'!$I$87=0,0,G208/('0信息维护'!$I$87)*'0信息维护'!$E$35*'0信息维护'!$U$25)+IF('0信息维护'!$I$88=0,0,H208/('0信息维护'!$I$88)*'0信息维护'!$E$35*'0信息维护'!$V$25)+IF('0信息维护'!$I$89=0,0,I208/'0信息维护'!$I$89*'0信息维护'!$I$35)</f>
        <v>0.888888888888889</v>
      </c>
      <c r="K208" s="26">
        <f ca="1">J208*'0信息维护'!$D$132+J209*'0信息维护'!$D$133+J210*'0信息维护'!$D$134+J211*'0信息维护'!$D$135+J212*'0信息维护'!$D$136+J213*'0信息维护'!$D$137+J214*'0信息维护'!$D$138</f>
        <v>0.784098039215686</v>
      </c>
    </row>
    <row r="209" spans="1:14">
      <c r="A209" s="20"/>
      <c r="B209" s="20"/>
      <c r="C209" s="20"/>
      <c r="D209" s="18" t="str">
        <f>'0信息维护'!A$26</f>
        <v>课程目标2</v>
      </c>
      <c r="E209" s="19">
        <f ca="1">OFFSET('1课程考核方式及成绩组成'!$F$10,(ROW(E209)-5)/7,MOD((ROW(E209)-5),7))</f>
        <v>60</v>
      </c>
      <c r="F209" s="19">
        <f ca="1">OFFSET('1课程考核方式及成绩组成'!$N$10,(ROW(F209)-5)/7,MOD((ROW(F209)-5),7))</f>
        <v>0</v>
      </c>
      <c r="G209" s="19">
        <f ca="1">OFFSET('1课程考核方式及成绩组成'!$V$10,(ROW(G209)-5)/7,MOD((ROW(G209)-5),7))</f>
        <v>0</v>
      </c>
      <c r="H209" s="19">
        <f ca="1">OFFSET('1课程考核方式及成绩组成'!$AD$10,(ROW(H209)-5)/7,MOD((ROW(H209)-5),7))</f>
        <v>0</v>
      </c>
      <c r="I209" s="19">
        <f ca="1">OFFSET('1课程考核方式及成绩组成'!$AL$10,(ROW(I209)-5)/7,MOD((ROW(I209)-5),7))</f>
        <v>18</v>
      </c>
      <c r="J209" s="25">
        <f ca="1">IF('0信息维护'!$I$91=0,0,E209/('0信息维护'!$I$91)*'0信息维护'!$S$26*'0信息维护'!$E$36)+IF('0信息维护'!$I$92=0,0,F209/('0信息维护'!$I$92)*'0信息维护'!$T$26*'0信息维护'!$E$36)+IF('0信息维护'!$I$93=0,0,G209/('0信息维护'!$I$93)*'0信息维护'!$U$26*'0信息维护'!$E$36)+IF('0信息维护'!$I$94=0,0,H209/('0信息维护'!$I$94)*'0信息维护'!$V$26*'0信息维护'!$E$36)+IF('0信息维护'!$I$95=0,0,I209/'0信息维护'!$I$95*'0信息维护'!$I$36)</f>
        <v>0.8</v>
      </c>
      <c r="K209" s="27"/>
      <c r="N209" s="29"/>
    </row>
    <row r="210" spans="1:11">
      <c r="A210" s="20"/>
      <c r="B210" s="20"/>
      <c r="C210" s="20"/>
      <c r="D210" s="18" t="str">
        <f>'0信息维护'!A$27</f>
        <v>课程目标3</v>
      </c>
      <c r="E210" s="19">
        <f ca="1">OFFSET('1课程考核方式及成绩组成'!$F$10,(ROW(E210)-5)/7,MOD((ROW(E210)-5),7))</f>
        <v>0</v>
      </c>
      <c r="F210" s="19">
        <f ca="1">OFFSET('1课程考核方式及成绩组成'!$N$10,(ROW(F210)-5)/7,MOD((ROW(F210)-5),7))</f>
        <v>0</v>
      </c>
      <c r="G210" s="19">
        <f ca="1">OFFSET('1课程考核方式及成绩组成'!$V$10,(ROW(G210)-5)/7,MOD((ROW(G210)-5),7))</f>
        <v>0</v>
      </c>
      <c r="H210" s="19">
        <f ca="1">OFFSET('1课程考核方式及成绩组成'!$AD$10,(ROW(H210)-5)/7,MOD((ROW(H210)-5),7))</f>
        <v>0</v>
      </c>
      <c r="I210" s="19">
        <f ca="1">OFFSET('1课程考核方式及成绩组成'!$AL$10,(ROW(I210)-5)/7,MOD((ROW(I210)-5),7))</f>
        <v>22</v>
      </c>
      <c r="J210" s="25">
        <f ca="1">IF('0信息维护'!$I$97=0,0,E210/('0信息维护'!$I$97)*'0信息维护'!$E$37*'0信息维护'!$S$27)+IF('0信息维护'!$I$98=0,0,F210/('0信息维护'!$I$98)*'0信息维护'!$E$37*'0信息维护'!$T$27)+IF('0信息维护'!$I$99=0,0,G210/('0信息维护'!$I$99)*'0信息维护'!$E$37*'0信息维护'!$U$27)+IF('0信息维护'!$I$100=0,0,H210/('0信息维护'!$I$100)*'0信息维护'!$E$37*'0信息维护'!$V$27)+IF('0信息维护'!$I$101=0,0,I210/'0信息维护'!$I$101*'0信息维护'!$I$37)</f>
        <v>0.647058823529412</v>
      </c>
      <c r="K210" s="27"/>
    </row>
    <row r="211" spans="1:11">
      <c r="A211" s="20"/>
      <c r="B211" s="20"/>
      <c r="C211" s="20"/>
      <c r="D211" s="18" t="str">
        <f>'0信息维护'!A$28</f>
        <v>课程目标4</v>
      </c>
      <c r="E211" s="19">
        <f ca="1">OFFSET('1课程考核方式及成绩组成'!$F$10,(ROW(E211)-5)/7,MOD((ROW(E211)-5),7))</f>
        <v>0</v>
      </c>
      <c r="F211" s="19">
        <f ca="1">OFFSET('1课程考核方式及成绩组成'!$N$10,(ROW(F211)-5)/7,MOD((ROW(F211)-5),7))</f>
        <v>83</v>
      </c>
      <c r="G211" s="19">
        <f ca="1">OFFSET('1课程考核方式及成绩组成'!$V$10,(ROW(G211)-5)/7,MOD((ROW(G211)-5),7))</f>
        <v>0</v>
      </c>
      <c r="H211" s="19">
        <f ca="1">OFFSET('1课程考核方式及成绩组成'!$AD$10,(ROW(H211)-5)/7,MOD((ROW(H211)-5),7))</f>
        <v>0</v>
      </c>
      <c r="I211" s="19">
        <f ca="1">OFFSET('1课程考核方式及成绩组成'!$AL$10,(ROW(I211)-5)/7,MOD((ROW(I211)-5),7))</f>
        <v>0</v>
      </c>
      <c r="J211" s="25">
        <f ca="1">IF('0信息维护'!$I$103=0,0,E211/('0信息维护'!$I$103)*'0信息维护'!$E$38*'0信息维护'!$S$28)+IF('0信息维护'!$I$104=0,0,F211/('0信息维护'!$I$104)*'0信息维护'!$E$38*'0信息维护'!$T$28)+IF('0信息维护'!$I$105=0,0,G211/('0信息维护'!$I$105)*'0信息维护'!$E$38*'0信息维护'!$U$28)+IF('0信息维护'!$I$106=0,0,H211/('0信息维护'!$I$106)*'0信息维护'!$E$38*'0信息维护'!$V$28)+IF('0信息维护'!$I$107=0,0,I211/'0信息维护'!$I$107*'0信息维护'!$I$38)</f>
        <v>0.83</v>
      </c>
      <c r="K211" s="27"/>
    </row>
    <row r="212" spans="1:11">
      <c r="A212" s="20"/>
      <c r="B212" s="20"/>
      <c r="C212" s="20"/>
      <c r="D212" s="18" t="str">
        <f>'0信息维护'!A$29</f>
        <v>课程目标5</v>
      </c>
      <c r="E212" s="19">
        <f ca="1">OFFSET('1课程考核方式及成绩组成'!$F$10,(ROW(E212)-5)/7,MOD((ROW(E212)-5),7))</f>
        <v>0</v>
      </c>
      <c r="F212" s="19">
        <f ca="1">OFFSET('1课程考核方式及成绩组成'!$N$10,(ROW(F212)-5)/7,MOD((ROW(F212)-5),7))</f>
        <v>0</v>
      </c>
      <c r="G212" s="19">
        <f ca="1">OFFSET('1课程考核方式及成绩组成'!$V$10,(ROW(G212)-5)/7,MOD((ROW(G212)-5),7))</f>
        <v>0</v>
      </c>
      <c r="H212" s="19">
        <f ca="1">OFFSET('1课程考核方式及成绩组成'!$AD$10,(ROW(H212)-5)/7,MOD((ROW(H212)-5),7))</f>
        <v>0</v>
      </c>
      <c r="I212" s="19">
        <f ca="1">OFFSET('1课程考核方式及成绩组成'!$AL$10,(ROW(I212)-5)/7,MOD((ROW(I212)-5),7))</f>
        <v>0</v>
      </c>
      <c r="J212" s="25">
        <f ca="1">IF('0信息维护'!$I$109=0,0,E212/('0信息维护'!$I$109)*'0信息维护'!$E$39*'0信息维护'!$S$29)+IF('0信息维护'!$I$110=0,0,F212/('0信息维护'!$I$110)*'0信息维护'!$E$39*'0信息维护'!$T$29)+IF('0信息维护'!$I$111=0,0,G212/('0信息维护'!$I$111)*'0信息维护'!$E$39*'0信息维护'!$U$29)+IF('0信息维护'!$I$112=0,0,H212/('0信息维护'!$I$112)*'0信息维护'!$E$39*'0信息维护'!$V$29)+IF('0信息维护'!$I$113=0,0,I212/'0信息维护'!$I$113*'0信息维护'!$I$39)</f>
        <v>0</v>
      </c>
      <c r="K212" s="27"/>
    </row>
    <row r="213" spans="1:11">
      <c r="A213" s="20"/>
      <c r="B213" s="20"/>
      <c r="C213" s="20"/>
      <c r="D213" s="18" t="str">
        <f>'0信息维护'!A$30</f>
        <v>课程目标6</v>
      </c>
      <c r="E213" s="19">
        <f ca="1">OFFSET('1课程考核方式及成绩组成'!$F$10,(ROW(E213)-5)/7,MOD((ROW(E213)-5),7))</f>
        <v>0</v>
      </c>
      <c r="F213" s="19">
        <f ca="1">OFFSET('1课程考核方式及成绩组成'!$N$10,(ROW(F213)-5)/7,MOD((ROW(F213)-5),7))</f>
        <v>0</v>
      </c>
      <c r="G213" s="19">
        <f ca="1">OFFSET('1课程考核方式及成绩组成'!$V$10,(ROW(G213)-5)/7,MOD((ROW(G213)-5),7))</f>
        <v>0</v>
      </c>
      <c r="H213" s="19">
        <f ca="1">OFFSET('1课程考核方式及成绩组成'!$AD$10,(ROW(H213)-5)/7,MOD((ROW(H213)-5),7))</f>
        <v>0</v>
      </c>
      <c r="I213" s="19">
        <f ca="1">OFFSET('1课程考核方式及成绩组成'!$AL$10,(ROW(I213)-5)/7,MOD((ROW(I213)-5),7))</f>
        <v>0</v>
      </c>
      <c r="J213" s="25">
        <f ca="1">IF('0信息维护'!$I$115=0,0,E213/('0信息维护'!$I$115)*'0信息维护'!$E$40*'0信息维护'!$S$30)+IF('0信息维护'!$I$116=0,0,F213/('0信息维护'!$I$116)*'0信息维护'!$E$40*'0信息维护'!$T$30)+IF('0信息维护'!$I$117=0,0,G213/('0信息维护'!$I$117)*'0信息维护'!$E$40*'0信息维护'!$U$30)+IF('0信息维护'!$I$118=0,0,H213/('0信息维护'!$I$118)*'0信息维护'!$E$40*'0信息维护'!$V$30)+IF('0信息维护'!$I$119=0,0,I213/'0信息维护'!$I$119*'0信息维护'!$I$40)</f>
        <v>0</v>
      </c>
      <c r="K213" s="27"/>
    </row>
    <row r="214" spans="1:11">
      <c r="A214" s="21"/>
      <c r="B214" s="21"/>
      <c r="C214" s="21"/>
      <c r="D214" s="18" t="str">
        <f>'0信息维护'!A$31</f>
        <v>课程目标7</v>
      </c>
      <c r="E214" s="19">
        <f ca="1">OFFSET('1课程考核方式及成绩组成'!$F$10,(ROW(E214)-5)/7,MOD((ROW(E214)-5),7))</f>
        <v>0</v>
      </c>
      <c r="F214" s="19">
        <f ca="1">OFFSET('1课程考核方式及成绩组成'!$N$10,(ROW(F214)-5)/7,MOD((ROW(F214)-5),7))</f>
        <v>0</v>
      </c>
      <c r="G214" s="19">
        <f ca="1">OFFSET('1课程考核方式及成绩组成'!$V$10,(ROW(G214)-5)/7,MOD((ROW(G214)-5),7))</f>
        <v>0</v>
      </c>
      <c r="H214" s="19">
        <f ca="1">OFFSET('1课程考核方式及成绩组成'!$AD$10,(ROW(H214)-5)/7,MOD((ROW(H214)-5),7))</f>
        <v>0</v>
      </c>
      <c r="I214" s="19">
        <f ca="1">OFFSET('1课程考核方式及成绩组成'!$AL$10,(ROW(I214)-5)/7,MOD((ROW(I214)-5),7))</f>
        <v>0</v>
      </c>
      <c r="J214" s="25">
        <f ca="1">IF('0信息维护'!$I$121=0,0,E214/('0信息维护'!$I$121)*'0信息维护'!$E$41*'0信息维护'!$S$31)+IF('0信息维护'!$I$122=0,0,F214/('0信息维护'!$I$122)*'0信息维护'!$E$41*'0信息维护'!$T$31)+IF('0信息维护'!$I$123=0,0,G214/('0信息维护'!$I$123)*'0信息维护'!$E$41*'0信息维护'!$U$31)+IF('0信息维护'!$I$124=0,0,H214/('0信息维护'!$I$124)*'0信息维护'!$E$41*'0信息维护'!$T$31)+IF('0信息维护'!$I$125=0,0,I214/'0信息维护'!$I$125*'0信息维护'!$I$41)</f>
        <v>0</v>
      </c>
      <c r="K214" s="30"/>
    </row>
    <row r="215" spans="1:11">
      <c r="A215" s="17">
        <v>31</v>
      </c>
      <c r="B215" s="17" t="str">
        <f ca="1">OFFSET('1课程考核方式及成绩组成'!$D$10,(ROW(B215)-5)/7,)</f>
        <v>190301028</v>
      </c>
      <c r="C215" s="17" t="str">
        <f ca="1">OFFSET('1课程考核方式及成绩组成'!$E$10,(ROW(C215)-5)/7,)</f>
        <v>钟鸿宇</v>
      </c>
      <c r="D215" s="18" t="str">
        <f>'0信息维护'!A$25</f>
        <v>课程目标1</v>
      </c>
      <c r="E215" s="19">
        <f ca="1">OFFSET('1课程考核方式及成绩组成'!$F$10,(ROW(E215)-5)/7,MOD((ROW(E215)-5),7))</f>
        <v>40</v>
      </c>
      <c r="F215" s="19">
        <f ca="1">OFFSET('1课程考核方式及成绩组成'!$N$10,(ROW(F215)-5)/7,MOD((ROW(F215)-5),7))</f>
        <v>0</v>
      </c>
      <c r="G215" s="19">
        <f ca="1">OFFSET('1课程考核方式及成绩组成'!$V$10,(ROW(G215)-5)/7,MOD((ROW(G215)-5),7))</f>
        <v>0</v>
      </c>
      <c r="H215" s="19">
        <f ca="1">OFFSET('1课程考核方式及成绩组成'!$AD$10,(ROW(H215)-5)/7,MOD((ROW(H215)-5),7))</f>
        <v>0</v>
      </c>
      <c r="I215" s="19">
        <f ca="1">OFFSET('1课程考核方式及成绩组成'!$AL$10,(ROW(I215)-5)/7,MOD((ROW(I215)-5),7))</f>
        <v>34</v>
      </c>
      <c r="J215" s="25">
        <f ca="1">IF('0信息维护'!$I$85=0,0,E215/('0信息维护'!$I$85)*'0信息维护'!$E$35*'0信息维护'!$S$25)+IF('0信息维护'!$I$86=0,0,F215/('0信息维护'!$I$86)*'0信息维护'!$E$35*'0信息维护'!$T$25)+IF('0信息维护'!$I$87=0,0,G215/('0信息维护'!$I$87)*'0信息维护'!$E$35*'0信息维护'!$U$25)+IF('0信息维护'!$I$88=0,0,H215/('0信息维护'!$I$88)*'0信息维护'!$E$35*'0信息维护'!$V$25)+IF('0信息维护'!$I$89=0,0,I215/'0信息维护'!$I$89*'0信息维护'!$I$35)</f>
        <v>0.972222222222222</v>
      </c>
      <c r="K215" s="26">
        <f ca="1">J215*'0信息维护'!$D$132+J216*'0信息维护'!$D$133+J217*'0信息维护'!$D$134+J218*'0信息维护'!$D$135+J219*'0信息维护'!$D$136+J220*'0信息维护'!$D$137+J221*'0信息维护'!$D$138</f>
        <v>0.863362745098039</v>
      </c>
    </row>
    <row r="216" spans="1:14">
      <c r="A216" s="20"/>
      <c r="B216" s="20"/>
      <c r="C216" s="20"/>
      <c r="D216" s="18" t="str">
        <f>'0信息维护'!A$26</f>
        <v>课程目标2</v>
      </c>
      <c r="E216" s="19">
        <f ca="1">OFFSET('1课程考核方式及成绩组成'!$F$10,(ROW(E216)-5)/7,MOD((ROW(E216)-5),7))</f>
        <v>60</v>
      </c>
      <c r="F216" s="19">
        <f ca="1">OFFSET('1课程考核方式及成绩组成'!$N$10,(ROW(F216)-5)/7,MOD((ROW(F216)-5),7))</f>
        <v>0</v>
      </c>
      <c r="G216" s="19">
        <f ca="1">OFFSET('1课程考核方式及成绩组成'!$V$10,(ROW(G216)-5)/7,MOD((ROW(G216)-5),7))</f>
        <v>0</v>
      </c>
      <c r="H216" s="19">
        <f ca="1">OFFSET('1课程考核方式及成绩组成'!$AD$10,(ROW(H216)-5)/7,MOD((ROW(H216)-5),7))</f>
        <v>0</v>
      </c>
      <c r="I216" s="19">
        <f ca="1">OFFSET('1课程考核方式及成绩组成'!$AL$10,(ROW(I216)-5)/7,MOD((ROW(I216)-5),7))</f>
        <v>30</v>
      </c>
      <c r="J216" s="25">
        <f ca="1">IF('0信息维护'!$I$91=0,0,E216/('0信息维护'!$I$91)*'0信息维护'!$S$26*'0信息维护'!$E$36)+IF('0信息维护'!$I$92=0,0,F216/('0信息维护'!$I$92)*'0信息维护'!$T$26*'0信息维护'!$E$36)+IF('0信息维护'!$I$93=0,0,G216/('0信息维护'!$I$93)*'0信息维护'!$U$26*'0信息维护'!$E$36)+IF('0信息维护'!$I$94=0,0,H216/('0信息维护'!$I$94)*'0信息维护'!$V$26*'0信息维护'!$E$36)+IF('0信息维护'!$I$95=0,0,I216/'0信息维护'!$I$95*'0信息维护'!$I$36)</f>
        <v>1</v>
      </c>
      <c r="K216" s="27"/>
      <c r="N216" s="29"/>
    </row>
    <row r="217" spans="1:11">
      <c r="A217" s="20"/>
      <c r="B217" s="20"/>
      <c r="C217" s="20"/>
      <c r="D217" s="18" t="str">
        <f>'0信息维护'!A$27</f>
        <v>课程目标3</v>
      </c>
      <c r="E217" s="19">
        <f ca="1">OFFSET('1课程考核方式及成绩组成'!$F$10,(ROW(E217)-5)/7,MOD((ROW(E217)-5),7))</f>
        <v>0</v>
      </c>
      <c r="F217" s="19">
        <f ca="1">OFFSET('1课程考核方式及成绩组成'!$N$10,(ROW(F217)-5)/7,MOD((ROW(F217)-5),7))</f>
        <v>0</v>
      </c>
      <c r="G217" s="19">
        <f ca="1">OFFSET('1课程考核方式及成绩组成'!$V$10,(ROW(G217)-5)/7,MOD((ROW(G217)-5),7))</f>
        <v>0</v>
      </c>
      <c r="H217" s="19">
        <f ca="1">OFFSET('1课程考核方式及成绩组成'!$AD$10,(ROW(H217)-5)/7,MOD((ROW(H217)-5),7))</f>
        <v>0</v>
      </c>
      <c r="I217" s="19">
        <f ca="1">OFFSET('1课程考核方式及成绩组成'!$AL$10,(ROW(I217)-5)/7,MOD((ROW(I217)-5),7))</f>
        <v>27</v>
      </c>
      <c r="J217" s="25">
        <f ca="1">IF('0信息维护'!$I$97=0,0,E217/('0信息维护'!$I$97)*'0信息维护'!$E$37*'0信息维护'!$S$27)+IF('0信息维护'!$I$98=0,0,F217/('0信息维护'!$I$98)*'0信息维护'!$E$37*'0信息维护'!$T$27)+IF('0信息维护'!$I$99=0,0,G217/('0信息维护'!$I$99)*'0信息维护'!$E$37*'0信息维护'!$U$27)+IF('0信息维护'!$I$100=0,0,H217/('0信息维护'!$I$100)*'0信息维护'!$E$37*'0信息维护'!$V$27)+IF('0信息维护'!$I$101=0,0,I217/'0信息维护'!$I$101*'0信息维护'!$I$37)</f>
        <v>0.794117647058823</v>
      </c>
      <c r="K217" s="27"/>
    </row>
    <row r="218" spans="1:11">
      <c r="A218" s="20"/>
      <c r="B218" s="20"/>
      <c r="C218" s="20"/>
      <c r="D218" s="18" t="str">
        <f>'0信息维护'!A$28</f>
        <v>课程目标4</v>
      </c>
      <c r="E218" s="19">
        <f ca="1">OFFSET('1课程考核方式及成绩组成'!$F$10,(ROW(E218)-5)/7,MOD((ROW(E218)-5),7))</f>
        <v>0</v>
      </c>
      <c r="F218" s="19">
        <f ca="1">OFFSET('1课程考核方式及成绩组成'!$N$10,(ROW(F218)-5)/7,MOD((ROW(F218)-5),7))</f>
        <v>73</v>
      </c>
      <c r="G218" s="19">
        <f ca="1">OFFSET('1课程考核方式及成绩组成'!$V$10,(ROW(G218)-5)/7,MOD((ROW(G218)-5),7))</f>
        <v>0</v>
      </c>
      <c r="H218" s="19">
        <f ca="1">OFFSET('1课程考核方式及成绩组成'!$AD$10,(ROW(H218)-5)/7,MOD((ROW(H218)-5),7))</f>
        <v>0</v>
      </c>
      <c r="I218" s="19">
        <f ca="1">OFFSET('1课程考核方式及成绩组成'!$AL$10,(ROW(I218)-5)/7,MOD((ROW(I218)-5),7))</f>
        <v>0</v>
      </c>
      <c r="J218" s="25">
        <f ca="1">IF('0信息维护'!$I$103=0,0,E218/('0信息维护'!$I$103)*'0信息维护'!$E$38*'0信息维护'!$S$28)+IF('0信息维护'!$I$104=0,0,F218/('0信息维护'!$I$104)*'0信息维护'!$E$38*'0信息维护'!$T$28)+IF('0信息维护'!$I$105=0,0,G218/('0信息维护'!$I$105)*'0信息维护'!$E$38*'0信息维护'!$U$28)+IF('0信息维护'!$I$106=0,0,H218/('0信息维护'!$I$106)*'0信息维护'!$E$38*'0信息维护'!$V$28)+IF('0信息维护'!$I$107=0,0,I218/'0信息维护'!$I$107*'0信息维护'!$I$38)</f>
        <v>0.73</v>
      </c>
      <c r="K218" s="27"/>
    </row>
    <row r="219" spans="1:11">
      <c r="A219" s="20"/>
      <c r="B219" s="20"/>
      <c r="C219" s="20"/>
      <c r="D219" s="18" t="str">
        <f>'0信息维护'!A$29</f>
        <v>课程目标5</v>
      </c>
      <c r="E219" s="19">
        <f ca="1">OFFSET('1课程考核方式及成绩组成'!$F$10,(ROW(E219)-5)/7,MOD((ROW(E219)-5),7))</f>
        <v>0</v>
      </c>
      <c r="F219" s="19">
        <f ca="1">OFFSET('1课程考核方式及成绩组成'!$N$10,(ROW(F219)-5)/7,MOD((ROW(F219)-5),7))</f>
        <v>0</v>
      </c>
      <c r="G219" s="19">
        <f ca="1">OFFSET('1课程考核方式及成绩组成'!$V$10,(ROW(G219)-5)/7,MOD((ROW(G219)-5),7))</f>
        <v>0</v>
      </c>
      <c r="H219" s="19">
        <f ca="1">OFFSET('1课程考核方式及成绩组成'!$AD$10,(ROW(H219)-5)/7,MOD((ROW(H219)-5),7))</f>
        <v>0</v>
      </c>
      <c r="I219" s="19">
        <f ca="1">OFFSET('1课程考核方式及成绩组成'!$AL$10,(ROW(I219)-5)/7,MOD((ROW(I219)-5),7))</f>
        <v>0</v>
      </c>
      <c r="J219" s="25">
        <f ca="1">IF('0信息维护'!$I$109=0,0,E219/('0信息维护'!$I$109)*'0信息维护'!$E$39*'0信息维护'!$S$29)+IF('0信息维护'!$I$110=0,0,F219/('0信息维护'!$I$110)*'0信息维护'!$E$39*'0信息维护'!$T$29)+IF('0信息维护'!$I$111=0,0,G219/('0信息维护'!$I$111)*'0信息维护'!$E$39*'0信息维护'!$U$29)+IF('0信息维护'!$I$112=0,0,H219/('0信息维护'!$I$112)*'0信息维护'!$E$39*'0信息维护'!$V$29)+IF('0信息维护'!$I$113=0,0,I219/'0信息维护'!$I$113*'0信息维护'!$I$39)</f>
        <v>0</v>
      </c>
      <c r="K219" s="27"/>
    </row>
    <row r="220" spans="1:11">
      <c r="A220" s="20"/>
      <c r="B220" s="20"/>
      <c r="C220" s="20"/>
      <c r="D220" s="18" t="str">
        <f>'0信息维护'!A$30</f>
        <v>课程目标6</v>
      </c>
      <c r="E220" s="19">
        <f ca="1">OFFSET('1课程考核方式及成绩组成'!$F$10,(ROW(E220)-5)/7,MOD((ROW(E220)-5),7))</f>
        <v>0</v>
      </c>
      <c r="F220" s="19">
        <f ca="1">OFFSET('1课程考核方式及成绩组成'!$N$10,(ROW(F220)-5)/7,MOD((ROW(F220)-5),7))</f>
        <v>0</v>
      </c>
      <c r="G220" s="19">
        <f ca="1">OFFSET('1课程考核方式及成绩组成'!$V$10,(ROW(G220)-5)/7,MOD((ROW(G220)-5),7))</f>
        <v>0</v>
      </c>
      <c r="H220" s="19">
        <f ca="1">OFFSET('1课程考核方式及成绩组成'!$AD$10,(ROW(H220)-5)/7,MOD((ROW(H220)-5),7))</f>
        <v>0</v>
      </c>
      <c r="I220" s="19">
        <f ca="1">OFFSET('1课程考核方式及成绩组成'!$AL$10,(ROW(I220)-5)/7,MOD((ROW(I220)-5),7))</f>
        <v>0</v>
      </c>
      <c r="J220" s="25">
        <f ca="1">IF('0信息维护'!$I$115=0,0,E220/('0信息维护'!$I$115)*'0信息维护'!$E$40*'0信息维护'!$S$30)+IF('0信息维护'!$I$116=0,0,F220/('0信息维护'!$I$116)*'0信息维护'!$E$40*'0信息维护'!$T$30)+IF('0信息维护'!$I$117=0,0,G220/('0信息维护'!$I$117)*'0信息维护'!$E$40*'0信息维护'!$U$30)+IF('0信息维护'!$I$118=0,0,H220/('0信息维护'!$I$118)*'0信息维护'!$E$40*'0信息维护'!$V$30)+IF('0信息维护'!$I$119=0,0,I220/'0信息维护'!$I$119*'0信息维护'!$I$40)</f>
        <v>0</v>
      </c>
      <c r="K220" s="27"/>
    </row>
    <row r="221" spans="1:11">
      <c r="A221" s="21"/>
      <c r="B221" s="21"/>
      <c r="C221" s="21"/>
      <c r="D221" s="18" t="str">
        <f>'0信息维护'!A$31</f>
        <v>课程目标7</v>
      </c>
      <c r="E221" s="19">
        <f ca="1">OFFSET('1课程考核方式及成绩组成'!$F$10,(ROW(E221)-5)/7,MOD((ROW(E221)-5),7))</f>
        <v>0</v>
      </c>
      <c r="F221" s="19">
        <f ca="1">OFFSET('1课程考核方式及成绩组成'!$N$10,(ROW(F221)-5)/7,MOD((ROW(F221)-5),7))</f>
        <v>0</v>
      </c>
      <c r="G221" s="19">
        <f ca="1">OFFSET('1课程考核方式及成绩组成'!$V$10,(ROW(G221)-5)/7,MOD((ROW(G221)-5),7))</f>
        <v>0</v>
      </c>
      <c r="H221" s="19">
        <f ca="1">OFFSET('1课程考核方式及成绩组成'!$AD$10,(ROW(H221)-5)/7,MOD((ROW(H221)-5),7))</f>
        <v>0</v>
      </c>
      <c r="I221" s="19">
        <f ca="1">OFFSET('1课程考核方式及成绩组成'!$AL$10,(ROW(I221)-5)/7,MOD((ROW(I221)-5),7))</f>
        <v>0</v>
      </c>
      <c r="J221" s="25">
        <f ca="1">IF('0信息维护'!$I$121=0,0,E221/('0信息维护'!$I$121)*'0信息维护'!$E$41*'0信息维护'!$S$31)+IF('0信息维护'!$I$122=0,0,F221/('0信息维护'!$I$122)*'0信息维护'!$E$41*'0信息维护'!$T$31)+IF('0信息维护'!$I$123=0,0,G221/('0信息维护'!$I$123)*'0信息维护'!$E$41*'0信息维护'!$U$31)+IF('0信息维护'!$I$124=0,0,H221/('0信息维护'!$I$124)*'0信息维护'!$E$41*'0信息维护'!$T$31)+IF('0信息维护'!$I$125=0,0,I221/'0信息维护'!$I$125*'0信息维护'!$I$41)</f>
        <v>0</v>
      </c>
      <c r="K221" s="30"/>
    </row>
    <row r="222" spans="1:11">
      <c r="A222" s="17">
        <v>32</v>
      </c>
      <c r="B222" s="17" t="str">
        <f ca="1">OFFSET('1课程考核方式及成绩组成'!$D$10,(ROW(B222)-5)/7,)</f>
        <v>190301029</v>
      </c>
      <c r="C222" s="17" t="str">
        <f ca="1">OFFSET('1课程考核方式及成绩组成'!$E$10,(ROW(C222)-5)/7,)</f>
        <v>陈芃岐</v>
      </c>
      <c r="D222" s="18" t="str">
        <f>'0信息维护'!A$25</f>
        <v>课程目标1</v>
      </c>
      <c r="E222" s="19">
        <f ca="1">OFFSET('1课程考核方式及成绩组成'!$F$10,(ROW(E222)-5)/7,MOD((ROW(E222)-5),7))</f>
        <v>40</v>
      </c>
      <c r="F222" s="19">
        <f ca="1">OFFSET('1课程考核方式及成绩组成'!$N$10,(ROW(F222)-5)/7,MOD((ROW(F222)-5),7))</f>
        <v>0</v>
      </c>
      <c r="G222" s="19">
        <f ca="1">OFFSET('1课程考核方式及成绩组成'!$V$10,(ROW(G222)-5)/7,MOD((ROW(G222)-5),7))</f>
        <v>0</v>
      </c>
      <c r="H222" s="19">
        <f ca="1">OFFSET('1课程考核方式及成绩组成'!$AD$10,(ROW(H222)-5)/7,MOD((ROW(H222)-5),7))</f>
        <v>0</v>
      </c>
      <c r="I222" s="19">
        <f ca="1">OFFSET('1课程考核方式及成绩组成'!$AL$10,(ROW(I222)-5)/7,MOD((ROW(I222)-5),7))</f>
        <v>32</v>
      </c>
      <c r="J222" s="25">
        <f ca="1">IF('0信息维护'!$I$85=0,0,E222/('0信息维护'!$I$85)*'0信息维护'!$E$35*'0信息维护'!$S$25)+IF('0信息维护'!$I$86=0,0,F222/('0信息维护'!$I$86)*'0信息维护'!$E$35*'0信息维护'!$T$25)+IF('0信息维护'!$I$87=0,0,G222/('0信息维护'!$I$87)*'0信息维护'!$E$35*'0信息维护'!$U$25)+IF('0信息维护'!$I$88=0,0,H222/('0信息维护'!$I$88)*'0信息维护'!$E$35*'0信息维护'!$V$25)+IF('0信息维护'!$I$89=0,0,I222/'0信息维护'!$I$89*'0信息维护'!$I$35)</f>
        <v>0.944444444444444</v>
      </c>
      <c r="K222" s="26">
        <f ca="1">J222*'0信息维护'!$D$132+J223*'0信息维护'!$D$133+J224*'0信息维护'!$D$134+J225*'0信息维护'!$D$135+J226*'0信息维护'!$D$136+J227*'0信息维护'!$D$137+J228*'0信息维护'!$D$138</f>
        <v>0.808019607843137</v>
      </c>
    </row>
    <row r="223" spans="1:14">
      <c r="A223" s="20"/>
      <c r="B223" s="20"/>
      <c r="C223" s="20"/>
      <c r="D223" s="18" t="str">
        <f>'0信息维护'!A$26</f>
        <v>课程目标2</v>
      </c>
      <c r="E223" s="19">
        <f ca="1">OFFSET('1课程考核方式及成绩组成'!$F$10,(ROW(E223)-5)/7,MOD((ROW(E223)-5),7))</f>
        <v>60</v>
      </c>
      <c r="F223" s="19">
        <f ca="1">OFFSET('1课程考核方式及成绩组成'!$N$10,(ROW(F223)-5)/7,MOD((ROW(F223)-5),7))</f>
        <v>0</v>
      </c>
      <c r="G223" s="19">
        <f ca="1">OFFSET('1课程考核方式及成绩组成'!$V$10,(ROW(G223)-5)/7,MOD((ROW(G223)-5),7))</f>
        <v>0</v>
      </c>
      <c r="H223" s="19">
        <f ca="1">OFFSET('1课程考核方式及成绩组成'!$AD$10,(ROW(H223)-5)/7,MOD((ROW(H223)-5),7))</f>
        <v>0</v>
      </c>
      <c r="I223" s="19">
        <f ca="1">OFFSET('1课程考核方式及成绩组成'!$AL$10,(ROW(I223)-5)/7,MOD((ROW(I223)-5),7))</f>
        <v>27</v>
      </c>
      <c r="J223" s="25">
        <f ca="1">IF('0信息维护'!$I$91=0,0,E223/('0信息维护'!$I$91)*'0信息维护'!$S$26*'0信息维护'!$E$36)+IF('0信息维护'!$I$92=0,0,F223/('0信息维护'!$I$92)*'0信息维护'!$T$26*'0信息维护'!$E$36)+IF('0信息维护'!$I$93=0,0,G223/('0信息维护'!$I$93)*'0信息维护'!$U$26*'0信息维护'!$E$36)+IF('0信息维护'!$I$94=0,0,H223/('0信息维护'!$I$94)*'0信息维护'!$V$26*'0信息维护'!$E$36)+IF('0信息维护'!$I$95=0,0,I223/'0信息维护'!$I$95*'0信息维护'!$I$36)</f>
        <v>0.95</v>
      </c>
      <c r="K223" s="27"/>
      <c r="N223" s="29"/>
    </row>
    <row r="224" spans="1:11">
      <c r="A224" s="20"/>
      <c r="B224" s="20"/>
      <c r="C224" s="20"/>
      <c r="D224" s="18" t="str">
        <f>'0信息维护'!A$27</f>
        <v>课程目标3</v>
      </c>
      <c r="E224" s="19">
        <f ca="1">OFFSET('1课程考核方式及成绩组成'!$F$10,(ROW(E224)-5)/7,MOD((ROW(E224)-5),7))</f>
        <v>0</v>
      </c>
      <c r="F224" s="19">
        <f ca="1">OFFSET('1课程考核方式及成绩组成'!$N$10,(ROW(F224)-5)/7,MOD((ROW(F224)-5),7))</f>
        <v>0</v>
      </c>
      <c r="G224" s="19">
        <f ca="1">OFFSET('1课程考核方式及成绩组成'!$V$10,(ROW(G224)-5)/7,MOD((ROW(G224)-5),7))</f>
        <v>0</v>
      </c>
      <c r="H224" s="19">
        <f ca="1">OFFSET('1课程考核方式及成绩组成'!$AD$10,(ROW(H224)-5)/7,MOD((ROW(H224)-5),7))</f>
        <v>0</v>
      </c>
      <c r="I224" s="19">
        <f ca="1">OFFSET('1课程考核方式及成绩组成'!$AL$10,(ROW(I224)-5)/7,MOD((ROW(I224)-5),7))</f>
        <v>18</v>
      </c>
      <c r="J224" s="25">
        <f ca="1">IF('0信息维护'!$I$97=0,0,E224/('0信息维护'!$I$97)*'0信息维护'!$E$37*'0信息维护'!$S$27)+IF('0信息维护'!$I$98=0,0,F224/('0信息维护'!$I$98)*'0信息维护'!$E$37*'0信息维护'!$T$27)+IF('0信息维护'!$I$99=0,0,G224/('0信息维护'!$I$99)*'0信息维护'!$E$37*'0信息维护'!$U$27)+IF('0信息维护'!$I$100=0,0,H224/('0信息维护'!$I$100)*'0信息维护'!$E$37*'0信息维护'!$V$27)+IF('0信息维护'!$I$101=0,0,I224/'0信息维护'!$I$101*'0信息维护'!$I$37)</f>
        <v>0.529411764705882</v>
      </c>
      <c r="K224" s="27"/>
    </row>
    <row r="225" spans="1:11">
      <c r="A225" s="20"/>
      <c r="B225" s="20"/>
      <c r="C225" s="20"/>
      <c r="D225" s="18" t="str">
        <f>'0信息维护'!A$28</f>
        <v>课程目标4</v>
      </c>
      <c r="E225" s="19">
        <f ca="1">OFFSET('1课程考核方式及成绩组成'!$F$10,(ROW(E225)-5)/7,MOD((ROW(E225)-5),7))</f>
        <v>0</v>
      </c>
      <c r="F225" s="19">
        <f ca="1">OFFSET('1课程考核方式及成绩组成'!$N$10,(ROW(F225)-5)/7,MOD((ROW(F225)-5),7))</f>
        <v>83</v>
      </c>
      <c r="G225" s="19">
        <f ca="1">OFFSET('1课程考核方式及成绩组成'!$V$10,(ROW(G225)-5)/7,MOD((ROW(G225)-5),7))</f>
        <v>0</v>
      </c>
      <c r="H225" s="19">
        <f ca="1">OFFSET('1课程考核方式及成绩组成'!$AD$10,(ROW(H225)-5)/7,MOD((ROW(H225)-5),7))</f>
        <v>0</v>
      </c>
      <c r="I225" s="19">
        <f ca="1">OFFSET('1课程考核方式及成绩组成'!$AL$10,(ROW(I225)-5)/7,MOD((ROW(I225)-5),7))</f>
        <v>0</v>
      </c>
      <c r="J225" s="25">
        <f ca="1">IF('0信息维护'!$I$103=0,0,E225/('0信息维护'!$I$103)*'0信息维护'!$E$38*'0信息维护'!$S$28)+IF('0信息维护'!$I$104=0,0,F225/('0信息维护'!$I$104)*'0信息维护'!$E$38*'0信息维护'!$T$28)+IF('0信息维护'!$I$105=0,0,G225/('0信息维护'!$I$105)*'0信息维护'!$E$38*'0信息维护'!$U$28)+IF('0信息维护'!$I$106=0,0,H225/('0信息维护'!$I$106)*'0信息维护'!$E$38*'0信息维护'!$V$28)+IF('0信息维护'!$I$107=0,0,I225/'0信息维护'!$I$107*'0信息维护'!$I$38)</f>
        <v>0.83</v>
      </c>
      <c r="K225" s="27"/>
    </row>
    <row r="226" spans="1:11">
      <c r="A226" s="20"/>
      <c r="B226" s="20"/>
      <c r="C226" s="20"/>
      <c r="D226" s="18" t="str">
        <f>'0信息维护'!A$29</f>
        <v>课程目标5</v>
      </c>
      <c r="E226" s="19">
        <f ca="1">OFFSET('1课程考核方式及成绩组成'!$F$10,(ROW(E226)-5)/7,MOD((ROW(E226)-5),7))</f>
        <v>0</v>
      </c>
      <c r="F226" s="19">
        <f ca="1">OFFSET('1课程考核方式及成绩组成'!$N$10,(ROW(F226)-5)/7,MOD((ROW(F226)-5),7))</f>
        <v>0</v>
      </c>
      <c r="G226" s="19">
        <f ca="1">OFFSET('1课程考核方式及成绩组成'!$V$10,(ROW(G226)-5)/7,MOD((ROW(G226)-5),7))</f>
        <v>0</v>
      </c>
      <c r="H226" s="19">
        <f ca="1">OFFSET('1课程考核方式及成绩组成'!$AD$10,(ROW(H226)-5)/7,MOD((ROW(H226)-5),7))</f>
        <v>0</v>
      </c>
      <c r="I226" s="19">
        <f ca="1">OFFSET('1课程考核方式及成绩组成'!$AL$10,(ROW(I226)-5)/7,MOD((ROW(I226)-5),7))</f>
        <v>0</v>
      </c>
      <c r="J226" s="25">
        <f ca="1">IF('0信息维护'!$I$109=0,0,E226/('0信息维护'!$I$109)*'0信息维护'!$E$39*'0信息维护'!$S$29)+IF('0信息维护'!$I$110=0,0,F226/('0信息维护'!$I$110)*'0信息维护'!$E$39*'0信息维护'!$T$29)+IF('0信息维护'!$I$111=0,0,G226/('0信息维护'!$I$111)*'0信息维护'!$E$39*'0信息维护'!$U$29)+IF('0信息维护'!$I$112=0,0,H226/('0信息维护'!$I$112)*'0信息维护'!$E$39*'0信息维护'!$V$29)+IF('0信息维护'!$I$113=0,0,I226/'0信息维护'!$I$113*'0信息维护'!$I$39)</f>
        <v>0</v>
      </c>
      <c r="K226" s="27"/>
    </row>
    <row r="227" spans="1:11">
      <c r="A227" s="20"/>
      <c r="B227" s="20"/>
      <c r="C227" s="20"/>
      <c r="D227" s="18" t="str">
        <f>'0信息维护'!A$30</f>
        <v>课程目标6</v>
      </c>
      <c r="E227" s="19">
        <f ca="1">OFFSET('1课程考核方式及成绩组成'!$F$10,(ROW(E227)-5)/7,MOD((ROW(E227)-5),7))</f>
        <v>0</v>
      </c>
      <c r="F227" s="19">
        <f ca="1">OFFSET('1课程考核方式及成绩组成'!$N$10,(ROW(F227)-5)/7,MOD((ROW(F227)-5),7))</f>
        <v>0</v>
      </c>
      <c r="G227" s="19">
        <f ca="1">OFFSET('1课程考核方式及成绩组成'!$V$10,(ROW(G227)-5)/7,MOD((ROW(G227)-5),7))</f>
        <v>0</v>
      </c>
      <c r="H227" s="19">
        <f ca="1">OFFSET('1课程考核方式及成绩组成'!$AD$10,(ROW(H227)-5)/7,MOD((ROW(H227)-5),7))</f>
        <v>0</v>
      </c>
      <c r="I227" s="19">
        <f ca="1">OFFSET('1课程考核方式及成绩组成'!$AL$10,(ROW(I227)-5)/7,MOD((ROW(I227)-5),7))</f>
        <v>0</v>
      </c>
      <c r="J227" s="25">
        <f ca="1">IF('0信息维护'!$I$115=0,0,E227/('0信息维护'!$I$115)*'0信息维护'!$E$40*'0信息维护'!$S$30)+IF('0信息维护'!$I$116=0,0,F227/('0信息维护'!$I$116)*'0信息维护'!$E$40*'0信息维护'!$T$30)+IF('0信息维护'!$I$117=0,0,G227/('0信息维护'!$I$117)*'0信息维护'!$E$40*'0信息维护'!$U$30)+IF('0信息维护'!$I$118=0,0,H227/('0信息维护'!$I$118)*'0信息维护'!$E$40*'0信息维护'!$V$30)+IF('0信息维护'!$I$119=0,0,I227/'0信息维护'!$I$119*'0信息维护'!$I$40)</f>
        <v>0</v>
      </c>
      <c r="K227" s="27"/>
    </row>
    <row r="228" spans="1:11">
      <c r="A228" s="21"/>
      <c r="B228" s="21"/>
      <c r="C228" s="21"/>
      <c r="D228" s="18" t="str">
        <f>'0信息维护'!A$31</f>
        <v>课程目标7</v>
      </c>
      <c r="E228" s="19">
        <f ca="1">OFFSET('1课程考核方式及成绩组成'!$F$10,(ROW(E228)-5)/7,MOD((ROW(E228)-5),7))</f>
        <v>0</v>
      </c>
      <c r="F228" s="19">
        <f ca="1">OFFSET('1课程考核方式及成绩组成'!$N$10,(ROW(F228)-5)/7,MOD((ROW(F228)-5),7))</f>
        <v>0</v>
      </c>
      <c r="G228" s="19">
        <f ca="1">OFFSET('1课程考核方式及成绩组成'!$V$10,(ROW(G228)-5)/7,MOD((ROW(G228)-5),7))</f>
        <v>0</v>
      </c>
      <c r="H228" s="19">
        <f ca="1">OFFSET('1课程考核方式及成绩组成'!$AD$10,(ROW(H228)-5)/7,MOD((ROW(H228)-5),7))</f>
        <v>0</v>
      </c>
      <c r="I228" s="19">
        <f ca="1">OFFSET('1课程考核方式及成绩组成'!$AL$10,(ROW(I228)-5)/7,MOD((ROW(I228)-5),7))</f>
        <v>0</v>
      </c>
      <c r="J228" s="25">
        <f ca="1">IF('0信息维护'!$I$121=0,0,E228/('0信息维护'!$I$121)*'0信息维护'!$E$41*'0信息维护'!$S$31)+IF('0信息维护'!$I$122=0,0,F228/('0信息维护'!$I$122)*'0信息维护'!$E$41*'0信息维护'!$T$31)+IF('0信息维护'!$I$123=0,0,G228/('0信息维护'!$I$123)*'0信息维护'!$E$41*'0信息维护'!$U$31)+IF('0信息维护'!$I$124=0,0,H228/('0信息维护'!$I$124)*'0信息维护'!$E$41*'0信息维护'!$T$31)+IF('0信息维护'!$I$125=0,0,I228/'0信息维护'!$I$125*'0信息维护'!$I$41)</f>
        <v>0</v>
      </c>
      <c r="K228" s="30"/>
    </row>
    <row r="229" spans="1:11">
      <c r="A229" s="17">
        <v>33</v>
      </c>
      <c r="B229" s="17" t="str">
        <f ca="1">OFFSET('1课程考核方式及成绩组成'!$D$10,(ROW(B229)-5)/7,)</f>
        <v>190301030</v>
      </c>
      <c r="C229" s="17" t="str">
        <f ca="1">OFFSET('1课程考核方式及成绩组成'!$E$10,(ROW(C229)-5)/7,)</f>
        <v>禹钦瀚</v>
      </c>
      <c r="D229" s="18" t="str">
        <f>'0信息维护'!A$25</f>
        <v>课程目标1</v>
      </c>
      <c r="E229" s="19">
        <f ca="1">OFFSET('1课程考核方式及成绩组成'!$F$10,(ROW(E229)-5)/7,MOD((ROW(E229)-5),7))</f>
        <v>40</v>
      </c>
      <c r="F229" s="19">
        <f ca="1">OFFSET('1课程考核方式及成绩组成'!$N$10,(ROW(F229)-5)/7,MOD((ROW(F229)-5),7))</f>
        <v>0</v>
      </c>
      <c r="G229" s="19">
        <f ca="1">OFFSET('1课程考核方式及成绩组成'!$V$10,(ROW(G229)-5)/7,MOD((ROW(G229)-5),7))</f>
        <v>0</v>
      </c>
      <c r="H229" s="19">
        <f ca="1">OFFSET('1课程考核方式及成绩组成'!$AD$10,(ROW(H229)-5)/7,MOD((ROW(H229)-5),7))</f>
        <v>0</v>
      </c>
      <c r="I229" s="19">
        <f ca="1">OFFSET('1课程考核方式及成绩组成'!$AL$10,(ROW(I229)-5)/7,MOD((ROW(I229)-5),7))</f>
        <v>22</v>
      </c>
      <c r="J229" s="25">
        <f ca="1">IF('0信息维护'!$I$85=0,0,E229/('0信息维护'!$I$85)*'0信息维护'!$E$35*'0信息维护'!$S$25)+IF('0信息维护'!$I$86=0,0,F229/('0信息维护'!$I$86)*'0信息维护'!$E$35*'0信息维护'!$T$25)+IF('0信息维护'!$I$87=0,0,G229/('0信息维护'!$I$87)*'0信息维护'!$E$35*'0信息维护'!$U$25)+IF('0信息维护'!$I$88=0,0,H229/('0信息维护'!$I$88)*'0信息维护'!$E$35*'0信息维护'!$V$25)+IF('0信息维护'!$I$89=0,0,I229/'0信息维护'!$I$89*'0信息维护'!$I$35)</f>
        <v>0.805555555555556</v>
      </c>
      <c r="K229" s="26">
        <f ca="1">J229*'0信息维护'!$D$132+J230*'0信息维护'!$D$133+J231*'0信息维护'!$D$134+J232*'0信息维护'!$D$135+J233*'0信息维护'!$D$136+J234*'0信息维护'!$D$137+J235*'0信息维护'!$D$138</f>
        <v>0.542009803921569</v>
      </c>
    </row>
    <row r="230" spans="1:14">
      <c r="A230" s="20"/>
      <c r="B230" s="20"/>
      <c r="C230" s="20"/>
      <c r="D230" s="18" t="str">
        <f>'0信息维护'!A$26</f>
        <v>课程目标2</v>
      </c>
      <c r="E230" s="19">
        <f ca="1">OFFSET('1课程考核方式及成绩组成'!$F$10,(ROW(E230)-5)/7,MOD((ROW(E230)-5),7))</f>
        <v>60</v>
      </c>
      <c r="F230" s="19">
        <f ca="1">OFFSET('1课程考核方式及成绩组成'!$N$10,(ROW(F230)-5)/7,MOD((ROW(F230)-5),7))</f>
        <v>0</v>
      </c>
      <c r="G230" s="19">
        <f ca="1">OFFSET('1课程考核方式及成绩组成'!$V$10,(ROW(G230)-5)/7,MOD((ROW(G230)-5),7))</f>
        <v>0</v>
      </c>
      <c r="H230" s="19">
        <f ca="1">OFFSET('1课程考核方式及成绩组成'!$AD$10,(ROW(H230)-5)/7,MOD((ROW(H230)-5),7))</f>
        <v>0</v>
      </c>
      <c r="I230" s="19">
        <f ca="1">OFFSET('1课程考核方式及成绩组成'!$AL$10,(ROW(I230)-5)/7,MOD((ROW(I230)-5),7))</f>
        <v>11</v>
      </c>
      <c r="J230" s="25">
        <f ca="1">IF('0信息维护'!$I$91=0,0,E230/('0信息维护'!$I$91)*'0信息维护'!$S$26*'0信息维护'!$E$36)+IF('0信息维护'!$I$92=0,0,F230/('0信息维护'!$I$92)*'0信息维护'!$T$26*'0信息维护'!$E$36)+IF('0信息维护'!$I$93=0,0,G230/('0信息维护'!$I$93)*'0信息维护'!$U$26*'0信息维护'!$E$36)+IF('0信息维护'!$I$94=0,0,H230/('0信息维护'!$I$94)*'0信息维护'!$V$26*'0信息维护'!$E$36)+IF('0信息维护'!$I$95=0,0,I230/'0信息维护'!$I$95*'0信息维护'!$I$36)</f>
        <v>0.683333333333333</v>
      </c>
      <c r="K230" s="27"/>
      <c r="N230" s="29"/>
    </row>
    <row r="231" spans="1:11">
      <c r="A231" s="20"/>
      <c r="B231" s="20"/>
      <c r="C231" s="20"/>
      <c r="D231" s="18" t="str">
        <f>'0信息维护'!A$27</f>
        <v>课程目标3</v>
      </c>
      <c r="E231" s="19">
        <f ca="1">OFFSET('1课程考核方式及成绩组成'!$F$10,(ROW(E231)-5)/7,MOD((ROW(E231)-5),7))</f>
        <v>0</v>
      </c>
      <c r="F231" s="19">
        <f ca="1">OFFSET('1课程考核方式及成绩组成'!$N$10,(ROW(F231)-5)/7,MOD((ROW(F231)-5),7))</f>
        <v>0</v>
      </c>
      <c r="G231" s="19">
        <f ca="1">OFFSET('1课程考核方式及成绩组成'!$V$10,(ROW(G231)-5)/7,MOD((ROW(G231)-5),7))</f>
        <v>0</v>
      </c>
      <c r="H231" s="19">
        <f ca="1">OFFSET('1课程考核方式及成绩组成'!$AD$10,(ROW(H231)-5)/7,MOD((ROW(H231)-5),7))</f>
        <v>0</v>
      </c>
      <c r="I231" s="19">
        <f ca="1">OFFSET('1课程考核方式及成绩组成'!$AL$10,(ROW(I231)-5)/7,MOD((ROW(I231)-5),7))</f>
        <v>9</v>
      </c>
      <c r="J231" s="25">
        <f ca="1">IF('0信息维护'!$I$97=0,0,E231/('0信息维护'!$I$97)*'0信息维护'!$E$37*'0信息维护'!$S$27)+IF('0信息维护'!$I$98=0,0,F231/('0信息维护'!$I$98)*'0信息维护'!$E$37*'0信息维护'!$T$27)+IF('0信息维护'!$I$99=0,0,G231/('0信息维护'!$I$99)*'0信息维护'!$E$37*'0信息维护'!$U$27)+IF('0信息维护'!$I$100=0,0,H231/('0信息维护'!$I$100)*'0信息维护'!$E$37*'0信息维护'!$V$27)+IF('0信息维护'!$I$101=0,0,I231/'0信息维护'!$I$101*'0信息维护'!$I$37)</f>
        <v>0.264705882352941</v>
      </c>
      <c r="K231" s="27"/>
    </row>
    <row r="232" spans="1:11">
      <c r="A232" s="20"/>
      <c r="B232" s="20"/>
      <c r="C232" s="20"/>
      <c r="D232" s="18" t="str">
        <f>'0信息维护'!A$28</f>
        <v>课程目标4</v>
      </c>
      <c r="E232" s="19">
        <f ca="1">OFFSET('1课程考核方式及成绩组成'!$F$10,(ROW(E232)-5)/7,MOD((ROW(E232)-5),7))</f>
        <v>0</v>
      </c>
      <c r="F232" s="19">
        <f ca="1">OFFSET('1课程考核方式及成绩组成'!$N$10,(ROW(F232)-5)/7,MOD((ROW(F232)-5),7))</f>
        <v>50</v>
      </c>
      <c r="G232" s="19">
        <f ca="1">OFFSET('1课程考核方式及成绩组成'!$V$10,(ROW(G232)-5)/7,MOD((ROW(G232)-5),7))</f>
        <v>0</v>
      </c>
      <c r="H232" s="19">
        <f ca="1">OFFSET('1课程考核方式及成绩组成'!$AD$10,(ROW(H232)-5)/7,MOD((ROW(H232)-5),7))</f>
        <v>0</v>
      </c>
      <c r="I232" s="19">
        <f ca="1">OFFSET('1课程考核方式及成绩组成'!$AL$10,(ROW(I232)-5)/7,MOD((ROW(I232)-5),7))</f>
        <v>0</v>
      </c>
      <c r="J232" s="25">
        <f ca="1">IF('0信息维护'!$I$103=0,0,E232/('0信息维护'!$I$103)*'0信息维护'!$E$38*'0信息维护'!$S$28)+IF('0信息维护'!$I$104=0,0,F232/('0信息维护'!$I$104)*'0信息维护'!$E$38*'0信息维护'!$T$28)+IF('0信息维护'!$I$105=0,0,G232/('0信息维护'!$I$105)*'0信息维护'!$E$38*'0信息维护'!$U$28)+IF('0信息维护'!$I$106=0,0,H232/('0信息维护'!$I$106)*'0信息维护'!$E$38*'0信息维护'!$V$28)+IF('0信息维护'!$I$107=0,0,I232/'0信息维护'!$I$107*'0信息维护'!$I$38)</f>
        <v>0.5</v>
      </c>
      <c r="K232" s="27"/>
    </row>
    <row r="233" spans="1:11">
      <c r="A233" s="20"/>
      <c r="B233" s="20"/>
      <c r="C233" s="20"/>
      <c r="D233" s="18" t="str">
        <f>'0信息维护'!A$29</f>
        <v>课程目标5</v>
      </c>
      <c r="E233" s="19">
        <f ca="1">OFFSET('1课程考核方式及成绩组成'!$F$10,(ROW(E233)-5)/7,MOD((ROW(E233)-5),7))</f>
        <v>0</v>
      </c>
      <c r="F233" s="19">
        <f ca="1">OFFSET('1课程考核方式及成绩组成'!$N$10,(ROW(F233)-5)/7,MOD((ROW(F233)-5),7))</f>
        <v>0</v>
      </c>
      <c r="G233" s="19">
        <f ca="1">OFFSET('1课程考核方式及成绩组成'!$V$10,(ROW(G233)-5)/7,MOD((ROW(G233)-5),7))</f>
        <v>0</v>
      </c>
      <c r="H233" s="19">
        <f ca="1">OFFSET('1课程考核方式及成绩组成'!$AD$10,(ROW(H233)-5)/7,MOD((ROW(H233)-5),7))</f>
        <v>0</v>
      </c>
      <c r="I233" s="19">
        <f ca="1">OFFSET('1课程考核方式及成绩组成'!$AL$10,(ROW(I233)-5)/7,MOD((ROW(I233)-5),7))</f>
        <v>0</v>
      </c>
      <c r="J233" s="25">
        <f ca="1">IF('0信息维护'!$I$109=0,0,E233/('0信息维护'!$I$109)*'0信息维护'!$E$39*'0信息维护'!$S$29)+IF('0信息维护'!$I$110=0,0,F233/('0信息维护'!$I$110)*'0信息维护'!$E$39*'0信息维护'!$T$29)+IF('0信息维护'!$I$111=0,0,G233/('0信息维护'!$I$111)*'0信息维护'!$E$39*'0信息维护'!$U$29)+IF('0信息维护'!$I$112=0,0,H233/('0信息维护'!$I$112)*'0信息维护'!$E$39*'0信息维护'!$V$29)+IF('0信息维护'!$I$113=0,0,I233/'0信息维护'!$I$113*'0信息维护'!$I$39)</f>
        <v>0</v>
      </c>
      <c r="K233" s="27"/>
    </row>
    <row r="234" spans="1:11">
      <c r="A234" s="20"/>
      <c r="B234" s="20"/>
      <c r="C234" s="20"/>
      <c r="D234" s="18" t="str">
        <f>'0信息维护'!A$30</f>
        <v>课程目标6</v>
      </c>
      <c r="E234" s="19">
        <f ca="1">OFFSET('1课程考核方式及成绩组成'!$F$10,(ROW(E234)-5)/7,MOD((ROW(E234)-5),7))</f>
        <v>0</v>
      </c>
      <c r="F234" s="19">
        <f ca="1">OFFSET('1课程考核方式及成绩组成'!$N$10,(ROW(F234)-5)/7,MOD((ROW(F234)-5),7))</f>
        <v>0</v>
      </c>
      <c r="G234" s="19">
        <f ca="1">OFFSET('1课程考核方式及成绩组成'!$V$10,(ROW(G234)-5)/7,MOD((ROW(G234)-5),7))</f>
        <v>0</v>
      </c>
      <c r="H234" s="19">
        <f ca="1">OFFSET('1课程考核方式及成绩组成'!$AD$10,(ROW(H234)-5)/7,MOD((ROW(H234)-5),7))</f>
        <v>0</v>
      </c>
      <c r="I234" s="19">
        <f ca="1">OFFSET('1课程考核方式及成绩组成'!$AL$10,(ROW(I234)-5)/7,MOD((ROW(I234)-5),7))</f>
        <v>0</v>
      </c>
      <c r="J234" s="25">
        <f ca="1">IF('0信息维护'!$I$115=0,0,E234/('0信息维护'!$I$115)*'0信息维护'!$E$40*'0信息维护'!$S$30)+IF('0信息维护'!$I$116=0,0,F234/('0信息维护'!$I$116)*'0信息维护'!$E$40*'0信息维护'!$T$30)+IF('0信息维护'!$I$117=0,0,G234/('0信息维护'!$I$117)*'0信息维护'!$E$40*'0信息维护'!$U$30)+IF('0信息维护'!$I$118=0,0,H234/('0信息维护'!$I$118)*'0信息维护'!$E$40*'0信息维护'!$V$30)+IF('0信息维护'!$I$119=0,0,I234/'0信息维护'!$I$119*'0信息维护'!$I$40)</f>
        <v>0</v>
      </c>
      <c r="K234" s="27"/>
    </row>
    <row r="235" spans="1:11">
      <c r="A235" s="21"/>
      <c r="B235" s="21"/>
      <c r="C235" s="21"/>
      <c r="D235" s="18" t="str">
        <f>'0信息维护'!A$31</f>
        <v>课程目标7</v>
      </c>
      <c r="E235" s="19">
        <f ca="1">OFFSET('1课程考核方式及成绩组成'!$F$10,(ROW(E235)-5)/7,MOD((ROW(E235)-5),7))</f>
        <v>0</v>
      </c>
      <c r="F235" s="19">
        <f ca="1">OFFSET('1课程考核方式及成绩组成'!$N$10,(ROW(F235)-5)/7,MOD((ROW(F235)-5),7))</f>
        <v>0</v>
      </c>
      <c r="G235" s="19">
        <f ca="1">OFFSET('1课程考核方式及成绩组成'!$V$10,(ROW(G235)-5)/7,MOD((ROW(G235)-5),7))</f>
        <v>0</v>
      </c>
      <c r="H235" s="19">
        <f ca="1">OFFSET('1课程考核方式及成绩组成'!$AD$10,(ROW(H235)-5)/7,MOD((ROW(H235)-5),7))</f>
        <v>0</v>
      </c>
      <c r="I235" s="19">
        <f ca="1">OFFSET('1课程考核方式及成绩组成'!$AL$10,(ROW(I235)-5)/7,MOD((ROW(I235)-5),7))</f>
        <v>0</v>
      </c>
      <c r="J235" s="25">
        <f ca="1">IF('0信息维护'!$I$121=0,0,E235/('0信息维护'!$I$121)*'0信息维护'!$E$41*'0信息维护'!$S$31)+IF('0信息维护'!$I$122=0,0,F235/('0信息维护'!$I$122)*'0信息维护'!$E$41*'0信息维护'!$T$31)+IF('0信息维护'!$I$123=0,0,G235/('0信息维护'!$I$123)*'0信息维护'!$E$41*'0信息维护'!$U$31)+IF('0信息维护'!$I$124=0,0,H235/('0信息维护'!$I$124)*'0信息维护'!$E$41*'0信息维护'!$T$31)+IF('0信息维护'!$I$125=0,0,I235/'0信息维护'!$I$125*'0信息维护'!$I$41)</f>
        <v>0</v>
      </c>
      <c r="K235" s="30"/>
    </row>
    <row r="236" spans="1:11">
      <c r="A236" s="17">
        <v>34</v>
      </c>
      <c r="B236" s="17" t="str">
        <f ca="1">OFFSET('1课程考核方式及成绩组成'!$D$10,(ROW(B236)-5)/7,)</f>
        <v>190301033</v>
      </c>
      <c r="C236" s="17" t="str">
        <f ca="1">OFFSET('1课程考核方式及成绩组成'!$E$10,(ROW(C236)-5)/7,)</f>
        <v>邓淳译</v>
      </c>
      <c r="D236" s="18" t="str">
        <f>'0信息维护'!A$25</f>
        <v>课程目标1</v>
      </c>
      <c r="E236" s="19">
        <f ca="1">OFFSET('1课程考核方式及成绩组成'!$F$10,(ROW(E236)-5)/7,MOD((ROW(E236)-5),7))</f>
        <v>40</v>
      </c>
      <c r="F236" s="19">
        <f ca="1">OFFSET('1课程考核方式及成绩组成'!$N$10,(ROW(F236)-5)/7,MOD((ROW(F236)-5),7))</f>
        <v>0</v>
      </c>
      <c r="G236" s="19">
        <f ca="1">OFFSET('1课程考核方式及成绩组成'!$V$10,(ROW(G236)-5)/7,MOD((ROW(G236)-5),7))</f>
        <v>0</v>
      </c>
      <c r="H236" s="19">
        <f ca="1">OFFSET('1课程考核方式及成绩组成'!$AD$10,(ROW(H236)-5)/7,MOD((ROW(H236)-5),7))</f>
        <v>0</v>
      </c>
      <c r="I236" s="19">
        <f ca="1">OFFSET('1课程考核方式及成绩组成'!$AL$10,(ROW(I236)-5)/7,MOD((ROW(I236)-5),7))</f>
        <v>30</v>
      </c>
      <c r="J236" s="25">
        <f ca="1">IF('0信息维护'!$I$85=0,0,E236/('0信息维护'!$I$85)*'0信息维护'!$E$35*'0信息维护'!$S$25)+IF('0信息维护'!$I$86=0,0,F236/('0信息维护'!$I$86)*'0信息维护'!$E$35*'0信息维护'!$T$25)+IF('0信息维护'!$I$87=0,0,G236/('0信息维护'!$I$87)*'0信息维护'!$E$35*'0信息维护'!$U$25)+IF('0信息维护'!$I$88=0,0,H236/('0信息维护'!$I$88)*'0信息维护'!$E$35*'0信息维护'!$V$25)+IF('0信息维护'!$I$89=0,0,I236/'0信息维护'!$I$89*'0信息维护'!$I$35)</f>
        <v>0.916666666666667</v>
      </c>
      <c r="K236" s="26">
        <f ca="1">J236*'0信息维护'!$D$132+J237*'0信息维护'!$D$133+J238*'0信息维护'!$D$134+J239*'0信息维护'!$D$135+J240*'0信息维护'!$D$136+J241*'0信息维护'!$D$137+J242*'0信息维护'!$D$138</f>
        <v>0.7515</v>
      </c>
    </row>
    <row r="237" spans="1:14">
      <c r="A237" s="20"/>
      <c r="B237" s="20"/>
      <c r="C237" s="20"/>
      <c r="D237" s="18" t="str">
        <f>'0信息维护'!A$26</f>
        <v>课程目标2</v>
      </c>
      <c r="E237" s="19">
        <f ca="1">OFFSET('1课程考核方式及成绩组成'!$F$10,(ROW(E237)-5)/7,MOD((ROW(E237)-5),7))</f>
        <v>60</v>
      </c>
      <c r="F237" s="19">
        <f ca="1">OFFSET('1课程考核方式及成绩组成'!$N$10,(ROW(F237)-5)/7,MOD((ROW(F237)-5),7))</f>
        <v>0</v>
      </c>
      <c r="G237" s="19">
        <f ca="1">OFFSET('1课程考核方式及成绩组成'!$V$10,(ROW(G237)-5)/7,MOD((ROW(G237)-5),7))</f>
        <v>0</v>
      </c>
      <c r="H237" s="19">
        <f ca="1">OFFSET('1课程考核方式及成绩组成'!$AD$10,(ROW(H237)-5)/7,MOD((ROW(H237)-5),7))</f>
        <v>0</v>
      </c>
      <c r="I237" s="19">
        <f ca="1">OFFSET('1课程考核方式及成绩组成'!$AL$10,(ROW(I237)-5)/7,MOD((ROW(I237)-5),7))</f>
        <v>15</v>
      </c>
      <c r="J237" s="25">
        <f ca="1">IF('0信息维护'!$I$91=0,0,E237/('0信息维护'!$I$91)*'0信息维护'!$S$26*'0信息维护'!$E$36)+IF('0信息维护'!$I$92=0,0,F237/('0信息维护'!$I$92)*'0信息维护'!$T$26*'0信息维护'!$E$36)+IF('0信息维护'!$I$93=0,0,G237/('0信息维护'!$I$93)*'0信息维护'!$U$26*'0信息维护'!$E$36)+IF('0信息维护'!$I$94=0,0,H237/('0信息维护'!$I$94)*'0信息维护'!$V$26*'0信息维护'!$E$36)+IF('0信息维护'!$I$95=0,0,I237/'0信息维护'!$I$95*'0信息维护'!$I$36)</f>
        <v>0.75</v>
      </c>
      <c r="K237" s="27"/>
      <c r="N237" s="29"/>
    </row>
    <row r="238" spans="1:11">
      <c r="A238" s="20"/>
      <c r="B238" s="20"/>
      <c r="C238" s="20"/>
      <c r="D238" s="18" t="str">
        <f>'0信息维护'!A$27</f>
        <v>课程目标3</v>
      </c>
      <c r="E238" s="19">
        <f ca="1">OFFSET('1课程考核方式及成绩组成'!$F$10,(ROW(E238)-5)/7,MOD((ROW(E238)-5),7))</f>
        <v>0</v>
      </c>
      <c r="F238" s="19">
        <f ca="1">OFFSET('1课程考核方式及成绩组成'!$N$10,(ROW(F238)-5)/7,MOD((ROW(F238)-5),7))</f>
        <v>0</v>
      </c>
      <c r="G238" s="19">
        <f ca="1">OFFSET('1课程考核方式及成绩组成'!$V$10,(ROW(G238)-5)/7,MOD((ROW(G238)-5),7))</f>
        <v>0</v>
      </c>
      <c r="H238" s="19">
        <f ca="1">OFFSET('1课程考核方式及成绩组成'!$AD$10,(ROW(H238)-5)/7,MOD((ROW(H238)-5),7))</f>
        <v>0</v>
      </c>
      <c r="I238" s="19">
        <f ca="1">OFFSET('1课程考核方式及成绩组成'!$AL$10,(ROW(I238)-5)/7,MOD((ROW(I238)-5),7))</f>
        <v>17</v>
      </c>
      <c r="J238" s="25">
        <f ca="1">IF('0信息维护'!$I$97=0,0,E238/('0信息维护'!$I$97)*'0信息维护'!$E$37*'0信息维护'!$S$27)+IF('0信息维护'!$I$98=0,0,F238/('0信息维护'!$I$98)*'0信息维护'!$E$37*'0信息维护'!$T$27)+IF('0信息维护'!$I$99=0,0,G238/('0信息维护'!$I$99)*'0信息维护'!$E$37*'0信息维护'!$U$27)+IF('0信息维护'!$I$100=0,0,H238/('0信息维护'!$I$100)*'0信息维护'!$E$37*'0信息维护'!$V$27)+IF('0信息维护'!$I$101=0,0,I238/'0信息维护'!$I$101*'0信息维护'!$I$37)</f>
        <v>0.5</v>
      </c>
      <c r="K238" s="27"/>
    </row>
    <row r="239" spans="1:11">
      <c r="A239" s="20"/>
      <c r="B239" s="20"/>
      <c r="C239" s="20"/>
      <c r="D239" s="18" t="str">
        <f>'0信息维护'!A$28</f>
        <v>课程目标4</v>
      </c>
      <c r="E239" s="19">
        <f ca="1">OFFSET('1课程考核方式及成绩组成'!$F$10,(ROW(E239)-5)/7,MOD((ROW(E239)-5),7))</f>
        <v>0</v>
      </c>
      <c r="F239" s="19">
        <f ca="1">OFFSET('1课程考核方式及成绩组成'!$N$10,(ROW(F239)-5)/7,MOD((ROW(F239)-5),7))</f>
        <v>88</v>
      </c>
      <c r="G239" s="19">
        <f ca="1">OFFSET('1课程考核方式及成绩组成'!$V$10,(ROW(G239)-5)/7,MOD((ROW(G239)-5),7))</f>
        <v>0</v>
      </c>
      <c r="H239" s="19">
        <f ca="1">OFFSET('1课程考核方式及成绩组成'!$AD$10,(ROW(H239)-5)/7,MOD((ROW(H239)-5),7))</f>
        <v>0</v>
      </c>
      <c r="I239" s="19">
        <f ca="1">OFFSET('1课程考核方式及成绩组成'!$AL$10,(ROW(I239)-5)/7,MOD((ROW(I239)-5),7))</f>
        <v>0</v>
      </c>
      <c r="J239" s="25">
        <f ca="1">IF('0信息维护'!$I$103=0,0,E239/('0信息维护'!$I$103)*'0信息维护'!$E$38*'0信息维护'!$S$28)+IF('0信息维护'!$I$104=0,0,F239/('0信息维护'!$I$104)*'0信息维护'!$E$38*'0信息维护'!$T$28)+IF('0信息维护'!$I$105=0,0,G239/('0信息维护'!$I$105)*'0信息维护'!$E$38*'0信息维护'!$U$28)+IF('0信息维护'!$I$106=0,0,H239/('0信息维护'!$I$106)*'0信息维护'!$E$38*'0信息维护'!$V$28)+IF('0信息维护'!$I$107=0,0,I239/'0信息维护'!$I$107*'0信息维护'!$I$38)</f>
        <v>0.88</v>
      </c>
      <c r="K239" s="27"/>
    </row>
    <row r="240" spans="1:11">
      <c r="A240" s="20"/>
      <c r="B240" s="20"/>
      <c r="C240" s="20"/>
      <c r="D240" s="18" t="str">
        <f>'0信息维护'!A$29</f>
        <v>课程目标5</v>
      </c>
      <c r="E240" s="19">
        <f ca="1">OFFSET('1课程考核方式及成绩组成'!$F$10,(ROW(E240)-5)/7,MOD((ROW(E240)-5),7))</f>
        <v>0</v>
      </c>
      <c r="F240" s="19">
        <f ca="1">OFFSET('1课程考核方式及成绩组成'!$N$10,(ROW(F240)-5)/7,MOD((ROW(F240)-5),7))</f>
        <v>0</v>
      </c>
      <c r="G240" s="19">
        <f ca="1">OFFSET('1课程考核方式及成绩组成'!$V$10,(ROW(G240)-5)/7,MOD((ROW(G240)-5),7))</f>
        <v>0</v>
      </c>
      <c r="H240" s="19">
        <f ca="1">OFFSET('1课程考核方式及成绩组成'!$AD$10,(ROW(H240)-5)/7,MOD((ROW(H240)-5),7))</f>
        <v>0</v>
      </c>
      <c r="I240" s="19">
        <f ca="1">OFFSET('1课程考核方式及成绩组成'!$AL$10,(ROW(I240)-5)/7,MOD((ROW(I240)-5),7))</f>
        <v>0</v>
      </c>
      <c r="J240" s="25">
        <f ca="1">IF('0信息维护'!$I$109=0,0,E240/('0信息维护'!$I$109)*'0信息维护'!$E$39*'0信息维护'!$S$29)+IF('0信息维护'!$I$110=0,0,F240/('0信息维护'!$I$110)*'0信息维护'!$E$39*'0信息维护'!$T$29)+IF('0信息维护'!$I$111=0,0,G240/('0信息维护'!$I$111)*'0信息维护'!$E$39*'0信息维护'!$U$29)+IF('0信息维护'!$I$112=0,0,H240/('0信息维护'!$I$112)*'0信息维护'!$E$39*'0信息维护'!$V$29)+IF('0信息维护'!$I$113=0,0,I240/'0信息维护'!$I$113*'0信息维护'!$I$39)</f>
        <v>0</v>
      </c>
      <c r="K240" s="27"/>
    </row>
    <row r="241" spans="1:11">
      <c r="A241" s="20"/>
      <c r="B241" s="20"/>
      <c r="C241" s="20"/>
      <c r="D241" s="18" t="str">
        <f>'0信息维护'!A$30</f>
        <v>课程目标6</v>
      </c>
      <c r="E241" s="19">
        <f ca="1">OFFSET('1课程考核方式及成绩组成'!$F$10,(ROW(E241)-5)/7,MOD((ROW(E241)-5),7))</f>
        <v>0</v>
      </c>
      <c r="F241" s="19">
        <f ca="1">OFFSET('1课程考核方式及成绩组成'!$N$10,(ROW(F241)-5)/7,MOD((ROW(F241)-5),7))</f>
        <v>0</v>
      </c>
      <c r="G241" s="19">
        <f ca="1">OFFSET('1课程考核方式及成绩组成'!$V$10,(ROW(G241)-5)/7,MOD((ROW(G241)-5),7))</f>
        <v>0</v>
      </c>
      <c r="H241" s="19">
        <f ca="1">OFFSET('1课程考核方式及成绩组成'!$AD$10,(ROW(H241)-5)/7,MOD((ROW(H241)-5),7))</f>
        <v>0</v>
      </c>
      <c r="I241" s="19">
        <f ca="1">OFFSET('1课程考核方式及成绩组成'!$AL$10,(ROW(I241)-5)/7,MOD((ROW(I241)-5),7))</f>
        <v>0</v>
      </c>
      <c r="J241" s="25">
        <f ca="1">IF('0信息维护'!$I$115=0,0,E241/('0信息维护'!$I$115)*'0信息维护'!$E$40*'0信息维护'!$S$30)+IF('0信息维护'!$I$116=0,0,F241/('0信息维护'!$I$116)*'0信息维护'!$E$40*'0信息维护'!$T$30)+IF('0信息维护'!$I$117=0,0,G241/('0信息维护'!$I$117)*'0信息维护'!$E$40*'0信息维护'!$U$30)+IF('0信息维护'!$I$118=0,0,H241/('0信息维护'!$I$118)*'0信息维护'!$E$40*'0信息维护'!$V$30)+IF('0信息维护'!$I$119=0,0,I241/'0信息维护'!$I$119*'0信息维护'!$I$40)</f>
        <v>0</v>
      </c>
      <c r="K241" s="27"/>
    </row>
    <row r="242" spans="1:11">
      <c r="A242" s="21"/>
      <c r="B242" s="21"/>
      <c r="C242" s="21"/>
      <c r="D242" s="18" t="str">
        <f>'0信息维护'!A$31</f>
        <v>课程目标7</v>
      </c>
      <c r="E242" s="19">
        <f ca="1">OFFSET('1课程考核方式及成绩组成'!$F$10,(ROW(E242)-5)/7,MOD((ROW(E242)-5),7))</f>
        <v>0</v>
      </c>
      <c r="F242" s="19">
        <f ca="1">OFFSET('1课程考核方式及成绩组成'!$N$10,(ROW(F242)-5)/7,MOD((ROW(F242)-5),7))</f>
        <v>0</v>
      </c>
      <c r="G242" s="19">
        <f ca="1">OFFSET('1课程考核方式及成绩组成'!$V$10,(ROW(G242)-5)/7,MOD((ROW(G242)-5),7))</f>
        <v>0</v>
      </c>
      <c r="H242" s="19">
        <f ca="1">OFFSET('1课程考核方式及成绩组成'!$AD$10,(ROW(H242)-5)/7,MOD((ROW(H242)-5),7))</f>
        <v>0</v>
      </c>
      <c r="I242" s="19">
        <f ca="1">OFFSET('1课程考核方式及成绩组成'!$AL$10,(ROW(I242)-5)/7,MOD((ROW(I242)-5),7))</f>
        <v>0</v>
      </c>
      <c r="J242" s="25">
        <f ca="1">IF('0信息维护'!$I$121=0,0,E242/('0信息维护'!$I$121)*'0信息维护'!$E$41*'0信息维护'!$S$31)+IF('0信息维护'!$I$122=0,0,F242/('0信息维护'!$I$122)*'0信息维护'!$E$41*'0信息维护'!$T$31)+IF('0信息维护'!$I$123=0,0,G242/('0信息维护'!$I$123)*'0信息维护'!$E$41*'0信息维护'!$U$31)+IF('0信息维护'!$I$124=0,0,H242/('0信息维护'!$I$124)*'0信息维护'!$E$41*'0信息维护'!$T$31)+IF('0信息维护'!$I$125=0,0,I242/'0信息维护'!$I$125*'0信息维护'!$I$41)</f>
        <v>0</v>
      </c>
      <c r="K242" s="30"/>
    </row>
    <row r="243" spans="1:11">
      <c r="A243" s="17">
        <v>35</v>
      </c>
      <c r="B243" s="17" t="str">
        <f ca="1">OFFSET('1课程考核方式及成绩组成'!$D$10,(ROW(B243)-5)/7,)</f>
        <v>190301034</v>
      </c>
      <c r="C243" s="17" t="str">
        <f ca="1">OFFSET('1课程考核方式及成绩组成'!$E$10,(ROW(C243)-5)/7,)</f>
        <v>郑伟</v>
      </c>
      <c r="D243" s="18" t="str">
        <f>'0信息维护'!A$25</f>
        <v>课程目标1</v>
      </c>
      <c r="E243" s="19">
        <f ca="1">OFFSET('1课程考核方式及成绩组成'!$F$10,(ROW(E243)-5)/7,MOD((ROW(E243)-5),7))</f>
        <v>40</v>
      </c>
      <c r="F243" s="19">
        <f ca="1">OFFSET('1课程考核方式及成绩组成'!$N$10,(ROW(F243)-5)/7,MOD((ROW(F243)-5),7))</f>
        <v>0</v>
      </c>
      <c r="G243" s="19">
        <f ca="1">OFFSET('1课程考核方式及成绩组成'!$V$10,(ROW(G243)-5)/7,MOD((ROW(G243)-5),7))</f>
        <v>0</v>
      </c>
      <c r="H243" s="19">
        <f ca="1">OFFSET('1课程考核方式及成绩组成'!$AD$10,(ROW(H243)-5)/7,MOD((ROW(H243)-5),7))</f>
        <v>0</v>
      </c>
      <c r="I243" s="19">
        <f ca="1">OFFSET('1课程考核方式及成绩组成'!$AL$10,(ROW(I243)-5)/7,MOD((ROW(I243)-5),7))</f>
        <v>34</v>
      </c>
      <c r="J243" s="25">
        <f ca="1">IF('0信息维护'!$I$85=0,0,E243/('0信息维护'!$I$85)*'0信息维护'!$E$35*'0信息维护'!$S$25)+IF('0信息维护'!$I$86=0,0,F243/('0信息维护'!$I$86)*'0信息维护'!$E$35*'0信息维护'!$T$25)+IF('0信息维护'!$I$87=0,0,G243/('0信息维护'!$I$87)*'0信息维护'!$E$35*'0信息维护'!$U$25)+IF('0信息维护'!$I$88=0,0,H243/('0信息维护'!$I$88)*'0信息维护'!$E$35*'0信息维护'!$V$25)+IF('0信息维护'!$I$89=0,0,I243/'0信息维护'!$I$89*'0信息维护'!$I$35)</f>
        <v>0.972222222222222</v>
      </c>
      <c r="K243" s="26">
        <f ca="1">J243*'0信息维护'!$D$132+J244*'0信息维护'!$D$133+J245*'0信息维护'!$D$134+J246*'0信息维护'!$D$135+J247*'0信息维护'!$D$136+J248*'0信息维护'!$D$137+J249*'0信息维护'!$D$138</f>
        <v>0.832009803921569</v>
      </c>
    </row>
    <row r="244" spans="1:14">
      <c r="A244" s="20"/>
      <c r="B244" s="20"/>
      <c r="C244" s="20"/>
      <c r="D244" s="18" t="str">
        <f>'0信息维护'!A$26</f>
        <v>课程目标2</v>
      </c>
      <c r="E244" s="19">
        <f ca="1">OFFSET('1课程考核方式及成绩组成'!$F$10,(ROW(E244)-5)/7,MOD((ROW(E244)-5),7))</f>
        <v>60</v>
      </c>
      <c r="F244" s="19">
        <f ca="1">OFFSET('1课程考核方式及成绩组成'!$N$10,(ROW(F244)-5)/7,MOD((ROW(F244)-5),7))</f>
        <v>0</v>
      </c>
      <c r="G244" s="19">
        <f ca="1">OFFSET('1课程考核方式及成绩组成'!$V$10,(ROW(G244)-5)/7,MOD((ROW(G244)-5),7))</f>
        <v>0</v>
      </c>
      <c r="H244" s="19">
        <f ca="1">OFFSET('1课程考核方式及成绩组成'!$AD$10,(ROW(H244)-5)/7,MOD((ROW(H244)-5),7))</f>
        <v>0</v>
      </c>
      <c r="I244" s="19">
        <f ca="1">OFFSET('1课程考核方式及成绩组成'!$AL$10,(ROW(I244)-5)/7,MOD((ROW(I244)-5),7))</f>
        <v>27</v>
      </c>
      <c r="J244" s="25">
        <f ca="1">IF('0信息维护'!$I$91=0,0,E244/('0信息维护'!$I$91)*'0信息维护'!$S$26*'0信息维护'!$E$36)+IF('0信息维护'!$I$92=0,0,F244/('0信息维护'!$I$92)*'0信息维护'!$T$26*'0信息维护'!$E$36)+IF('0信息维护'!$I$93=0,0,G244/('0信息维护'!$I$93)*'0信息维护'!$U$26*'0信息维护'!$E$36)+IF('0信息维护'!$I$94=0,0,H244/('0信息维护'!$I$94)*'0信息维护'!$V$26*'0信息维护'!$E$36)+IF('0信息维护'!$I$95=0,0,I244/'0信息维护'!$I$95*'0信息维护'!$I$36)</f>
        <v>0.95</v>
      </c>
      <c r="K244" s="27"/>
      <c r="N244" s="29"/>
    </row>
    <row r="245" spans="1:11">
      <c r="A245" s="20"/>
      <c r="B245" s="20"/>
      <c r="C245" s="20"/>
      <c r="D245" s="18" t="str">
        <f>'0信息维护'!A$27</f>
        <v>课程目标3</v>
      </c>
      <c r="E245" s="19">
        <f ca="1">OFFSET('1课程考核方式及成绩组成'!$F$10,(ROW(E245)-5)/7,MOD((ROW(E245)-5),7))</f>
        <v>0</v>
      </c>
      <c r="F245" s="19">
        <f ca="1">OFFSET('1课程考核方式及成绩组成'!$N$10,(ROW(F245)-5)/7,MOD((ROW(F245)-5),7))</f>
        <v>0</v>
      </c>
      <c r="G245" s="19">
        <f ca="1">OFFSET('1课程考核方式及成绩组成'!$V$10,(ROW(G245)-5)/7,MOD((ROW(G245)-5),7))</f>
        <v>0</v>
      </c>
      <c r="H245" s="19">
        <f ca="1">OFFSET('1课程考核方式及成绩组成'!$AD$10,(ROW(H245)-5)/7,MOD((ROW(H245)-5),7))</f>
        <v>0</v>
      </c>
      <c r="I245" s="19">
        <f ca="1">OFFSET('1课程考核方式及成绩组成'!$AL$10,(ROW(I245)-5)/7,MOD((ROW(I245)-5),7))</f>
        <v>26</v>
      </c>
      <c r="J245" s="25">
        <f ca="1">IF('0信息维护'!$I$97=0,0,E245/('0信息维护'!$I$97)*'0信息维护'!$E$37*'0信息维护'!$S$27)+IF('0信息维护'!$I$98=0,0,F245/('0信息维护'!$I$98)*'0信息维护'!$E$37*'0信息维护'!$T$27)+IF('0信息维护'!$I$99=0,0,G245/('0信息维护'!$I$99)*'0信息维护'!$E$37*'0信息维护'!$U$27)+IF('0信息维护'!$I$100=0,0,H245/('0信息维护'!$I$100)*'0信息维护'!$E$37*'0信息维护'!$V$27)+IF('0信息维护'!$I$101=0,0,I245/'0信息维护'!$I$101*'0信息维护'!$I$37)</f>
        <v>0.764705882352941</v>
      </c>
      <c r="K245" s="27"/>
    </row>
    <row r="246" spans="1:11">
      <c r="A246" s="20"/>
      <c r="B246" s="20"/>
      <c r="C246" s="20"/>
      <c r="D246" s="18" t="str">
        <f>'0信息维护'!A$28</f>
        <v>课程目标4</v>
      </c>
      <c r="E246" s="19">
        <f ca="1">OFFSET('1课程考核方式及成绩组成'!$F$10,(ROW(E246)-5)/7,MOD((ROW(E246)-5),7))</f>
        <v>0</v>
      </c>
      <c r="F246" s="19">
        <f ca="1">OFFSET('1课程考核方式及成绩组成'!$N$10,(ROW(F246)-5)/7,MOD((ROW(F246)-5),7))</f>
        <v>70</v>
      </c>
      <c r="G246" s="19">
        <f ca="1">OFFSET('1课程考核方式及成绩组成'!$V$10,(ROW(G246)-5)/7,MOD((ROW(G246)-5),7))</f>
        <v>0</v>
      </c>
      <c r="H246" s="19">
        <f ca="1">OFFSET('1课程考核方式及成绩组成'!$AD$10,(ROW(H246)-5)/7,MOD((ROW(H246)-5),7))</f>
        <v>0</v>
      </c>
      <c r="I246" s="19">
        <f ca="1">OFFSET('1课程考核方式及成绩组成'!$AL$10,(ROW(I246)-5)/7,MOD((ROW(I246)-5),7))</f>
        <v>0</v>
      </c>
      <c r="J246" s="25">
        <f ca="1">IF('0信息维护'!$I$103=0,0,E246/('0信息维护'!$I$103)*'0信息维护'!$E$38*'0信息维护'!$S$28)+IF('0信息维护'!$I$104=0,0,F246/('0信息维护'!$I$104)*'0信息维护'!$E$38*'0信息维护'!$T$28)+IF('0信息维护'!$I$105=0,0,G246/('0信息维护'!$I$105)*'0信息维护'!$E$38*'0信息维护'!$U$28)+IF('0信息维护'!$I$106=0,0,H246/('0信息维护'!$I$106)*'0信息维护'!$E$38*'0信息维护'!$V$28)+IF('0信息维护'!$I$107=0,0,I246/'0信息维护'!$I$107*'0信息维护'!$I$38)</f>
        <v>0.7</v>
      </c>
      <c r="K246" s="27"/>
    </row>
    <row r="247" spans="1:11">
      <c r="A247" s="20"/>
      <c r="B247" s="20"/>
      <c r="C247" s="20"/>
      <c r="D247" s="18" t="str">
        <f>'0信息维护'!A$29</f>
        <v>课程目标5</v>
      </c>
      <c r="E247" s="19">
        <f ca="1">OFFSET('1课程考核方式及成绩组成'!$F$10,(ROW(E247)-5)/7,MOD((ROW(E247)-5),7))</f>
        <v>0</v>
      </c>
      <c r="F247" s="19">
        <f ca="1">OFFSET('1课程考核方式及成绩组成'!$N$10,(ROW(F247)-5)/7,MOD((ROW(F247)-5),7))</f>
        <v>0</v>
      </c>
      <c r="G247" s="19">
        <f ca="1">OFFSET('1课程考核方式及成绩组成'!$V$10,(ROW(G247)-5)/7,MOD((ROW(G247)-5),7))</f>
        <v>0</v>
      </c>
      <c r="H247" s="19">
        <f ca="1">OFFSET('1课程考核方式及成绩组成'!$AD$10,(ROW(H247)-5)/7,MOD((ROW(H247)-5),7))</f>
        <v>0</v>
      </c>
      <c r="I247" s="19">
        <f ca="1">OFFSET('1课程考核方式及成绩组成'!$AL$10,(ROW(I247)-5)/7,MOD((ROW(I247)-5),7))</f>
        <v>0</v>
      </c>
      <c r="J247" s="25">
        <f ca="1">IF('0信息维护'!$I$109=0,0,E247/('0信息维护'!$I$109)*'0信息维护'!$E$39*'0信息维护'!$S$29)+IF('0信息维护'!$I$110=0,0,F247/('0信息维护'!$I$110)*'0信息维护'!$E$39*'0信息维护'!$T$29)+IF('0信息维护'!$I$111=0,0,G247/('0信息维护'!$I$111)*'0信息维护'!$E$39*'0信息维护'!$U$29)+IF('0信息维护'!$I$112=0,0,H247/('0信息维护'!$I$112)*'0信息维护'!$E$39*'0信息维护'!$V$29)+IF('0信息维护'!$I$113=0,0,I247/'0信息维护'!$I$113*'0信息维护'!$I$39)</f>
        <v>0</v>
      </c>
      <c r="K247" s="27"/>
    </row>
    <row r="248" spans="1:11">
      <c r="A248" s="20"/>
      <c r="B248" s="20"/>
      <c r="C248" s="20"/>
      <c r="D248" s="18" t="str">
        <f>'0信息维护'!A$30</f>
        <v>课程目标6</v>
      </c>
      <c r="E248" s="19">
        <f ca="1">OFFSET('1课程考核方式及成绩组成'!$F$10,(ROW(E248)-5)/7,MOD((ROW(E248)-5),7))</f>
        <v>0</v>
      </c>
      <c r="F248" s="19">
        <f ca="1">OFFSET('1课程考核方式及成绩组成'!$N$10,(ROW(F248)-5)/7,MOD((ROW(F248)-5),7))</f>
        <v>0</v>
      </c>
      <c r="G248" s="19">
        <f ca="1">OFFSET('1课程考核方式及成绩组成'!$V$10,(ROW(G248)-5)/7,MOD((ROW(G248)-5),7))</f>
        <v>0</v>
      </c>
      <c r="H248" s="19">
        <f ca="1">OFFSET('1课程考核方式及成绩组成'!$AD$10,(ROW(H248)-5)/7,MOD((ROW(H248)-5),7))</f>
        <v>0</v>
      </c>
      <c r="I248" s="19">
        <f ca="1">OFFSET('1课程考核方式及成绩组成'!$AL$10,(ROW(I248)-5)/7,MOD((ROW(I248)-5),7))</f>
        <v>0</v>
      </c>
      <c r="J248" s="25">
        <f ca="1">IF('0信息维护'!$I$115=0,0,E248/('0信息维护'!$I$115)*'0信息维护'!$E$40*'0信息维护'!$S$30)+IF('0信息维护'!$I$116=0,0,F248/('0信息维护'!$I$116)*'0信息维护'!$E$40*'0信息维护'!$T$30)+IF('0信息维护'!$I$117=0,0,G248/('0信息维护'!$I$117)*'0信息维护'!$E$40*'0信息维护'!$U$30)+IF('0信息维护'!$I$118=0,0,H248/('0信息维护'!$I$118)*'0信息维护'!$E$40*'0信息维护'!$V$30)+IF('0信息维护'!$I$119=0,0,I248/'0信息维护'!$I$119*'0信息维护'!$I$40)</f>
        <v>0</v>
      </c>
      <c r="K248" s="27"/>
    </row>
    <row r="249" spans="1:11">
      <c r="A249" s="21"/>
      <c r="B249" s="21"/>
      <c r="C249" s="21"/>
      <c r="D249" s="18" t="str">
        <f>'0信息维护'!A$31</f>
        <v>课程目标7</v>
      </c>
      <c r="E249" s="19">
        <f ca="1">OFFSET('1课程考核方式及成绩组成'!$F$10,(ROW(E249)-5)/7,MOD((ROW(E249)-5),7))</f>
        <v>0</v>
      </c>
      <c r="F249" s="19">
        <f ca="1">OFFSET('1课程考核方式及成绩组成'!$N$10,(ROW(F249)-5)/7,MOD((ROW(F249)-5),7))</f>
        <v>0</v>
      </c>
      <c r="G249" s="19">
        <f ca="1">OFFSET('1课程考核方式及成绩组成'!$V$10,(ROW(G249)-5)/7,MOD((ROW(G249)-5),7))</f>
        <v>0</v>
      </c>
      <c r="H249" s="19">
        <f ca="1">OFFSET('1课程考核方式及成绩组成'!$AD$10,(ROW(H249)-5)/7,MOD((ROW(H249)-5),7))</f>
        <v>0</v>
      </c>
      <c r="I249" s="19">
        <f ca="1">OFFSET('1课程考核方式及成绩组成'!$AL$10,(ROW(I249)-5)/7,MOD((ROW(I249)-5),7))</f>
        <v>0</v>
      </c>
      <c r="J249" s="25">
        <f ca="1">IF('0信息维护'!$I$121=0,0,E249/('0信息维护'!$I$121)*'0信息维护'!$E$41*'0信息维护'!$S$31)+IF('0信息维护'!$I$122=0,0,F249/('0信息维护'!$I$122)*'0信息维护'!$E$41*'0信息维护'!$T$31)+IF('0信息维护'!$I$123=0,0,G249/('0信息维护'!$I$123)*'0信息维护'!$E$41*'0信息维护'!$U$31)+IF('0信息维护'!$I$124=0,0,H249/('0信息维护'!$I$124)*'0信息维护'!$E$41*'0信息维护'!$T$31)+IF('0信息维护'!$I$125=0,0,I249/'0信息维护'!$I$125*'0信息维护'!$I$41)</f>
        <v>0</v>
      </c>
      <c r="K249" s="30"/>
    </row>
    <row r="250" spans="1:11">
      <c r="A250" s="17">
        <v>36</v>
      </c>
      <c r="B250" s="17" t="str">
        <f ca="1">OFFSET('1课程考核方式及成绩组成'!$D$10,(ROW(B250)-5)/7,)</f>
        <v>190301035</v>
      </c>
      <c r="C250" s="17" t="str">
        <f ca="1">OFFSET('1课程考核方式及成绩组成'!$E$10,(ROW(C250)-5)/7,)</f>
        <v>于涛</v>
      </c>
      <c r="D250" s="18" t="str">
        <f>'0信息维护'!A$25</f>
        <v>课程目标1</v>
      </c>
      <c r="E250" s="19">
        <f ca="1">OFFSET('1课程考核方式及成绩组成'!$F$10,(ROW(E250)-5)/7,MOD((ROW(E250)-5),7))</f>
        <v>40</v>
      </c>
      <c r="F250" s="19">
        <f ca="1">OFFSET('1课程考核方式及成绩组成'!$N$10,(ROW(F250)-5)/7,MOD((ROW(F250)-5),7))</f>
        <v>0</v>
      </c>
      <c r="G250" s="19">
        <f ca="1">OFFSET('1课程考核方式及成绩组成'!$V$10,(ROW(G250)-5)/7,MOD((ROW(G250)-5),7))</f>
        <v>0</v>
      </c>
      <c r="H250" s="19">
        <f ca="1">OFFSET('1课程考核方式及成绩组成'!$AD$10,(ROW(H250)-5)/7,MOD((ROW(H250)-5),7))</f>
        <v>0</v>
      </c>
      <c r="I250" s="19">
        <f ca="1">OFFSET('1课程考核方式及成绩组成'!$AL$10,(ROW(I250)-5)/7,MOD((ROW(I250)-5),7))</f>
        <v>36</v>
      </c>
      <c r="J250" s="25">
        <f ca="1">IF('0信息维护'!$I$85=0,0,E250/('0信息维护'!$I$85)*'0信息维护'!$E$35*'0信息维护'!$S$25)+IF('0信息维护'!$I$86=0,0,F250/('0信息维护'!$I$86)*'0信息维护'!$E$35*'0信息维护'!$T$25)+IF('0信息维护'!$I$87=0,0,G250/('0信息维护'!$I$87)*'0信息维护'!$E$35*'0信息维护'!$U$25)+IF('0信息维护'!$I$88=0,0,H250/('0信息维护'!$I$88)*'0信息维护'!$E$35*'0信息维护'!$V$25)+IF('0信息维护'!$I$89=0,0,I250/'0信息维护'!$I$89*'0信息维护'!$I$35)</f>
        <v>1</v>
      </c>
      <c r="K250" s="26">
        <f ca="1">J250*'0信息维护'!$D$132+J251*'0信息维护'!$D$133+J252*'0信息维护'!$D$134+J253*'0信息维护'!$D$135+J254*'0信息维护'!$D$136+J255*'0信息维护'!$D$137+J256*'0信息维护'!$D$138</f>
        <v>0.842176470588235</v>
      </c>
    </row>
    <row r="251" spans="1:14">
      <c r="A251" s="20"/>
      <c r="B251" s="20"/>
      <c r="C251" s="20"/>
      <c r="D251" s="18" t="str">
        <f>'0信息维护'!A$26</f>
        <v>课程目标2</v>
      </c>
      <c r="E251" s="19">
        <f ca="1">OFFSET('1课程考核方式及成绩组成'!$F$10,(ROW(E251)-5)/7,MOD((ROW(E251)-5),7))</f>
        <v>60</v>
      </c>
      <c r="F251" s="19">
        <f ca="1">OFFSET('1课程考核方式及成绩组成'!$N$10,(ROW(F251)-5)/7,MOD((ROW(F251)-5),7))</f>
        <v>0</v>
      </c>
      <c r="G251" s="19">
        <f ca="1">OFFSET('1课程考核方式及成绩组成'!$V$10,(ROW(G251)-5)/7,MOD((ROW(G251)-5),7))</f>
        <v>0</v>
      </c>
      <c r="H251" s="19">
        <f ca="1">OFFSET('1课程考核方式及成绩组成'!$AD$10,(ROW(H251)-5)/7,MOD((ROW(H251)-5),7))</f>
        <v>0</v>
      </c>
      <c r="I251" s="19">
        <f ca="1">OFFSET('1课程考核方式及成绩组成'!$AL$10,(ROW(I251)-5)/7,MOD((ROW(I251)-5),7))</f>
        <v>24</v>
      </c>
      <c r="J251" s="25">
        <f ca="1">IF('0信息维护'!$I$91=0,0,E251/('0信息维护'!$I$91)*'0信息维护'!$S$26*'0信息维护'!$E$36)+IF('0信息维护'!$I$92=0,0,F251/('0信息维护'!$I$92)*'0信息维护'!$T$26*'0信息维护'!$E$36)+IF('0信息维护'!$I$93=0,0,G251/('0信息维护'!$I$93)*'0信息维护'!$U$26*'0信息维护'!$E$36)+IF('0信息维护'!$I$94=0,0,H251/('0信息维护'!$I$94)*'0信息维护'!$V$26*'0信息维护'!$E$36)+IF('0信息维护'!$I$95=0,0,I251/'0信息维护'!$I$95*'0信息维护'!$I$36)</f>
        <v>0.9</v>
      </c>
      <c r="K251" s="27"/>
      <c r="N251" s="29"/>
    </row>
    <row r="252" spans="1:11">
      <c r="A252" s="20"/>
      <c r="B252" s="20"/>
      <c r="C252" s="20"/>
      <c r="D252" s="18" t="str">
        <f>'0信息维护'!A$27</f>
        <v>课程目标3</v>
      </c>
      <c r="E252" s="19">
        <f ca="1">OFFSET('1课程考核方式及成绩组成'!$F$10,(ROW(E252)-5)/7,MOD((ROW(E252)-5),7))</f>
        <v>0</v>
      </c>
      <c r="F252" s="19">
        <f ca="1">OFFSET('1课程考核方式及成绩组成'!$N$10,(ROW(F252)-5)/7,MOD((ROW(F252)-5),7))</f>
        <v>0</v>
      </c>
      <c r="G252" s="19">
        <f ca="1">OFFSET('1课程考核方式及成绩组成'!$V$10,(ROW(G252)-5)/7,MOD((ROW(G252)-5),7))</f>
        <v>0</v>
      </c>
      <c r="H252" s="19">
        <f ca="1">OFFSET('1课程考核方式及成绩组成'!$AD$10,(ROW(H252)-5)/7,MOD((ROW(H252)-5),7))</f>
        <v>0</v>
      </c>
      <c r="I252" s="19">
        <f ca="1">OFFSET('1课程考核方式及成绩组成'!$AL$10,(ROW(I252)-5)/7,MOD((ROW(I252)-5),7))</f>
        <v>26</v>
      </c>
      <c r="J252" s="25">
        <f ca="1">IF('0信息维护'!$I$97=0,0,E252/('0信息维护'!$I$97)*'0信息维护'!$E$37*'0信息维护'!$S$27)+IF('0信息维护'!$I$98=0,0,F252/('0信息维护'!$I$98)*'0信息维护'!$E$37*'0信息维护'!$T$27)+IF('0信息维护'!$I$99=0,0,G252/('0信息维护'!$I$99)*'0信息维护'!$E$37*'0信息维护'!$U$27)+IF('0信息维护'!$I$100=0,0,H252/('0信息维护'!$I$100)*'0信息维护'!$E$37*'0信息维护'!$V$27)+IF('0信息维护'!$I$101=0,0,I252/'0信息维护'!$I$101*'0信息维护'!$I$37)</f>
        <v>0.764705882352941</v>
      </c>
      <c r="K252" s="27"/>
    </row>
    <row r="253" spans="1:11">
      <c r="A253" s="20"/>
      <c r="B253" s="20"/>
      <c r="C253" s="20"/>
      <c r="D253" s="18" t="str">
        <f>'0信息维护'!A$28</f>
        <v>课程目标4</v>
      </c>
      <c r="E253" s="19">
        <f ca="1">OFFSET('1课程考核方式及成绩组成'!$F$10,(ROW(E253)-5)/7,MOD((ROW(E253)-5),7))</f>
        <v>0</v>
      </c>
      <c r="F253" s="19">
        <f ca="1">OFFSET('1课程考核方式及成绩组成'!$N$10,(ROW(F253)-5)/7,MOD((ROW(F253)-5),7))</f>
        <v>77</v>
      </c>
      <c r="G253" s="19">
        <f ca="1">OFFSET('1课程考核方式及成绩组成'!$V$10,(ROW(G253)-5)/7,MOD((ROW(G253)-5),7))</f>
        <v>0</v>
      </c>
      <c r="H253" s="19">
        <f ca="1">OFFSET('1课程考核方式及成绩组成'!$AD$10,(ROW(H253)-5)/7,MOD((ROW(H253)-5),7))</f>
        <v>0</v>
      </c>
      <c r="I253" s="19">
        <f ca="1">OFFSET('1课程考核方式及成绩组成'!$AL$10,(ROW(I253)-5)/7,MOD((ROW(I253)-5),7))</f>
        <v>0</v>
      </c>
      <c r="J253" s="25">
        <f ca="1">IF('0信息维护'!$I$103=0,0,E253/('0信息维护'!$I$103)*'0信息维护'!$E$38*'0信息维护'!$S$28)+IF('0信息维护'!$I$104=0,0,F253/('0信息维护'!$I$104)*'0信息维护'!$E$38*'0信息维护'!$T$28)+IF('0信息维护'!$I$105=0,0,G253/('0信息维护'!$I$105)*'0信息维护'!$E$38*'0信息维护'!$U$28)+IF('0信息维护'!$I$106=0,0,H253/('0信息维护'!$I$106)*'0信息维护'!$E$38*'0信息维护'!$V$28)+IF('0信息维护'!$I$107=0,0,I253/'0信息维护'!$I$107*'0信息维护'!$I$38)</f>
        <v>0.77</v>
      </c>
      <c r="K253" s="27"/>
    </row>
    <row r="254" spans="1:11">
      <c r="A254" s="20"/>
      <c r="B254" s="20"/>
      <c r="C254" s="20"/>
      <c r="D254" s="18" t="str">
        <f>'0信息维护'!A$29</f>
        <v>课程目标5</v>
      </c>
      <c r="E254" s="19">
        <f ca="1">OFFSET('1课程考核方式及成绩组成'!$F$10,(ROW(E254)-5)/7,MOD((ROW(E254)-5),7))</f>
        <v>0</v>
      </c>
      <c r="F254" s="19">
        <f ca="1">OFFSET('1课程考核方式及成绩组成'!$N$10,(ROW(F254)-5)/7,MOD((ROW(F254)-5),7))</f>
        <v>0</v>
      </c>
      <c r="G254" s="19">
        <f ca="1">OFFSET('1课程考核方式及成绩组成'!$V$10,(ROW(G254)-5)/7,MOD((ROW(G254)-5),7))</f>
        <v>0</v>
      </c>
      <c r="H254" s="19">
        <f ca="1">OFFSET('1课程考核方式及成绩组成'!$AD$10,(ROW(H254)-5)/7,MOD((ROW(H254)-5),7))</f>
        <v>0</v>
      </c>
      <c r="I254" s="19">
        <f ca="1">OFFSET('1课程考核方式及成绩组成'!$AL$10,(ROW(I254)-5)/7,MOD((ROW(I254)-5),7))</f>
        <v>0</v>
      </c>
      <c r="J254" s="25">
        <f ca="1">IF('0信息维护'!$I$109=0,0,E254/('0信息维护'!$I$109)*'0信息维护'!$E$39*'0信息维护'!$S$29)+IF('0信息维护'!$I$110=0,0,F254/('0信息维护'!$I$110)*'0信息维护'!$E$39*'0信息维护'!$T$29)+IF('0信息维护'!$I$111=0,0,G254/('0信息维护'!$I$111)*'0信息维护'!$E$39*'0信息维护'!$U$29)+IF('0信息维护'!$I$112=0,0,H254/('0信息维护'!$I$112)*'0信息维护'!$E$39*'0信息维护'!$V$29)+IF('0信息维护'!$I$113=0,0,I254/'0信息维护'!$I$113*'0信息维护'!$I$39)</f>
        <v>0</v>
      </c>
      <c r="K254" s="27"/>
    </row>
    <row r="255" spans="1:11">
      <c r="A255" s="20"/>
      <c r="B255" s="20"/>
      <c r="C255" s="20"/>
      <c r="D255" s="18" t="str">
        <f>'0信息维护'!A$30</f>
        <v>课程目标6</v>
      </c>
      <c r="E255" s="19">
        <f ca="1">OFFSET('1课程考核方式及成绩组成'!$F$10,(ROW(E255)-5)/7,MOD((ROW(E255)-5),7))</f>
        <v>0</v>
      </c>
      <c r="F255" s="19">
        <f ca="1">OFFSET('1课程考核方式及成绩组成'!$N$10,(ROW(F255)-5)/7,MOD((ROW(F255)-5),7))</f>
        <v>0</v>
      </c>
      <c r="G255" s="19">
        <f ca="1">OFFSET('1课程考核方式及成绩组成'!$V$10,(ROW(G255)-5)/7,MOD((ROW(G255)-5),7))</f>
        <v>0</v>
      </c>
      <c r="H255" s="19">
        <f ca="1">OFFSET('1课程考核方式及成绩组成'!$AD$10,(ROW(H255)-5)/7,MOD((ROW(H255)-5),7))</f>
        <v>0</v>
      </c>
      <c r="I255" s="19">
        <f ca="1">OFFSET('1课程考核方式及成绩组成'!$AL$10,(ROW(I255)-5)/7,MOD((ROW(I255)-5),7))</f>
        <v>0</v>
      </c>
      <c r="J255" s="25">
        <f ca="1">IF('0信息维护'!$I$115=0,0,E255/('0信息维护'!$I$115)*'0信息维护'!$E$40*'0信息维护'!$S$30)+IF('0信息维护'!$I$116=0,0,F255/('0信息维护'!$I$116)*'0信息维护'!$E$40*'0信息维护'!$T$30)+IF('0信息维护'!$I$117=0,0,G255/('0信息维护'!$I$117)*'0信息维护'!$E$40*'0信息维护'!$U$30)+IF('0信息维护'!$I$118=0,0,H255/('0信息维护'!$I$118)*'0信息维护'!$E$40*'0信息维护'!$V$30)+IF('0信息维护'!$I$119=0,0,I255/'0信息维护'!$I$119*'0信息维护'!$I$40)</f>
        <v>0</v>
      </c>
      <c r="K255" s="27"/>
    </row>
    <row r="256" spans="1:11">
      <c r="A256" s="21"/>
      <c r="B256" s="21"/>
      <c r="C256" s="21"/>
      <c r="D256" s="18" t="str">
        <f>'0信息维护'!A$31</f>
        <v>课程目标7</v>
      </c>
      <c r="E256" s="19">
        <f ca="1">OFFSET('1课程考核方式及成绩组成'!$F$10,(ROW(E256)-5)/7,MOD((ROW(E256)-5),7))</f>
        <v>0</v>
      </c>
      <c r="F256" s="19">
        <f ca="1">OFFSET('1课程考核方式及成绩组成'!$N$10,(ROW(F256)-5)/7,MOD((ROW(F256)-5),7))</f>
        <v>0</v>
      </c>
      <c r="G256" s="19">
        <f ca="1">OFFSET('1课程考核方式及成绩组成'!$V$10,(ROW(G256)-5)/7,MOD((ROW(G256)-5),7))</f>
        <v>0</v>
      </c>
      <c r="H256" s="19">
        <f ca="1">OFFSET('1课程考核方式及成绩组成'!$AD$10,(ROW(H256)-5)/7,MOD((ROW(H256)-5),7))</f>
        <v>0</v>
      </c>
      <c r="I256" s="19">
        <f ca="1">OFFSET('1课程考核方式及成绩组成'!$AL$10,(ROW(I256)-5)/7,MOD((ROW(I256)-5),7))</f>
        <v>0</v>
      </c>
      <c r="J256" s="25">
        <f ca="1">IF('0信息维护'!$I$121=0,0,E256/('0信息维护'!$I$121)*'0信息维护'!$E$41*'0信息维护'!$S$31)+IF('0信息维护'!$I$122=0,0,F256/('0信息维护'!$I$122)*'0信息维护'!$E$41*'0信息维护'!$T$31)+IF('0信息维护'!$I$123=0,0,G256/('0信息维护'!$I$123)*'0信息维护'!$E$41*'0信息维护'!$U$31)+IF('0信息维护'!$I$124=0,0,H256/('0信息维护'!$I$124)*'0信息维护'!$E$41*'0信息维护'!$T$31)+IF('0信息维护'!$I$125=0,0,I256/'0信息维护'!$I$125*'0信息维护'!$I$41)</f>
        <v>0</v>
      </c>
      <c r="K256" s="30"/>
    </row>
    <row r="257" spans="1:11">
      <c r="A257" s="17">
        <v>37</v>
      </c>
      <c r="B257" s="17" t="str">
        <f ca="1">OFFSET('1课程考核方式及成绩组成'!$D$10,(ROW(B257)-5)/7,)</f>
        <v>190301037</v>
      </c>
      <c r="C257" s="17" t="str">
        <f ca="1">OFFSET('1课程考核方式及成绩组成'!$E$10,(ROW(C257)-5)/7,)</f>
        <v>王存志</v>
      </c>
      <c r="D257" s="18" t="str">
        <f>'0信息维护'!A$25</f>
        <v>课程目标1</v>
      </c>
      <c r="E257" s="19">
        <f ca="1">OFFSET('1课程考核方式及成绩组成'!$F$10,(ROW(E257)-5)/7,MOD((ROW(E257)-5),7))</f>
        <v>40</v>
      </c>
      <c r="F257" s="19">
        <f ca="1">OFFSET('1课程考核方式及成绩组成'!$N$10,(ROW(F257)-5)/7,MOD((ROW(F257)-5),7))</f>
        <v>0</v>
      </c>
      <c r="G257" s="19">
        <f ca="1">OFFSET('1课程考核方式及成绩组成'!$V$10,(ROW(G257)-5)/7,MOD((ROW(G257)-5),7))</f>
        <v>0</v>
      </c>
      <c r="H257" s="19">
        <f ca="1">OFFSET('1课程考核方式及成绩组成'!$AD$10,(ROW(H257)-5)/7,MOD((ROW(H257)-5),7))</f>
        <v>0</v>
      </c>
      <c r="I257" s="19">
        <f ca="1">OFFSET('1课程考核方式及成绩组成'!$AL$10,(ROW(I257)-5)/7,MOD((ROW(I257)-5),7))</f>
        <v>34</v>
      </c>
      <c r="J257" s="25">
        <f ca="1">IF('0信息维护'!$I$85=0,0,E257/('0信息维护'!$I$85)*'0信息维护'!$E$35*'0信息维护'!$S$25)+IF('0信息维护'!$I$86=0,0,F257/('0信息维护'!$I$86)*'0信息维护'!$E$35*'0信息维护'!$T$25)+IF('0信息维护'!$I$87=0,0,G257/('0信息维护'!$I$87)*'0信息维护'!$E$35*'0信息维护'!$U$25)+IF('0信息维护'!$I$88=0,0,H257/('0信息维护'!$I$88)*'0信息维护'!$E$35*'0信息维护'!$V$25)+IF('0信息维护'!$I$89=0,0,I257/'0信息维护'!$I$89*'0信息维护'!$I$35)</f>
        <v>0.972222222222222</v>
      </c>
      <c r="K257" s="26">
        <f ca="1">J257*'0信息维护'!$D$132+J258*'0信息维护'!$D$133+J259*'0信息维护'!$D$134+J260*'0信息维护'!$D$135+J261*'0信息维护'!$D$136+J262*'0信息维护'!$D$137+J263*'0信息维护'!$D$138</f>
        <v>0.848303921568627</v>
      </c>
    </row>
    <row r="258" spans="1:14">
      <c r="A258" s="20"/>
      <c r="B258" s="20"/>
      <c r="C258" s="20"/>
      <c r="D258" s="18" t="str">
        <f>'0信息维护'!A$26</f>
        <v>课程目标2</v>
      </c>
      <c r="E258" s="19">
        <f ca="1">OFFSET('1课程考核方式及成绩组成'!$F$10,(ROW(E258)-5)/7,MOD((ROW(E258)-5),7))</f>
        <v>60</v>
      </c>
      <c r="F258" s="19">
        <f ca="1">OFFSET('1课程考核方式及成绩组成'!$N$10,(ROW(F258)-5)/7,MOD((ROW(F258)-5),7))</f>
        <v>0</v>
      </c>
      <c r="G258" s="19">
        <f ca="1">OFFSET('1课程考核方式及成绩组成'!$V$10,(ROW(G258)-5)/7,MOD((ROW(G258)-5),7))</f>
        <v>0</v>
      </c>
      <c r="H258" s="19">
        <f ca="1">OFFSET('1课程考核方式及成绩组成'!$AD$10,(ROW(H258)-5)/7,MOD((ROW(H258)-5),7))</f>
        <v>0</v>
      </c>
      <c r="I258" s="19">
        <f ca="1">OFFSET('1课程考核方式及成绩组成'!$AL$10,(ROW(I258)-5)/7,MOD((ROW(I258)-5),7))</f>
        <v>29</v>
      </c>
      <c r="J258" s="25">
        <f ca="1">IF('0信息维护'!$I$91=0,0,E258/('0信息维护'!$I$91)*'0信息维护'!$S$26*'0信息维护'!$E$36)+IF('0信息维护'!$I$92=0,0,F258/('0信息维护'!$I$92)*'0信息维护'!$T$26*'0信息维护'!$E$36)+IF('0信息维护'!$I$93=0,0,G258/('0信息维护'!$I$93)*'0信息维护'!$U$26*'0信息维护'!$E$36)+IF('0信息维护'!$I$94=0,0,H258/('0信息维护'!$I$94)*'0信息维护'!$V$26*'0信息维护'!$E$36)+IF('0信息维护'!$I$95=0,0,I258/'0信息维护'!$I$95*'0信息维护'!$I$36)</f>
        <v>0.983333333333333</v>
      </c>
      <c r="K258" s="27"/>
      <c r="N258" s="29"/>
    </row>
    <row r="259" spans="1:11">
      <c r="A259" s="20"/>
      <c r="B259" s="20"/>
      <c r="C259" s="20"/>
      <c r="D259" s="18" t="str">
        <f>'0信息维护'!A$27</f>
        <v>课程目标3</v>
      </c>
      <c r="E259" s="19">
        <f ca="1">OFFSET('1课程考核方式及成绩组成'!$F$10,(ROW(E259)-5)/7,MOD((ROW(E259)-5),7))</f>
        <v>0</v>
      </c>
      <c r="F259" s="19">
        <f ca="1">OFFSET('1课程考核方式及成绩组成'!$N$10,(ROW(F259)-5)/7,MOD((ROW(F259)-5),7))</f>
        <v>0</v>
      </c>
      <c r="G259" s="19">
        <f ca="1">OFFSET('1课程考核方式及成绩组成'!$V$10,(ROW(G259)-5)/7,MOD((ROW(G259)-5),7))</f>
        <v>0</v>
      </c>
      <c r="H259" s="19">
        <f ca="1">OFFSET('1课程考核方式及成绩组成'!$AD$10,(ROW(H259)-5)/7,MOD((ROW(H259)-5),7))</f>
        <v>0</v>
      </c>
      <c r="I259" s="19">
        <f ca="1">OFFSET('1课程考核方式及成绩组成'!$AL$10,(ROW(I259)-5)/7,MOD((ROW(I259)-5),7))</f>
        <v>24</v>
      </c>
      <c r="J259" s="25">
        <f ca="1">IF('0信息维护'!$I$97=0,0,E259/('0信息维护'!$I$97)*'0信息维护'!$E$37*'0信息维护'!$S$27)+IF('0信息维护'!$I$98=0,0,F259/('0信息维护'!$I$98)*'0信息维护'!$E$37*'0信息维护'!$T$27)+IF('0信息维护'!$I$99=0,0,G259/('0信息维护'!$I$99)*'0信息维护'!$E$37*'0信息维护'!$U$27)+IF('0信息维护'!$I$100=0,0,H259/('0信息维护'!$I$100)*'0信息维护'!$E$37*'0信息维护'!$V$27)+IF('0信息维护'!$I$101=0,0,I259/'0信息维护'!$I$101*'0信息维护'!$I$37)</f>
        <v>0.705882352941177</v>
      </c>
      <c r="K259" s="27"/>
    </row>
    <row r="260" spans="1:11">
      <c r="A260" s="20"/>
      <c r="B260" s="20"/>
      <c r="C260" s="20"/>
      <c r="D260" s="18" t="str">
        <f>'0信息维护'!A$28</f>
        <v>课程目标4</v>
      </c>
      <c r="E260" s="19">
        <f ca="1">OFFSET('1课程考核方式及成绩组成'!$F$10,(ROW(E260)-5)/7,MOD((ROW(E260)-5),7))</f>
        <v>0</v>
      </c>
      <c r="F260" s="19">
        <f ca="1">OFFSET('1课程考核方式及成绩组成'!$N$10,(ROW(F260)-5)/7,MOD((ROW(F260)-5),7))</f>
        <v>77</v>
      </c>
      <c r="G260" s="19">
        <f ca="1">OFFSET('1课程考核方式及成绩组成'!$V$10,(ROW(G260)-5)/7,MOD((ROW(G260)-5),7))</f>
        <v>0</v>
      </c>
      <c r="H260" s="19">
        <f ca="1">OFFSET('1课程考核方式及成绩组成'!$AD$10,(ROW(H260)-5)/7,MOD((ROW(H260)-5),7))</f>
        <v>0</v>
      </c>
      <c r="I260" s="19">
        <f ca="1">OFFSET('1课程考核方式及成绩组成'!$AL$10,(ROW(I260)-5)/7,MOD((ROW(I260)-5),7))</f>
        <v>0</v>
      </c>
      <c r="J260" s="25">
        <f ca="1">IF('0信息维护'!$I$103=0,0,E260/('0信息维护'!$I$103)*'0信息维护'!$E$38*'0信息维护'!$S$28)+IF('0信息维护'!$I$104=0,0,F260/('0信息维护'!$I$104)*'0信息维护'!$E$38*'0信息维护'!$T$28)+IF('0信息维护'!$I$105=0,0,G260/('0信息维护'!$I$105)*'0信息维护'!$E$38*'0信息维护'!$U$28)+IF('0信息维护'!$I$106=0,0,H260/('0信息维护'!$I$106)*'0信息维护'!$E$38*'0信息维护'!$V$28)+IF('0信息维护'!$I$107=0,0,I260/'0信息维护'!$I$107*'0信息维护'!$I$38)</f>
        <v>0.77</v>
      </c>
      <c r="K260" s="27"/>
    </row>
    <row r="261" spans="1:11">
      <c r="A261" s="20"/>
      <c r="B261" s="20"/>
      <c r="C261" s="20"/>
      <c r="D261" s="18" t="str">
        <f>'0信息维护'!A$29</f>
        <v>课程目标5</v>
      </c>
      <c r="E261" s="19">
        <f ca="1">OFFSET('1课程考核方式及成绩组成'!$F$10,(ROW(E261)-5)/7,MOD((ROW(E261)-5),7))</f>
        <v>0</v>
      </c>
      <c r="F261" s="19">
        <f ca="1">OFFSET('1课程考核方式及成绩组成'!$N$10,(ROW(F261)-5)/7,MOD((ROW(F261)-5),7))</f>
        <v>0</v>
      </c>
      <c r="G261" s="19">
        <f ca="1">OFFSET('1课程考核方式及成绩组成'!$V$10,(ROW(G261)-5)/7,MOD((ROW(G261)-5),7))</f>
        <v>0</v>
      </c>
      <c r="H261" s="19">
        <f ca="1">OFFSET('1课程考核方式及成绩组成'!$AD$10,(ROW(H261)-5)/7,MOD((ROW(H261)-5),7))</f>
        <v>0</v>
      </c>
      <c r="I261" s="19">
        <f ca="1">OFFSET('1课程考核方式及成绩组成'!$AL$10,(ROW(I261)-5)/7,MOD((ROW(I261)-5),7))</f>
        <v>0</v>
      </c>
      <c r="J261" s="25">
        <f ca="1">IF('0信息维护'!$I$109=0,0,E261/('0信息维护'!$I$109)*'0信息维护'!$E$39*'0信息维护'!$S$29)+IF('0信息维护'!$I$110=0,0,F261/('0信息维护'!$I$110)*'0信息维护'!$E$39*'0信息维护'!$T$29)+IF('0信息维护'!$I$111=0,0,G261/('0信息维护'!$I$111)*'0信息维护'!$E$39*'0信息维护'!$U$29)+IF('0信息维护'!$I$112=0,0,H261/('0信息维护'!$I$112)*'0信息维护'!$E$39*'0信息维护'!$V$29)+IF('0信息维护'!$I$113=0,0,I261/'0信息维护'!$I$113*'0信息维护'!$I$39)</f>
        <v>0</v>
      </c>
      <c r="K261" s="27"/>
    </row>
    <row r="262" spans="1:11">
      <c r="A262" s="20"/>
      <c r="B262" s="20"/>
      <c r="C262" s="20"/>
      <c r="D262" s="18" t="str">
        <f>'0信息维护'!A$30</f>
        <v>课程目标6</v>
      </c>
      <c r="E262" s="19">
        <f ca="1">OFFSET('1课程考核方式及成绩组成'!$F$10,(ROW(E262)-5)/7,MOD((ROW(E262)-5),7))</f>
        <v>0</v>
      </c>
      <c r="F262" s="19">
        <f ca="1">OFFSET('1课程考核方式及成绩组成'!$N$10,(ROW(F262)-5)/7,MOD((ROW(F262)-5),7))</f>
        <v>0</v>
      </c>
      <c r="G262" s="19">
        <f ca="1">OFFSET('1课程考核方式及成绩组成'!$V$10,(ROW(G262)-5)/7,MOD((ROW(G262)-5),7))</f>
        <v>0</v>
      </c>
      <c r="H262" s="19">
        <f ca="1">OFFSET('1课程考核方式及成绩组成'!$AD$10,(ROW(H262)-5)/7,MOD((ROW(H262)-5),7))</f>
        <v>0</v>
      </c>
      <c r="I262" s="19">
        <f ca="1">OFFSET('1课程考核方式及成绩组成'!$AL$10,(ROW(I262)-5)/7,MOD((ROW(I262)-5),7))</f>
        <v>0</v>
      </c>
      <c r="J262" s="25">
        <f ca="1">IF('0信息维护'!$I$115=0,0,E262/('0信息维护'!$I$115)*'0信息维护'!$E$40*'0信息维护'!$S$30)+IF('0信息维护'!$I$116=0,0,F262/('0信息维护'!$I$116)*'0信息维护'!$E$40*'0信息维护'!$T$30)+IF('0信息维护'!$I$117=0,0,G262/('0信息维护'!$I$117)*'0信息维护'!$E$40*'0信息维护'!$U$30)+IF('0信息维护'!$I$118=0,0,H262/('0信息维护'!$I$118)*'0信息维护'!$E$40*'0信息维护'!$V$30)+IF('0信息维护'!$I$119=0,0,I262/'0信息维护'!$I$119*'0信息维护'!$I$40)</f>
        <v>0</v>
      </c>
      <c r="K262" s="27"/>
    </row>
    <row r="263" spans="1:11">
      <c r="A263" s="21"/>
      <c r="B263" s="21"/>
      <c r="C263" s="21"/>
      <c r="D263" s="18" t="str">
        <f>'0信息维护'!A$31</f>
        <v>课程目标7</v>
      </c>
      <c r="E263" s="19">
        <f ca="1">OFFSET('1课程考核方式及成绩组成'!$F$10,(ROW(E263)-5)/7,MOD((ROW(E263)-5),7))</f>
        <v>0</v>
      </c>
      <c r="F263" s="19">
        <f ca="1">OFFSET('1课程考核方式及成绩组成'!$N$10,(ROW(F263)-5)/7,MOD((ROW(F263)-5),7))</f>
        <v>0</v>
      </c>
      <c r="G263" s="19">
        <f ca="1">OFFSET('1课程考核方式及成绩组成'!$V$10,(ROW(G263)-5)/7,MOD((ROW(G263)-5),7))</f>
        <v>0</v>
      </c>
      <c r="H263" s="19">
        <f ca="1">OFFSET('1课程考核方式及成绩组成'!$AD$10,(ROW(H263)-5)/7,MOD((ROW(H263)-5),7))</f>
        <v>0</v>
      </c>
      <c r="I263" s="19">
        <f ca="1">OFFSET('1课程考核方式及成绩组成'!$AL$10,(ROW(I263)-5)/7,MOD((ROW(I263)-5),7))</f>
        <v>0</v>
      </c>
      <c r="J263" s="25">
        <f ca="1">IF('0信息维护'!$I$121=0,0,E263/('0信息维护'!$I$121)*'0信息维护'!$E$41*'0信息维护'!$S$31)+IF('0信息维护'!$I$122=0,0,F263/('0信息维护'!$I$122)*'0信息维护'!$E$41*'0信息维护'!$T$31)+IF('0信息维护'!$I$123=0,0,G263/('0信息维护'!$I$123)*'0信息维护'!$E$41*'0信息维护'!$U$31)+IF('0信息维护'!$I$124=0,0,H263/('0信息维护'!$I$124)*'0信息维护'!$E$41*'0信息维护'!$T$31)+IF('0信息维护'!$I$125=0,0,I263/'0信息维护'!$I$125*'0信息维护'!$I$41)</f>
        <v>0</v>
      </c>
      <c r="K263" s="30"/>
    </row>
    <row r="264" spans="1:11">
      <c r="A264" s="17">
        <v>38</v>
      </c>
      <c r="B264" s="17" t="str">
        <f ca="1">OFFSET('1课程考核方式及成绩组成'!$D$10,(ROW(B264)-5)/7,)</f>
        <v>190302001</v>
      </c>
      <c r="C264" s="17" t="str">
        <f ca="1">OFFSET('1课程考核方式及成绩组成'!$E$10,(ROW(C264)-5)/7,)</f>
        <v>何洱圳</v>
      </c>
      <c r="D264" s="18" t="str">
        <f>'0信息维护'!A$25</f>
        <v>课程目标1</v>
      </c>
      <c r="E264" s="19">
        <f ca="1">OFFSET('1课程考核方式及成绩组成'!$F$10,(ROW(E264)-5)/7,MOD((ROW(E264)-5),7))</f>
        <v>40</v>
      </c>
      <c r="F264" s="19">
        <f ca="1">OFFSET('1课程考核方式及成绩组成'!$N$10,(ROW(F264)-5)/7,MOD((ROW(F264)-5),7))</f>
        <v>0</v>
      </c>
      <c r="G264" s="19">
        <f ca="1">OFFSET('1课程考核方式及成绩组成'!$V$10,(ROW(G264)-5)/7,MOD((ROW(G264)-5),7))</f>
        <v>0</v>
      </c>
      <c r="H264" s="19">
        <f ca="1">OFFSET('1课程考核方式及成绩组成'!$AD$10,(ROW(H264)-5)/7,MOD((ROW(H264)-5),7))</f>
        <v>0</v>
      </c>
      <c r="I264" s="19">
        <f ca="1">OFFSET('1课程考核方式及成绩组成'!$AL$10,(ROW(I264)-5)/7,MOD((ROW(I264)-5),7))</f>
        <v>36</v>
      </c>
      <c r="J264" s="25">
        <f ca="1">IF('0信息维护'!$I$85=0,0,E264/('0信息维护'!$I$85)*'0信息维护'!$E$35*'0信息维护'!$S$25)+IF('0信息维护'!$I$86=0,0,F264/('0信息维护'!$I$86)*'0信息维护'!$E$35*'0信息维护'!$T$25)+IF('0信息维护'!$I$87=0,0,G264/('0信息维护'!$I$87)*'0信息维护'!$E$35*'0信息维护'!$U$25)+IF('0信息维护'!$I$88=0,0,H264/('0信息维护'!$I$88)*'0信息维护'!$E$35*'0信息维护'!$V$25)+IF('0信息维护'!$I$89=0,0,I264/'0信息维护'!$I$89*'0信息维护'!$I$35)</f>
        <v>1</v>
      </c>
      <c r="K264" s="26">
        <f ca="1">J264*'0信息维护'!$D$132+J265*'0信息维护'!$D$133+J266*'0信息维护'!$D$134+J267*'0信息维护'!$D$135+J268*'0信息维护'!$D$136+J269*'0信息维护'!$D$137+J270*'0信息维护'!$D$138</f>
        <v>0.911882352941176</v>
      </c>
    </row>
    <row r="265" spans="1:14">
      <c r="A265" s="20"/>
      <c r="B265" s="20"/>
      <c r="C265" s="20"/>
      <c r="D265" s="18" t="str">
        <f>'0信息维护'!A$26</f>
        <v>课程目标2</v>
      </c>
      <c r="E265" s="19">
        <f ca="1">OFFSET('1课程考核方式及成绩组成'!$F$10,(ROW(E265)-5)/7,MOD((ROW(E265)-5),7))</f>
        <v>60</v>
      </c>
      <c r="F265" s="19">
        <f ca="1">OFFSET('1课程考核方式及成绩组成'!$N$10,(ROW(F265)-5)/7,MOD((ROW(F265)-5),7))</f>
        <v>0</v>
      </c>
      <c r="G265" s="19">
        <f ca="1">OFFSET('1课程考核方式及成绩组成'!$V$10,(ROW(G265)-5)/7,MOD((ROW(G265)-5),7))</f>
        <v>0</v>
      </c>
      <c r="H265" s="19">
        <f ca="1">OFFSET('1课程考核方式及成绩组成'!$AD$10,(ROW(H265)-5)/7,MOD((ROW(H265)-5),7))</f>
        <v>0</v>
      </c>
      <c r="I265" s="19">
        <f ca="1">OFFSET('1课程考核方式及成绩组成'!$AL$10,(ROW(I265)-5)/7,MOD((ROW(I265)-5),7))</f>
        <v>29</v>
      </c>
      <c r="J265" s="25">
        <f ca="1">IF('0信息维护'!$I$91=0,0,E265/('0信息维护'!$I$91)*'0信息维护'!$S$26*'0信息维护'!$E$36)+IF('0信息维护'!$I$92=0,0,F265/('0信息维护'!$I$92)*'0信息维护'!$T$26*'0信息维护'!$E$36)+IF('0信息维护'!$I$93=0,0,G265/('0信息维护'!$I$93)*'0信息维护'!$U$26*'0信息维护'!$E$36)+IF('0信息维护'!$I$94=0,0,H265/('0信息维护'!$I$94)*'0信息维护'!$V$26*'0信息维护'!$E$36)+IF('0信息维护'!$I$95=0,0,I265/'0信息维护'!$I$95*'0信息维护'!$I$36)</f>
        <v>0.983333333333333</v>
      </c>
      <c r="K265" s="27"/>
      <c r="N265" s="29"/>
    </row>
    <row r="266" spans="1:11">
      <c r="A266" s="20"/>
      <c r="B266" s="20"/>
      <c r="C266" s="20"/>
      <c r="D266" s="18" t="str">
        <f>'0信息维护'!A$27</f>
        <v>课程目标3</v>
      </c>
      <c r="E266" s="19">
        <f ca="1">OFFSET('1课程考核方式及成绩组成'!$F$10,(ROW(E266)-5)/7,MOD((ROW(E266)-5),7))</f>
        <v>0</v>
      </c>
      <c r="F266" s="19">
        <f ca="1">OFFSET('1课程考核方式及成绩组成'!$N$10,(ROW(F266)-5)/7,MOD((ROW(F266)-5),7))</f>
        <v>0</v>
      </c>
      <c r="G266" s="19">
        <f ca="1">OFFSET('1课程考核方式及成绩组成'!$V$10,(ROW(G266)-5)/7,MOD((ROW(G266)-5),7))</f>
        <v>0</v>
      </c>
      <c r="H266" s="19">
        <f ca="1">OFFSET('1课程考核方式及成绩组成'!$AD$10,(ROW(H266)-5)/7,MOD((ROW(H266)-5),7))</f>
        <v>0</v>
      </c>
      <c r="I266" s="19">
        <f ca="1">OFFSET('1课程考核方式及成绩组成'!$AL$10,(ROW(I266)-5)/7,MOD((ROW(I266)-5),7))</f>
        <v>28</v>
      </c>
      <c r="J266" s="25">
        <f ca="1">IF('0信息维护'!$I$97=0,0,E266/('0信息维护'!$I$97)*'0信息维护'!$E$37*'0信息维护'!$S$27)+IF('0信息维护'!$I$98=0,0,F266/('0信息维护'!$I$98)*'0信息维护'!$E$37*'0信息维护'!$T$27)+IF('0信息维护'!$I$99=0,0,G266/('0信息维护'!$I$99)*'0信息维护'!$E$37*'0信息维护'!$U$27)+IF('0信息维护'!$I$100=0,0,H266/('0信息维护'!$I$100)*'0信息维护'!$E$37*'0信息维护'!$V$27)+IF('0信息维护'!$I$101=0,0,I266/'0信息维护'!$I$101*'0信息维护'!$I$37)</f>
        <v>0.823529411764706</v>
      </c>
      <c r="K266" s="27"/>
    </row>
    <row r="267" spans="1:11">
      <c r="A267" s="20"/>
      <c r="B267" s="20"/>
      <c r="C267" s="20"/>
      <c r="D267" s="18" t="str">
        <f>'0信息维护'!A$28</f>
        <v>课程目标4</v>
      </c>
      <c r="E267" s="19">
        <f ca="1">OFFSET('1课程考核方式及成绩组成'!$F$10,(ROW(E267)-5)/7,MOD((ROW(E267)-5),7))</f>
        <v>0</v>
      </c>
      <c r="F267" s="19">
        <f ca="1">OFFSET('1课程考核方式及成绩组成'!$N$10,(ROW(F267)-5)/7,MOD((ROW(F267)-5),7))</f>
        <v>87</v>
      </c>
      <c r="G267" s="19">
        <f ca="1">OFFSET('1课程考核方式及成绩组成'!$V$10,(ROW(G267)-5)/7,MOD((ROW(G267)-5),7))</f>
        <v>0</v>
      </c>
      <c r="H267" s="19">
        <f ca="1">OFFSET('1课程考核方式及成绩组成'!$AD$10,(ROW(H267)-5)/7,MOD((ROW(H267)-5),7))</f>
        <v>0</v>
      </c>
      <c r="I267" s="19">
        <f ca="1">OFFSET('1课程考核方式及成绩组成'!$AL$10,(ROW(I267)-5)/7,MOD((ROW(I267)-5),7))</f>
        <v>0</v>
      </c>
      <c r="J267" s="25">
        <f ca="1">IF('0信息维护'!$I$103=0,0,E267/('0信息维护'!$I$103)*'0信息维护'!$E$38*'0信息维护'!$S$28)+IF('0信息维护'!$I$104=0,0,F267/('0信息维护'!$I$104)*'0信息维护'!$E$38*'0信息维护'!$T$28)+IF('0信息维护'!$I$105=0,0,G267/('0信息维护'!$I$105)*'0信息维护'!$E$38*'0信息维护'!$U$28)+IF('0信息维护'!$I$106=0,0,H267/('0信息维护'!$I$106)*'0信息维护'!$E$38*'0信息维护'!$V$28)+IF('0信息维护'!$I$107=0,0,I267/'0信息维护'!$I$107*'0信息维护'!$I$38)</f>
        <v>0.87</v>
      </c>
      <c r="K267" s="27"/>
    </row>
    <row r="268" spans="1:11">
      <c r="A268" s="20"/>
      <c r="B268" s="20"/>
      <c r="C268" s="20"/>
      <c r="D268" s="18" t="str">
        <f>'0信息维护'!A$29</f>
        <v>课程目标5</v>
      </c>
      <c r="E268" s="19">
        <f ca="1">OFFSET('1课程考核方式及成绩组成'!$F$10,(ROW(E268)-5)/7,MOD((ROW(E268)-5),7))</f>
        <v>0</v>
      </c>
      <c r="F268" s="19">
        <f ca="1">OFFSET('1课程考核方式及成绩组成'!$N$10,(ROW(F268)-5)/7,MOD((ROW(F268)-5),7))</f>
        <v>0</v>
      </c>
      <c r="G268" s="19">
        <f ca="1">OFFSET('1课程考核方式及成绩组成'!$V$10,(ROW(G268)-5)/7,MOD((ROW(G268)-5),7))</f>
        <v>0</v>
      </c>
      <c r="H268" s="19">
        <f ca="1">OFFSET('1课程考核方式及成绩组成'!$AD$10,(ROW(H268)-5)/7,MOD((ROW(H268)-5),7))</f>
        <v>0</v>
      </c>
      <c r="I268" s="19">
        <f ca="1">OFFSET('1课程考核方式及成绩组成'!$AL$10,(ROW(I268)-5)/7,MOD((ROW(I268)-5),7))</f>
        <v>0</v>
      </c>
      <c r="J268" s="25">
        <f ca="1">IF('0信息维护'!$I$109=0,0,E268/('0信息维护'!$I$109)*'0信息维护'!$E$39*'0信息维护'!$S$29)+IF('0信息维护'!$I$110=0,0,F268/('0信息维护'!$I$110)*'0信息维护'!$E$39*'0信息维护'!$T$29)+IF('0信息维护'!$I$111=0,0,G268/('0信息维护'!$I$111)*'0信息维护'!$E$39*'0信息维护'!$U$29)+IF('0信息维护'!$I$112=0,0,H268/('0信息维护'!$I$112)*'0信息维护'!$E$39*'0信息维护'!$V$29)+IF('0信息维护'!$I$113=0,0,I268/'0信息维护'!$I$113*'0信息维护'!$I$39)</f>
        <v>0</v>
      </c>
      <c r="K268" s="27"/>
    </row>
    <row r="269" spans="1:11">
      <c r="A269" s="20"/>
      <c r="B269" s="20"/>
      <c r="C269" s="20"/>
      <c r="D269" s="18" t="str">
        <f>'0信息维护'!A$30</f>
        <v>课程目标6</v>
      </c>
      <c r="E269" s="19">
        <f ca="1">OFFSET('1课程考核方式及成绩组成'!$F$10,(ROW(E269)-5)/7,MOD((ROW(E269)-5),7))</f>
        <v>0</v>
      </c>
      <c r="F269" s="19">
        <f ca="1">OFFSET('1课程考核方式及成绩组成'!$N$10,(ROW(F269)-5)/7,MOD((ROW(F269)-5),7))</f>
        <v>0</v>
      </c>
      <c r="G269" s="19">
        <f ca="1">OFFSET('1课程考核方式及成绩组成'!$V$10,(ROW(G269)-5)/7,MOD((ROW(G269)-5),7))</f>
        <v>0</v>
      </c>
      <c r="H269" s="19">
        <f ca="1">OFFSET('1课程考核方式及成绩组成'!$AD$10,(ROW(H269)-5)/7,MOD((ROW(H269)-5),7))</f>
        <v>0</v>
      </c>
      <c r="I269" s="19">
        <f ca="1">OFFSET('1课程考核方式及成绩组成'!$AL$10,(ROW(I269)-5)/7,MOD((ROW(I269)-5),7))</f>
        <v>0</v>
      </c>
      <c r="J269" s="25">
        <f ca="1">IF('0信息维护'!$I$115=0,0,E269/('0信息维护'!$I$115)*'0信息维护'!$E$40*'0信息维护'!$S$30)+IF('0信息维护'!$I$116=0,0,F269/('0信息维护'!$I$116)*'0信息维护'!$E$40*'0信息维护'!$T$30)+IF('0信息维护'!$I$117=0,0,G269/('0信息维护'!$I$117)*'0信息维护'!$E$40*'0信息维护'!$U$30)+IF('0信息维护'!$I$118=0,0,H269/('0信息维护'!$I$118)*'0信息维护'!$E$40*'0信息维护'!$V$30)+IF('0信息维护'!$I$119=0,0,I269/'0信息维护'!$I$119*'0信息维护'!$I$40)</f>
        <v>0</v>
      </c>
      <c r="K269" s="27"/>
    </row>
    <row r="270" spans="1:11">
      <c r="A270" s="21"/>
      <c r="B270" s="21"/>
      <c r="C270" s="21"/>
      <c r="D270" s="18" t="str">
        <f>'0信息维护'!A$31</f>
        <v>课程目标7</v>
      </c>
      <c r="E270" s="19">
        <f ca="1">OFFSET('1课程考核方式及成绩组成'!$F$10,(ROW(E270)-5)/7,MOD((ROW(E270)-5),7))</f>
        <v>0</v>
      </c>
      <c r="F270" s="19">
        <f ca="1">OFFSET('1课程考核方式及成绩组成'!$N$10,(ROW(F270)-5)/7,MOD((ROW(F270)-5),7))</f>
        <v>0</v>
      </c>
      <c r="G270" s="19">
        <f ca="1">OFFSET('1课程考核方式及成绩组成'!$V$10,(ROW(G270)-5)/7,MOD((ROW(G270)-5),7))</f>
        <v>0</v>
      </c>
      <c r="H270" s="19">
        <f ca="1">OFFSET('1课程考核方式及成绩组成'!$AD$10,(ROW(H270)-5)/7,MOD((ROW(H270)-5),7))</f>
        <v>0</v>
      </c>
      <c r="I270" s="19">
        <f ca="1">OFFSET('1课程考核方式及成绩组成'!$AL$10,(ROW(I270)-5)/7,MOD((ROW(I270)-5),7))</f>
        <v>0</v>
      </c>
      <c r="J270" s="25">
        <f ca="1">IF('0信息维护'!$I$121=0,0,E270/('0信息维护'!$I$121)*'0信息维护'!$E$41*'0信息维护'!$S$31)+IF('0信息维护'!$I$122=0,0,F270/('0信息维护'!$I$122)*'0信息维护'!$E$41*'0信息维护'!$T$31)+IF('0信息维护'!$I$123=0,0,G270/('0信息维护'!$I$123)*'0信息维护'!$E$41*'0信息维护'!$U$31)+IF('0信息维护'!$I$124=0,0,H270/('0信息维护'!$I$124)*'0信息维护'!$E$41*'0信息维护'!$T$31)+IF('0信息维护'!$I$125=0,0,I270/'0信息维护'!$I$125*'0信息维护'!$I$41)</f>
        <v>0</v>
      </c>
      <c r="K270" s="30"/>
    </row>
    <row r="271" spans="1:11">
      <c r="A271" s="17">
        <v>39</v>
      </c>
      <c r="B271" s="17" t="str">
        <f ca="1">OFFSET('1课程考核方式及成绩组成'!$D$10,(ROW(B271)-5)/7,)</f>
        <v>190302002</v>
      </c>
      <c r="C271" s="17" t="str">
        <f ca="1">OFFSET('1课程考核方式及成绩组成'!$E$10,(ROW(C271)-5)/7,)</f>
        <v>石梦军</v>
      </c>
      <c r="D271" s="18" t="str">
        <f>'0信息维护'!A$25</f>
        <v>课程目标1</v>
      </c>
      <c r="E271" s="19">
        <f ca="1">OFFSET('1课程考核方式及成绩组成'!$F$10,(ROW(E271)-5)/7,MOD((ROW(E271)-5),7))</f>
        <v>40</v>
      </c>
      <c r="F271" s="19">
        <f ca="1">OFFSET('1课程考核方式及成绩组成'!$N$10,(ROW(F271)-5)/7,MOD((ROW(F271)-5),7))</f>
        <v>0</v>
      </c>
      <c r="G271" s="19">
        <f ca="1">OFFSET('1课程考核方式及成绩组成'!$V$10,(ROW(G271)-5)/7,MOD((ROW(G271)-5),7))</f>
        <v>0</v>
      </c>
      <c r="H271" s="19">
        <f ca="1">OFFSET('1课程考核方式及成绩组成'!$AD$10,(ROW(H271)-5)/7,MOD((ROW(H271)-5),7))</f>
        <v>0</v>
      </c>
      <c r="I271" s="19">
        <f ca="1">OFFSET('1课程考核方式及成绩组成'!$AL$10,(ROW(I271)-5)/7,MOD((ROW(I271)-5),7))</f>
        <v>34</v>
      </c>
      <c r="J271" s="25">
        <f ca="1">IF('0信息维护'!$I$85=0,0,E271/('0信息维护'!$I$85)*'0信息维护'!$E$35*'0信息维护'!$S$25)+IF('0信息维护'!$I$86=0,0,F271/('0信息维护'!$I$86)*'0信息维护'!$E$35*'0信息维护'!$T$25)+IF('0信息维护'!$I$87=0,0,G271/('0信息维护'!$I$87)*'0信息维护'!$E$35*'0信息维护'!$U$25)+IF('0信息维护'!$I$88=0,0,H271/('0信息维护'!$I$88)*'0信息维护'!$E$35*'0信息维护'!$V$25)+IF('0信息维护'!$I$89=0,0,I271/'0信息维护'!$I$89*'0信息维护'!$I$35)</f>
        <v>0.972222222222222</v>
      </c>
      <c r="K271" s="26">
        <f ca="1">J271*'0信息维护'!$D$132+J272*'0信息维护'!$D$133+J273*'0信息维护'!$D$134+J274*'0信息维护'!$D$135+J275*'0信息维护'!$D$136+J276*'0信息维护'!$D$137+J277*'0信息维护'!$D$138</f>
        <v>0.877303921568627</v>
      </c>
    </row>
    <row r="272" spans="1:14">
      <c r="A272" s="20"/>
      <c r="B272" s="20"/>
      <c r="C272" s="20"/>
      <c r="D272" s="18" t="str">
        <f>'0信息维护'!A$26</f>
        <v>课程目标2</v>
      </c>
      <c r="E272" s="19">
        <f ca="1">OFFSET('1课程考核方式及成绩组成'!$F$10,(ROW(E272)-5)/7,MOD((ROW(E272)-5),7))</f>
        <v>60</v>
      </c>
      <c r="F272" s="19">
        <f ca="1">OFFSET('1课程考核方式及成绩组成'!$N$10,(ROW(F272)-5)/7,MOD((ROW(F272)-5),7))</f>
        <v>0</v>
      </c>
      <c r="G272" s="19">
        <f ca="1">OFFSET('1课程考核方式及成绩组成'!$V$10,(ROW(G272)-5)/7,MOD((ROW(G272)-5),7))</f>
        <v>0</v>
      </c>
      <c r="H272" s="19">
        <f ca="1">OFFSET('1课程考核方式及成绩组成'!$AD$10,(ROW(H272)-5)/7,MOD((ROW(H272)-5),7))</f>
        <v>0</v>
      </c>
      <c r="I272" s="19">
        <f ca="1">OFFSET('1课程考核方式及成绩组成'!$AL$10,(ROW(I272)-5)/7,MOD((ROW(I272)-5),7))</f>
        <v>27</v>
      </c>
      <c r="J272" s="25">
        <f ca="1">IF('0信息维护'!$I$91=0,0,E272/('0信息维护'!$I$91)*'0信息维护'!$S$26*'0信息维护'!$E$36)+IF('0信息维护'!$I$92=0,0,F272/('0信息维护'!$I$92)*'0信息维护'!$T$26*'0信息维护'!$E$36)+IF('0信息维护'!$I$93=0,0,G272/('0信息维护'!$I$93)*'0信息维护'!$U$26*'0信息维护'!$E$36)+IF('0信息维护'!$I$94=0,0,H272/('0信息维护'!$I$94)*'0信息维护'!$V$26*'0信息维护'!$E$36)+IF('0信息维护'!$I$95=0,0,I272/'0信息维护'!$I$95*'0信息维护'!$I$36)</f>
        <v>0.95</v>
      </c>
      <c r="K272" s="27"/>
      <c r="N272" s="29"/>
    </row>
    <row r="273" spans="1:11">
      <c r="A273" s="20"/>
      <c r="B273" s="20"/>
      <c r="C273" s="20"/>
      <c r="D273" s="18" t="str">
        <f>'0信息维护'!A$27</f>
        <v>课程目标3</v>
      </c>
      <c r="E273" s="19">
        <f ca="1">OFFSET('1课程考核方式及成绩组成'!$F$10,(ROW(E273)-5)/7,MOD((ROW(E273)-5),7))</f>
        <v>0</v>
      </c>
      <c r="F273" s="19">
        <f ca="1">OFFSET('1课程考核方式及成绩组成'!$N$10,(ROW(F273)-5)/7,MOD((ROW(F273)-5),7))</f>
        <v>0</v>
      </c>
      <c r="G273" s="19">
        <f ca="1">OFFSET('1课程考核方式及成绩组成'!$V$10,(ROW(G273)-5)/7,MOD((ROW(G273)-5),7))</f>
        <v>0</v>
      </c>
      <c r="H273" s="19">
        <f ca="1">OFFSET('1课程考核方式及成绩组成'!$AD$10,(ROW(H273)-5)/7,MOD((ROW(H273)-5),7))</f>
        <v>0</v>
      </c>
      <c r="I273" s="19">
        <f ca="1">OFFSET('1课程考核方式及成绩组成'!$AL$10,(ROW(I273)-5)/7,MOD((ROW(I273)-5),7))</f>
        <v>24</v>
      </c>
      <c r="J273" s="25">
        <f ca="1">IF('0信息维护'!$I$97=0,0,E273/('0信息维护'!$I$97)*'0信息维护'!$E$37*'0信息维护'!$S$27)+IF('0信息维护'!$I$98=0,0,F273/('0信息维护'!$I$98)*'0信息维护'!$E$37*'0信息维护'!$T$27)+IF('0信息维护'!$I$99=0,0,G273/('0信息维护'!$I$99)*'0信息维护'!$E$37*'0信息维护'!$U$27)+IF('0信息维护'!$I$100=0,0,H273/('0信息维护'!$I$100)*'0信息维护'!$E$37*'0信息维护'!$V$27)+IF('0信息维护'!$I$101=0,0,I273/'0信息维护'!$I$101*'0信息维护'!$I$37)</f>
        <v>0.705882352941177</v>
      </c>
      <c r="K273" s="27"/>
    </row>
    <row r="274" spans="1:11">
      <c r="A274" s="20"/>
      <c r="B274" s="20"/>
      <c r="C274" s="20"/>
      <c r="D274" s="18" t="str">
        <f>'0信息维护'!A$28</f>
        <v>课程目标4</v>
      </c>
      <c r="E274" s="19">
        <f ca="1">OFFSET('1课程考核方式及成绩组成'!$F$10,(ROW(E274)-5)/7,MOD((ROW(E274)-5),7))</f>
        <v>0</v>
      </c>
      <c r="F274" s="19">
        <f ca="1">OFFSET('1课程考核方式及成绩组成'!$N$10,(ROW(F274)-5)/7,MOD((ROW(F274)-5),7))</f>
        <v>90</v>
      </c>
      <c r="G274" s="19">
        <f ca="1">OFFSET('1课程考核方式及成绩组成'!$V$10,(ROW(G274)-5)/7,MOD((ROW(G274)-5),7))</f>
        <v>0</v>
      </c>
      <c r="H274" s="19">
        <f ca="1">OFFSET('1课程考核方式及成绩组成'!$AD$10,(ROW(H274)-5)/7,MOD((ROW(H274)-5),7))</f>
        <v>0</v>
      </c>
      <c r="I274" s="19">
        <f ca="1">OFFSET('1课程考核方式及成绩组成'!$AL$10,(ROW(I274)-5)/7,MOD((ROW(I274)-5),7))</f>
        <v>0</v>
      </c>
      <c r="J274" s="25">
        <f ca="1">IF('0信息维护'!$I$103=0,0,E274/('0信息维护'!$I$103)*'0信息维护'!$E$38*'0信息维护'!$S$28)+IF('0信息维护'!$I$104=0,0,F274/('0信息维护'!$I$104)*'0信息维护'!$E$38*'0信息维护'!$T$28)+IF('0信息维护'!$I$105=0,0,G274/('0信息维护'!$I$105)*'0信息维护'!$E$38*'0信息维护'!$U$28)+IF('0信息维护'!$I$106=0,0,H274/('0信息维护'!$I$106)*'0信息维护'!$E$38*'0信息维护'!$V$28)+IF('0信息维护'!$I$107=0,0,I274/'0信息维护'!$I$107*'0信息维护'!$I$38)</f>
        <v>0.9</v>
      </c>
      <c r="K274" s="27"/>
    </row>
    <row r="275" spans="1:11">
      <c r="A275" s="20"/>
      <c r="B275" s="20"/>
      <c r="C275" s="20"/>
      <c r="D275" s="18" t="str">
        <f>'0信息维护'!A$29</f>
        <v>课程目标5</v>
      </c>
      <c r="E275" s="19">
        <f ca="1">OFFSET('1课程考核方式及成绩组成'!$F$10,(ROW(E275)-5)/7,MOD((ROW(E275)-5),7))</f>
        <v>0</v>
      </c>
      <c r="F275" s="19">
        <f ca="1">OFFSET('1课程考核方式及成绩组成'!$N$10,(ROW(F275)-5)/7,MOD((ROW(F275)-5),7))</f>
        <v>0</v>
      </c>
      <c r="G275" s="19">
        <f ca="1">OFFSET('1课程考核方式及成绩组成'!$V$10,(ROW(G275)-5)/7,MOD((ROW(G275)-5),7))</f>
        <v>0</v>
      </c>
      <c r="H275" s="19">
        <f ca="1">OFFSET('1课程考核方式及成绩组成'!$AD$10,(ROW(H275)-5)/7,MOD((ROW(H275)-5),7))</f>
        <v>0</v>
      </c>
      <c r="I275" s="19">
        <f ca="1">OFFSET('1课程考核方式及成绩组成'!$AL$10,(ROW(I275)-5)/7,MOD((ROW(I275)-5),7))</f>
        <v>0</v>
      </c>
      <c r="J275" s="25">
        <f ca="1">IF('0信息维护'!$I$109=0,0,E275/('0信息维护'!$I$109)*'0信息维护'!$E$39*'0信息维护'!$S$29)+IF('0信息维护'!$I$110=0,0,F275/('0信息维护'!$I$110)*'0信息维护'!$E$39*'0信息维护'!$T$29)+IF('0信息维护'!$I$111=0,0,G275/('0信息维护'!$I$111)*'0信息维护'!$E$39*'0信息维护'!$U$29)+IF('0信息维护'!$I$112=0,0,H275/('0信息维护'!$I$112)*'0信息维护'!$E$39*'0信息维护'!$V$29)+IF('0信息维护'!$I$113=0,0,I275/'0信息维护'!$I$113*'0信息维护'!$I$39)</f>
        <v>0</v>
      </c>
      <c r="K275" s="27"/>
    </row>
    <row r="276" spans="1:11">
      <c r="A276" s="20"/>
      <c r="B276" s="20"/>
      <c r="C276" s="20"/>
      <c r="D276" s="18" t="str">
        <f>'0信息维护'!A$30</f>
        <v>课程目标6</v>
      </c>
      <c r="E276" s="19">
        <f ca="1">OFFSET('1课程考核方式及成绩组成'!$F$10,(ROW(E276)-5)/7,MOD((ROW(E276)-5),7))</f>
        <v>0</v>
      </c>
      <c r="F276" s="19">
        <f ca="1">OFFSET('1课程考核方式及成绩组成'!$N$10,(ROW(F276)-5)/7,MOD((ROW(F276)-5),7))</f>
        <v>0</v>
      </c>
      <c r="G276" s="19">
        <f ca="1">OFFSET('1课程考核方式及成绩组成'!$V$10,(ROW(G276)-5)/7,MOD((ROW(G276)-5),7))</f>
        <v>0</v>
      </c>
      <c r="H276" s="19">
        <f ca="1">OFFSET('1课程考核方式及成绩组成'!$AD$10,(ROW(H276)-5)/7,MOD((ROW(H276)-5),7))</f>
        <v>0</v>
      </c>
      <c r="I276" s="19">
        <f ca="1">OFFSET('1课程考核方式及成绩组成'!$AL$10,(ROW(I276)-5)/7,MOD((ROW(I276)-5),7))</f>
        <v>0</v>
      </c>
      <c r="J276" s="25">
        <f ca="1">IF('0信息维护'!$I$115=0,0,E276/('0信息维护'!$I$115)*'0信息维护'!$E$40*'0信息维护'!$S$30)+IF('0信息维护'!$I$116=0,0,F276/('0信息维护'!$I$116)*'0信息维护'!$E$40*'0信息维护'!$T$30)+IF('0信息维护'!$I$117=0,0,G276/('0信息维护'!$I$117)*'0信息维护'!$E$40*'0信息维护'!$U$30)+IF('0信息维护'!$I$118=0,0,H276/('0信息维护'!$I$118)*'0信息维护'!$E$40*'0信息维护'!$V$30)+IF('0信息维护'!$I$119=0,0,I276/'0信息维护'!$I$119*'0信息维护'!$I$40)</f>
        <v>0</v>
      </c>
      <c r="K276" s="27"/>
    </row>
    <row r="277" spans="1:11">
      <c r="A277" s="21"/>
      <c r="B277" s="21"/>
      <c r="C277" s="21"/>
      <c r="D277" s="18" t="str">
        <f>'0信息维护'!A$31</f>
        <v>课程目标7</v>
      </c>
      <c r="E277" s="19">
        <f ca="1">OFFSET('1课程考核方式及成绩组成'!$F$10,(ROW(E277)-5)/7,MOD((ROW(E277)-5),7))</f>
        <v>0</v>
      </c>
      <c r="F277" s="19">
        <f ca="1">OFFSET('1课程考核方式及成绩组成'!$N$10,(ROW(F277)-5)/7,MOD((ROW(F277)-5),7))</f>
        <v>0</v>
      </c>
      <c r="G277" s="19">
        <f ca="1">OFFSET('1课程考核方式及成绩组成'!$V$10,(ROW(G277)-5)/7,MOD((ROW(G277)-5),7))</f>
        <v>0</v>
      </c>
      <c r="H277" s="19">
        <f ca="1">OFFSET('1课程考核方式及成绩组成'!$AD$10,(ROW(H277)-5)/7,MOD((ROW(H277)-5),7))</f>
        <v>0</v>
      </c>
      <c r="I277" s="19">
        <f ca="1">OFFSET('1课程考核方式及成绩组成'!$AL$10,(ROW(I277)-5)/7,MOD((ROW(I277)-5),7))</f>
        <v>0</v>
      </c>
      <c r="J277" s="25">
        <f ca="1">IF('0信息维护'!$I$121=0,0,E277/('0信息维护'!$I$121)*'0信息维护'!$E$41*'0信息维护'!$S$31)+IF('0信息维护'!$I$122=0,0,F277/('0信息维护'!$I$122)*'0信息维护'!$E$41*'0信息维护'!$T$31)+IF('0信息维护'!$I$123=0,0,G277/('0信息维护'!$I$123)*'0信息维护'!$E$41*'0信息维护'!$U$31)+IF('0信息维护'!$I$124=0,0,H277/('0信息维护'!$I$124)*'0信息维护'!$E$41*'0信息维护'!$T$31)+IF('0信息维护'!$I$125=0,0,I277/'0信息维护'!$I$125*'0信息维护'!$I$41)</f>
        <v>0</v>
      </c>
      <c r="K277" s="30"/>
    </row>
    <row r="278" spans="1:11">
      <c r="A278" s="17">
        <v>40</v>
      </c>
      <c r="B278" s="17" t="str">
        <f ca="1">OFFSET('1课程考核方式及成绩组成'!$D$10,(ROW(B278)-5)/7,)</f>
        <v>190302003</v>
      </c>
      <c r="C278" s="17" t="str">
        <f ca="1">OFFSET('1课程考核方式及成绩组成'!$E$10,(ROW(C278)-5)/7,)</f>
        <v>李森洪</v>
      </c>
      <c r="D278" s="18" t="str">
        <f>'0信息维护'!A$25</f>
        <v>课程目标1</v>
      </c>
      <c r="E278" s="19">
        <f ca="1">OFFSET('1课程考核方式及成绩组成'!$F$10,(ROW(E278)-5)/7,MOD((ROW(E278)-5),7))</f>
        <v>40</v>
      </c>
      <c r="F278" s="19">
        <f ca="1">OFFSET('1课程考核方式及成绩组成'!$N$10,(ROW(F278)-5)/7,MOD((ROW(F278)-5),7))</f>
        <v>0</v>
      </c>
      <c r="G278" s="19">
        <f ca="1">OFFSET('1课程考核方式及成绩组成'!$V$10,(ROW(G278)-5)/7,MOD((ROW(G278)-5),7))</f>
        <v>0</v>
      </c>
      <c r="H278" s="19">
        <f ca="1">OFFSET('1课程考核方式及成绩组成'!$AD$10,(ROW(H278)-5)/7,MOD((ROW(H278)-5),7))</f>
        <v>0</v>
      </c>
      <c r="I278" s="19">
        <f ca="1">OFFSET('1课程考核方式及成绩组成'!$AL$10,(ROW(I278)-5)/7,MOD((ROW(I278)-5),7))</f>
        <v>28</v>
      </c>
      <c r="J278" s="25">
        <f ca="1">IF('0信息维护'!$I$85=0,0,E278/('0信息维护'!$I$85)*'0信息维护'!$E$35*'0信息维护'!$S$25)+IF('0信息维护'!$I$86=0,0,F278/('0信息维护'!$I$86)*'0信息维护'!$E$35*'0信息维护'!$T$25)+IF('0信息维护'!$I$87=0,0,G278/('0信息维护'!$I$87)*'0信息维护'!$E$35*'0信息维护'!$U$25)+IF('0信息维护'!$I$88=0,0,H278/('0信息维护'!$I$88)*'0信息维护'!$E$35*'0信息维护'!$V$25)+IF('0信息维护'!$I$89=0,0,I278/'0信息维护'!$I$89*'0信息维护'!$I$35)</f>
        <v>0.888888888888889</v>
      </c>
      <c r="K278" s="26">
        <f ca="1">J278*'0信息维护'!$D$132+J279*'0信息维护'!$D$133+J280*'0信息维护'!$D$134+J281*'0信息维护'!$D$135+J282*'0信息维护'!$D$136+J283*'0信息维护'!$D$137+J284*'0信息维护'!$D$138</f>
        <v>0.762039215686274</v>
      </c>
    </row>
    <row r="279" spans="1:14">
      <c r="A279" s="20"/>
      <c r="B279" s="20"/>
      <c r="C279" s="20"/>
      <c r="D279" s="18" t="str">
        <f>'0信息维护'!A$26</f>
        <v>课程目标2</v>
      </c>
      <c r="E279" s="19">
        <f ca="1">OFFSET('1课程考核方式及成绩组成'!$F$10,(ROW(E279)-5)/7,MOD((ROW(E279)-5),7))</f>
        <v>60</v>
      </c>
      <c r="F279" s="19">
        <f ca="1">OFFSET('1课程考核方式及成绩组成'!$N$10,(ROW(F279)-5)/7,MOD((ROW(F279)-5),7))</f>
        <v>0</v>
      </c>
      <c r="G279" s="19">
        <f ca="1">OFFSET('1课程考核方式及成绩组成'!$V$10,(ROW(G279)-5)/7,MOD((ROW(G279)-5),7))</f>
        <v>0</v>
      </c>
      <c r="H279" s="19">
        <f ca="1">OFFSET('1课程考核方式及成绩组成'!$AD$10,(ROW(H279)-5)/7,MOD((ROW(H279)-5),7))</f>
        <v>0</v>
      </c>
      <c r="I279" s="19">
        <f ca="1">OFFSET('1课程考核方式及成绩组成'!$AL$10,(ROW(I279)-5)/7,MOD((ROW(I279)-5),7))</f>
        <v>18</v>
      </c>
      <c r="J279" s="25">
        <f ca="1">IF('0信息维护'!$I$91=0,0,E279/('0信息维护'!$I$91)*'0信息维护'!$S$26*'0信息维护'!$E$36)+IF('0信息维护'!$I$92=0,0,F279/('0信息维护'!$I$92)*'0信息维护'!$T$26*'0信息维护'!$E$36)+IF('0信息维护'!$I$93=0,0,G279/('0信息维护'!$I$93)*'0信息维护'!$U$26*'0信息维护'!$E$36)+IF('0信息维护'!$I$94=0,0,H279/('0信息维护'!$I$94)*'0信息维护'!$V$26*'0信息维护'!$E$36)+IF('0信息维护'!$I$95=0,0,I279/'0信息维护'!$I$95*'0信息维护'!$I$36)</f>
        <v>0.8</v>
      </c>
      <c r="K279" s="27"/>
      <c r="N279" s="29"/>
    </row>
    <row r="280" spans="1:11">
      <c r="A280" s="20"/>
      <c r="B280" s="20"/>
      <c r="C280" s="20"/>
      <c r="D280" s="18" t="str">
        <f>'0信息维护'!A$27</f>
        <v>课程目标3</v>
      </c>
      <c r="E280" s="19">
        <f ca="1">OFFSET('1课程考核方式及成绩组成'!$F$10,(ROW(E280)-5)/7,MOD((ROW(E280)-5),7))</f>
        <v>0</v>
      </c>
      <c r="F280" s="19">
        <f ca="1">OFFSET('1课程考核方式及成绩组成'!$N$10,(ROW(F280)-5)/7,MOD((ROW(F280)-5),7))</f>
        <v>0</v>
      </c>
      <c r="G280" s="19">
        <f ca="1">OFFSET('1课程考核方式及成绩组成'!$V$10,(ROW(G280)-5)/7,MOD((ROW(G280)-5),7))</f>
        <v>0</v>
      </c>
      <c r="H280" s="19">
        <f ca="1">OFFSET('1课程考核方式及成绩组成'!$AD$10,(ROW(H280)-5)/7,MOD((ROW(H280)-5),7))</f>
        <v>0</v>
      </c>
      <c r="I280" s="19">
        <f ca="1">OFFSET('1课程考核方式及成绩组成'!$AL$10,(ROW(I280)-5)/7,MOD((ROW(I280)-5),7))</f>
        <v>19</v>
      </c>
      <c r="J280" s="25">
        <f ca="1">IF('0信息维护'!$I$97=0,0,E280/('0信息维护'!$I$97)*'0信息维护'!$E$37*'0信息维护'!$S$27)+IF('0信息维护'!$I$98=0,0,F280/('0信息维护'!$I$98)*'0信息维护'!$E$37*'0信息维护'!$T$27)+IF('0信息维护'!$I$99=0,0,G280/('0信息维护'!$I$99)*'0信息维护'!$E$37*'0信息维护'!$U$27)+IF('0信息维护'!$I$100=0,0,H280/('0信息维护'!$I$100)*'0信息维护'!$E$37*'0信息维护'!$V$27)+IF('0信息维护'!$I$101=0,0,I280/'0信息维护'!$I$101*'0信息维护'!$I$37)</f>
        <v>0.558823529411765</v>
      </c>
      <c r="K280" s="27"/>
    </row>
    <row r="281" spans="1:11">
      <c r="A281" s="20"/>
      <c r="B281" s="20"/>
      <c r="C281" s="20"/>
      <c r="D281" s="18" t="str">
        <f>'0信息维护'!A$28</f>
        <v>课程目标4</v>
      </c>
      <c r="E281" s="19">
        <f ca="1">OFFSET('1课程考核方式及成绩组成'!$F$10,(ROW(E281)-5)/7,MOD((ROW(E281)-5),7))</f>
        <v>0</v>
      </c>
      <c r="F281" s="19">
        <f ca="1">OFFSET('1课程考核方式及成绩组成'!$N$10,(ROW(F281)-5)/7,MOD((ROW(F281)-5),7))</f>
        <v>83</v>
      </c>
      <c r="G281" s="19">
        <f ca="1">OFFSET('1课程考核方式及成绩组成'!$V$10,(ROW(G281)-5)/7,MOD((ROW(G281)-5),7))</f>
        <v>0</v>
      </c>
      <c r="H281" s="19">
        <f ca="1">OFFSET('1课程考核方式及成绩组成'!$AD$10,(ROW(H281)-5)/7,MOD((ROW(H281)-5),7))</f>
        <v>0</v>
      </c>
      <c r="I281" s="19">
        <f ca="1">OFFSET('1课程考核方式及成绩组成'!$AL$10,(ROW(I281)-5)/7,MOD((ROW(I281)-5),7))</f>
        <v>0</v>
      </c>
      <c r="J281" s="25">
        <f ca="1">IF('0信息维护'!$I$103=0,0,E281/('0信息维护'!$I$103)*'0信息维护'!$E$38*'0信息维护'!$S$28)+IF('0信息维护'!$I$104=0,0,F281/('0信息维护'!$I$104)*'0信息维护'!$E$38*'0信息维护'!$T$28)+IF('0信息维护'!$I$105=0,0,G281/('0信息维护'!$I$105)*'0信息维护'!$E$38*'0信息维护'!$U$28)+IF('0信息维护'!$I$106=0,0,H281/('0信息维护'!$I$106)*'0信息维护'!$E$38*'0信息维护'!$V$28)+IF('0信息维护'!$I$107=0,0,I281/'0信息维护'!$I$107*'0信息维护'!$I$38)</f>
        <v>0.83</v>
      </c>
      <c r="K281" s="27"/>
    </row>
    <row r="282" spans="1:11">
      <c r="A282" s="20"/>
      <c r="B282" s="20"/>
      <c r="C282" s="20"/>
      <c r="D282" s="18" t="str">
        <f>'0信息维护'!A$29</f>
        <v>课程目标5</v>
      </c>
      <c r="E282" s="19">
        <f ca="1">OFFSET('1课程考核方式及成绩组成'!$F$10,(ROW(E282)-5)/7,MOD((ROW(E282)-5),7))</f>
        <v>0</v>
      </c>
      <c r="F282" s="19">
        <f ca="1">OFFSET('1课程考核方式及成绩组成'!$N$10,(ROW(F282)-5)/7,MOD((ROW(F282)-5),7))</f>
        <v>0</v>
      </c>
      <c r="G282" s="19">
        <f ca="1">OFFSET('1课程考核方式及成绩组成'!$V$10,(ROW(G282)-5)/7,MOD((ROW(G282)-5),7))</f>
        <v>0</v>
      </c>
      <c r="H282" s="19">
        <f ca="1">OFFSET('1课程考核方式及成绩组成'!$AD$10,(ROW(H282)-5)/7,MOD((ROW(H282)-5),7))</f>
        <v>0</v>
      </c>
      <c r="I282" s="19">
        <f ca="1">OFFSET('1课程考核方式及成绩组成'!$AL$10,(ROW(I282)-5)/7,MOD((ROW(I282)-5),7))</f>
        <v>0</v>
      </c>
      <c r="J282" s="25">
        <f ca="1">IF('0信息维护'!$I$109=0,0,E282/('0信息维护'!$I$109)*'0信息维护'!$E$39*'0信息维护'!$S$29)+IF('0信息维护'!$I$110=0,0,F282/('0信息维护'!$I$110)*'0信息维护'!$E$39*'0信息维护'!$T$29)+IF('0信息维护'!$I$111=0,0,G282/('0信息维护'!$I$111)*'0信息维护'!$E$39*'0信息维护'!$U$29)+IF('0信息维护'!$I$112=0,0,H282/('0信息维护'!$I$112)*'0信息维护'!$E$39*'0信息维护'!$V$29)+IF('0信息维护'!$I$113=0,0,I282/'0信息维护'!$I$113*'0信息维护'!$I$39)</f>
        <v>0</v>
      </c>
      <c r="K282" s="27"/>
    </row>
    <row r="283" spans="1:11">
      <c r="A283" s="20"/>
      <c r="B283" s="20"/>
      <c r="C283" s="20"/>
      <c r="D283" s="18" t="str">
        <f>'0信息维护'!A$30</f>
        <v>课程目标6</v>
      </c>
      <c r="E283" s="19">
        <f ca="1">OFFSET('1课程考核方式及成绩组成'!$F$10,(ROW(E283)-5)/7,MOD((ROW(E283)-5),7))</f>
        <v>0</v>
      </c>
      <c r="F283" s="19">
        <f ca="1">OFFSET('1课程考核方式及成绩组成'!$N$10,(ROW(F283)-5)/7,MOD((ROW(F283)-5),7))</f>
        <v>0</v>
      </c>
      <c r="G283" s="19">
        <f ca="1">OFFSET('1课程考核方式及成绩组成'!$V$10,(ROW(G283)-5)/7,MOD((ROW(G283)-5),7))</f>
        <v>0</v>
      </c>
      <c r="H283" s="19">
        <f ca="1">OFFSET('1课程考核方式及成绩组成'!$AD$10,(ROW(H283)-5)/7,MOD((ROW(H283)-5),7))</f>
        <v>0</v>
      </c>
      <c r="I283" s="19">
        <f ca="1">OFFSET('1课程考核方式及成绩组成'!$AL$10,(ROW(I283)-5)/7,MOD((ROW(I283)-5),7))</f>
        <v>0</v>
      </c>
      <c r="J283" s="25">
        <f ca="1">IF('0信息维护'!$I$115=0,0,E283/('0信息维护'!$I$115)*'0信息维护'!$E$40*'0信息维护'!$S$30)+IF('0信息维护'!$I$116=0,0,F283/('0信息维护'!$I$116)*'0信息维护'!$E$40*'0信息维护'!$T$30)+IF('0信息维护'!$I$117=0,0,G283/('0信息维护'!$I$117)*'0信息维护'!$E$40*'0信息维护'!$U$30)+IF('0信息维护'!$I$118=0,0,H283/('0信息维护'!$I$118)*'0信息维护'!$E$40*'0信息维护'!$V$30)+IF('0信息维护'!$I$119=0,0,I283/'0信息维护'!$I$119*'0信息维护'!$I$40)</f>
        <v>0</v>
      </c>
      <c r="K283" s="27"/>
    </row>
    <row r="284" spans="1:11">
      <c r="A284" s="21"/>
      <c r="B284" s="21"/>
      <c r="C284" s="21"/>
      <c r="D284" s="18" t="str">
        <f>'0信息维护'!A$31</f>
        <v>课程目标7</v>
      </c>
      <c r="E284" s="19">
        <f ca="1">OFFSET('1课程考核方式及成绩组成'!$F$10,(ROW(E284)-5)/7,MOD((ROW(E284)-5),7))</f>
        <v>0</v>
      </c>
      <c r="F284" s="19">
        <f ca="1">OFFSET('1课程考核方式及成绩组成'!$N$10,(ROW(F284)-5)/7,MOD((ROW(F284)-5),7))</f>
        <v>0</v>
      </c>
      <c r="G284" s="19">
        <f ca="1">OFFSET('1课程考核方式及成绩组成'!$V$10,(ROW(G284)-5)/7,MOD((ROW(G284)-5),7))</f>
        <v>0</v>
      </c>
      <c r="H284" s="19">
        <f ca="1">OFFSET('1课程考核方式及成绩组成'!$AD$10,(ROW(H284)-5)/7,MOD((ROW(H284)-5),7))</f>
        <v>0</v>
      </c>
      <c r="I284" s="19">
        <f ca="1">OFFSET('1课程考核方式及成绩组成'!$AL$10,(ROW(I284)-5)/7,MOD((ROW(I284)-5),7))</f>
        <v>0</v>
      </c>
      <c r="J284" s="25">
        <f ca="1">IF('0信息维护'!$I$121=0,0,E284/('0信息维护'!$I$121)*'0信息维护'!$E$41*'0信息维护'!$S$31)+IF('0信息维护'!$I$122=0,0,F284/('0信息维护'!$I$122)*'0信息维护'!$E$41*'0信息维护'!$T$31)+IF('0信息维护'!$I$123=0,0,G284/('0信息维护'!$I$123)*'0信息维护'!$E$41*'0信息维护'!$U$31)+IF('0信息维护'!$I$124=0,0,H284/('0信息维护'!$I$124)*'0信息维护'!$E$41*'0信息维护'!$T$31)+IF('0信息维护'!$I$125=0,0,I284/'0信息维护'!$I$125*'0信息维护'!$I$41)</f>
        <v>0</v>
      </c>
      <c r="K284" s="30"/>
    </row>
    <row r="285" spans="1:11">
      <c r="A285" s="17">
        <v>41</v>
      </c>
      <c r="B285" s="17" t="str">
        <f ca="1">OFFSET('1课程考核方式及成绩组成'!$D$10,(ROW(B285)-5)/7,)</f>
        <v>190302004</v>
      </c>
      <c r="C285" s="17" t="str">
        <f ca="1">OFFSET('1课程考核方式及成绩组成'!$E$10,(ROW(C285)-5)/7,)</f>
        <v>陈鹏</v>
      </c>
      <c r="D285" s="18" t="str">
        <f>'0信息维护'!A$25</f>
        <v>课程目标1</v>
      </c>
      <c r="E285" s="19">
        <f ca="1">OFFSET('1课程考核方式及成绩组成'!$F$10,(ROW(E285)-5)/7,MOD((ROW(E285)-5),7))</f>
        <v>40</v>
      </c>
      <c r="F285" s="19">
        <f ca="1">OFFSET('1课程考核方式及成绩组成'!$N$10,(ROW(F285)-5)/7,MOD((ROW(F285)-5),7))</f>
        <v>0</v>
      </c>
      <c r="G285" s="19">
        <f ca="1">OFFSET('1课程考核方式及成绩组成'!$V$10,(ROW(G285)-5)/7,MOD((ROW(G285)-5),7))</f>
        <v>0</v>
      </c>
      <c r="H285" s="19">
        <f ca="1">OFFSET('1课程考核方式及成绩组成'!$AD$10,(ROW(H285)-5)/7,MOD((ROW(H285)-5),7))</f>
        <v>0</v>
      </c>
      <c r="I285" s="19">
        <f ca="1">OFFSET('1课程考核方式及成绩组成'!$AL$10,(ROW(I285)-5)/7,MOD((ROW(I285)-5),7))</f>
        <v>26</v>
      </c>
      <c r="J285" s="25">
        <f ca="1">IF('0信息维护'!$I$85=0,0,E285/('0信息维护'!$I$85)*'0信息维护'!$E$35*'0信息维护'!$S$25)+IF('0信息维护'!$I$86=0,0,F285/('0信息维护'!$I$86)*'0信息维护'!$E$35*'0信息维护'!$T$25)+IF('0信息维护'!$I$87=0,0,G285/('0信息维护'!$I$87)*'0信息维护'!$E$35*'0信息维护'!$U$25)+IF('0信息维护'!$I$88=0,0,H285/('0信息维护'!$I$88)*'0信息维护'!$E$35*'0信息维护'!$V$25)+IF('0信息维护'!$I$89=0,0,I285/'0信息维护'!$I$89*'0信息维护'!$I$35)</f>
        <v>0.861111111111111</v>
      </c>
      <c r="K285" s="26">
        <f ca="1">J285*'0信息维护'!$D$132+J286*'0信息维护'!$D$133+J287*'0信息维护'!$D$134+J288*'0信息维护'!$D$135+J289*'0信息维护'!$D$136+J290*'0信息维护'!$D$137+J291*'0信息维护'!$D$138</f>
        <v>0.668401960784314</v>
      </c>
    </row>
    <row r="286" spans="1:14">
      <c r="A286" s="20"/>
      <c r="B286" s="20"/>
      <c r="C286" s="20"/>
      <c r="D286" s="18" t="str">
        <f>'0信息维护'!A$26</f>
        <v>课程目标2</v>
      </c>
      <c r="E286" s="19">
        <f ca="1">OFFSET('1课程考核方式及成绩组成'!$F$10,(ROW(E286)-5)/7,MOD((ROW(E286)-5),7))</f>
        <v>60</v>
      </c>
      <c r="F286" s="19">
        <f ca="1">OFFSET('1课程考核方式及成绩组成'!$N$10,(ROW(F286)-5)/7,MOD((ROW(F286)-5),7))</f>
        <v>0</v>
      </c>
      <c r="G286" s="19">
        <f ca="1">OFFSET('1课程考核方式及成绩组成'!$V$10,(ROW(G286)-5)/7,MOD((ROW(G286)-5),7))</f>
        <v>0</v>
      </c>
      <c r="H286" s="19">
        <f ca="1">OFFSET('1课程考核方式及成绩组成'!$AD$10,(ROW(H286)-5)/7,MOD((ROW(H286)-5),7))</f>
        <v>0</v>
      </c>
      <c r="I286" s="19">
        <f ca="1">OFFSET('1课程考核方式及成绩组成'!$AL$10,(ROW(I286)-5)/7,MOD((ROW(I286)-5),7))</f>
        <v>14</v>
      </c>
      <c r="J286" s="25">
        <f ca="1">IF('0信息维护'!$I$91=0,0,E286/('0信息维护'!$I$91)*'0信息维护'!$S$26*'0信息维护'!$E$36)+IF('0信息维护'!$I$92=0,0,F286/('0信息维护'!$I$92)*'0信息维护'!$T$26*'0信息维护'!$E$36)+IF('0信息维护'!$I$93=0,0,G286/('0信息维护'!$I$93)*'0信息维护'!$U$26*'0信息维护'!$E$36)+IF('0信息维护'!$I$94=0,0,H286/('0信息维护'!$I$94)*'0信息维护'!$V$26*'0信息维护'!$E$36)+IF('0信息维护'!$I$95=0,0,I286/'0信息维护'!$I$95*'0信息维护'!$I$36)</f>
        <v>0.733333333333333</v>
      </c>
      <c r="K286" s="27"/>
      <c r="N286" s="29"/>
    </row>
    <row r="287" spans="1:11">
      <c r="A287" s="20"/>
      <c r="B287" s="20"/>
      <c r="C287" s="20"/>
      <c r="D287" s="18" t="str">
        <f>'0信息维护'!A$27</f>
        <v>课程目标3</v>
      </c>
      <c r="E287" s="19">
        <f ca="1">OFFSET('1课程考核方式及成绩组成'!$F$10,(ROW(E287)-5)/7,MOD((ROW(E287)-5),7))</f>
        <v>0</v>
      </c>
      <c r="F287" s="19">
        <f ca="1">OFFSET('1课程考核方式及成绩组成'!$N$10,(ROW(F287)-5)/7,MOD((ROW(F287)-5),7))</f>
        <v>0</v>
      </c>
      <c r="G287" s="19">
        <f ca="1">OFFSET('1课程考核方式及成绩组成'!$V$10,(ROW(G287)-5)/7,MOD((ROW(G287)-5),7))</f>
        <v>0</v>
      </c>
      <c r="H287" s="19">
        <f ca="1">OFFSET('1课程考核方式及成绩组成'!$AD$10,(ROW(H287)-5)/7,MOD((ROW(H287)-5),7))</f>
        <v>0</v>
      </c>
      <c r="I287" s="19">
        <f ca="1">OFFSET('1课程考核方式及成绩组成'!$AL$10,(ROW(I287)-5)/7,MOD((ROW(I287)-5),7))</f>
        <v>12</v>
      </c>
      <c r="J287" s="25">
        <f ca="1">IF('0信息维护'!$I$97=0,0,E287/('0信息维护'!$I$97)*'0信息维护'!$E$37*'0信息维护'!$S$27)+IF('0信息维护'!$I$98=0,0,F287/('0信息维护'!$I$98)*'0信息维护'!$E$37*'0信息维护'!$T$27)+IF('0信息维护'!$I$99=0,0,G287/('0信息维护'!$I$99)*'0信息维护'!$E$37*'0信息维护'!$U$27)+IF('0信息维护'!$I$100=0,0,H287/('0信息维护'!$I$100)*'0信息维护'!$E$37*'0信息维护'!$V$27)+IF('0信息维护'!$I$101=0,0,I287/'0信息维护'!$I$101*'0信息维护'!$I$37)</f>
        <v>0.352941176470588</v>
      </c>
      <c r="K287" s="27"/>
    </row>
    <row r="288" spans="1:11">
      <c r="A288" s="20"/>
      <c r="B288" s="20"/>
      <c r="C288" s="20"/>
      <c r="D288" s="18" t="str">
        <f>'0信息维护'!A$28</f>
        <v>课程目标4</v>
      </c>
      <c r="E288" s="19">
        <f ca="1">OFFSET('1课程考核方式及成绩组成'!$F$10,(ROW(E288)-5)/7,MOD((ROW(E288)-5),7))</f>
        <v>0</v>
      </c>
      <c r="F288" s="19">
        <f ca="1">OFFSET('1课程考核方式及成绩组成'!$N$10,(ROW(F288)-5)/7,MOD((ROW(F288)-5),7))</f>
        <v>77</v>
      </c>
      <c r="G288" s="19">
        <f ca="1">OFFSET('1课程考核方式及成绩组成'!$V$10,(ROW(G288)-5)/7,MOD((ROW(G288)-5),7))</f>
        <v>0</v>
      </c>
      <c r="H288" s="19">
        <f ca="1">OFFSET('1课程考核方式及成绩组成'!$AD$10,(ROW(H288)-5)/7,MOD((ROW(H288)-5),7))</f>
        <v>0</v>
      </c>
      <c r="I288" s="19">
        <f ca="1">OFFSET('1课程考核方式及成绩组成'!$AL$10,(ROW(I288)-5)/7,MOD((ROW(I288)-5),7))</f>
        <v>0</v>
      </c>
      <c r="J288" s="25">
        <f ca="1">IF('0信息维护'!$I$103=0,0,E288/('0信息维护'!$I$103)*'0信息维护'!$E$38*'0信息维护'!$S$28)+IF('0信息维护'!$I$104=0,0,F288/('0信息维护'!$I$104)*'0信息维护'!$E$38*'0信息维护'!$T$28)+IF('0信息维护'!$I$105=0,0,G288/('0信息维护'!$I$105)*'0信息维护'!$E$38*'0信息维护'!$U$28)+IF('0信息维护'!$I$106=0,0,H288/('0信息维护'!$I$106)*'0信息维护'!$E$38*'0信息维护'!$V$28)+IF('0信息维护'!$I$107=0,0,I288/'0信息维护'!$I$107*'0信息维护'!$I$38)</f>
        <v>0.77</v>
      </c>
      <c r="K288" s="27"/>
    </row>
    <row r="289" spans="1:11">
      <c r="A289" s="20"/>
      <c r="B289" s="20"/>
      <c r="C289" s="20"/>
      <c r="D289" s="18" t="str">
        <f>'0信息维护'!A$29</f>
        <v>课程目标5</v>
      </c>
      <c r="E289" s="19">
        <f ca="1">OFFSET('1课程考核方式及成绩组成'!$F$10,(ROW(E289)-5)/7,MOD((ROW(E289)-5),7))</f>
        <v>0</v>
      </c>
      <c r="F289" s="19">
        <f ca="1">OFFSET('1课程考核方式及成绩组成'!$N$10,(ROW(F289)-5)/7,MOD((ROW(F289)-5),7))</f>
        <v>0</v>
      </c>
      <c r="G289" s="19">
        <f ca="1">OFFSET('1课程考核方式及成绩组成'!$V$10,(ROW(G289)-5)/7,MOD((ROW(G289)-5),7))</f>
        <v>0</v>
      </c>
      <c r="H289" s="19">
        <f ca="1">OFFSET('1课程考核方式及成绩组成'!$AD$10,(ROW(H289)-5)/7,MOD((ROW(H289)-5),7))</f>
        <v>0</v>
      </c>
      <c r="I289" s="19">
        <f ca="1">OFFSET('1课程考核方式及成绩组成'!$AL$10,(ROW(I289)-5)/7,MOD((ROW(I289)-5),7))</f>
        <v>0</v>
      </c>
      <c r="J289" s="25">
        <f ca="1">IF('0信息维护'!$I$109=0,0,E289/('0信息维护'!$I$109)*'0信息维护'!$E$39*'0信息维护'!$S$29)+IF('0信息维护'!$I$110=0,0,F289/('0信息维护'!$I$110)*'0信息维护'!$E$39*'0信息维护'!$T$29)+IF('0信息维护'!$I$111=0,0,G289/('0信息维护'!$I$111)*'0信息维护'!$E$39*'0信息维护'!$U$29)+IF('0信息维护'!$I$112=0,0,H289/('0信息维护'!$I$112)*'0信息维护'!$E$39*'0信息维护'!$V$29)+IF('0信息维护'!$I$113=0,0,I289/'0信息维护'!$I$113*'0信息维护'!$I$39)</f>
        <v>0</v>
      </c>
      <c r="K289" s="27"/>
    </row>
    <row r="290" spans="1:11">
      <c r="A290" s="20"/>
      <c r="B290" s="20"/>
      <c r="C290" s="20"/>
      <c r="D290" s="18" t="str">
        <f>'0信息维护'!A$30</f>
        <v>课程目标6</v>
      </c>
      <c r="E290" s="19">
        <f ca="1">OFFSET('1课程考核方式及成绩组成'!$F$10,(ROW(E290)-5)/7,MOD((ROW(E290)-5),7))</f>
        <v>0</v>
      </c>
      <c r="F290" s="19">
        <f ca="1">OFFSET('1课程考核方式及成绩组成'!$N$10,(ROW(F290)-5)/7,MOD((ROW(F290)-5),7))</f>
        <v>0</v>
      </c>
      <c r="G290" s="19">
        <f ca="1">OFFSET('1课程考核方式及成绩组成'!$V$10,(ROW(G290)-5)/7,MOD((ROW(G290)-5),7))</f>
        <v>0</v>
      </c>
      <c r="H290" s="19">
        <f ca="1">OFFSET('1课程考核方式及成绩组成'!$AD$10,(ROW(H290)-5)/7,MOD((ROW(H290)-5),7))</f>
        <v>0</v>
      </c>
      <c r="I290" s="19">
        <f ca="1">OFFSET('1课程考核方式及成绩组成'!$AL$10,(ROW(I290)-5)/7,MOD((ROW(I290)-5),7))</f>
        <v>0</v>
      </c>
      <c r="J290" s="25">
        <f ca="1">IF('0信息维护'!$I$115=0,0,E290/('0信息维护'!$I$115)*'0信息维护'!$E$40*'0信息维护'!$S$30)+IF('0信息维护'!$I$116=0,0,F290/('0信息维护'!$I$116)*'0信息维护'!$E$40*'0信息维护'!$T$30)+IF('0信息维护'!$I$117=0,0,G290/('0信息维护'!$I$117)*'0信息维护'!$E$40*'0信息维护'!$U$30)+IF('0信息维护'!$I$118=0,0,H290/('0信息维护'!$I$118)*'0信息维护'!$E$40*'0信息维护'!$V$30)+IF('0信息维护'!$I$119=0,0,I290/'0信息维护'!$I$119*'0信息维护'!$I$40)</f>
        <v>0</v>
      </c>
      <c r="K290" s="27"/>
    </row>
    <row r="291" spans="1:11">
      <c r="A291" s="21"/>
      <c r="B291" s="21"/>
      <c r="C291" s="21"/>
      <c r="D291" s="18" t="str">
        <f>'0信息维护'!A$31</f>
        <v>课程目标7</v>
      </c>
      <c r="E291" s="19">
        <f ca="1">OFFSET('1课程考核方式及成绩组成'!$F$10,(ROW(E291)-5)/7,MOD((ROW(E291)-5),7))</f>
        <v>0</v>
      </c>
      <c r="F291" s="19">
        <f ca="1">OFFSET('1课程考核方式及成绩组成'!$N$10,(ROW(F291)-5)/7,MOD((ROW(F291)-5),7))</f>
        <v>0</v>
      </c>
      <c r="G291" s="19">
        <f ca="1">OFFSET('1课程考核方式及成绩组成'!$V$10,(ROW(G291)-5)/7,MOD((ROW(G291)-5),7))</f>
        <v>0</v>
      </c>
      <c r="H291" s="19">
        <f ca="1">OFFSET('1课程考核方式及成绩组成'!$AD$10,(ROW(H291)-5)/7,MOD((ROW(H291)-5),7))</f>
        <v>0</v>
      </c>
      <c r="I291" s="19">
        <f ca="1">OFFSET('1课程考核方式及成绩组成'!$AL$10,(ROW(I291)-5)/7,MOD((ROW(I291)-5),7))</f>
        <v>0</v>
      </c>
      <c r="J291" s="25">
        <f ca="1">IF('0信息维护'!$I$121=0,0,E291/('0信息维护'!$I$121)*'0信息维护'!$E$41*'0信息维护'!$S$31)+IF('0信息维护'!$I$122=0,0,F291/('0信息维护'!$I$122)*'0信息维护'!$E$41*'0信息维护'!$T$31)+IF('0信息维护'!$I$123=0,0,G291/('0信息维护'!$I$123)*'0信息维护'!$E$41*'0信息维护'!$U$31)+IF('0信息维护'!$I$124=0,0,H291/('0信息维护'!$I$124)*'0信息维护'!$E$41*'0信息维护'!$T$31)+IF('0信息维护'!$I$125=0,0,I291/'0信息维护'!$I$125*'0信息维护'!$I$41)</f>
        <v>0</v>
      </c>
      <c r="K291" s="30"/>
    </row>
    <row r="292" spans="1:11">
      <c r="A292" s="17">
        <v>42</v>
      </c>
      <c r="B292" s="17" t="str">
        <f ca="1">OFFSET('1课程考核方式及成绩组成'!$D$10,(ROW(B292)-5)/7,)</f>
        <v>190302005</v>
      </c>
      <c r="C292" s="17" t="str">
        <f ca="1">OFFSET('1课程考核方式及成绩组成'!$E$10,(ROW(C292)-5)/7,)</f>
        <v>刘云川</v>
      </c>
      <c r="D292" s="18" t="str">
        <f>'0信息维护'!A$25</f>
        <v>课程目标1</v>
      </c>
      <c r="E292" s="19">
        <f ca="1">OFFSET('1课程考核方式及成绩组成'!$F$10,(ROW(E292)-5)/7,MOD((ROW(E292)-5),7))</f>
        <v>40</v>
      </c>
      <c r="F292" s="19">
        <f ca="1">OFFSET('1课程考核方式及成绩组成'!$N$10,(ROW(F292)-5)/7,MOD((ROW(F292)-5),7))</f>
        <v>0</v>
      </c>
      <c r="G292" s="19">
        <f ca="1">OFFSET('1课程考核方式及成绩组成'!$V$10,(ROW(G292)-5)/7,MOD((ROW(G292)-5),7))</f>
        <v>0</v>
      </c>
      <c r="H292" s="19">
        <f ca="1">OFFSET('1课程考核方式及成绩组成'!$AD$10,(ROW(H292)-5)/7,MOD((ROW(H292)-5),7))</f>
        <v>0</v>
      </c>
      <c r="I292" s="19">
        <f ca="1">OFFSET('1课程考核方式及成绩组成'!$AL$10,(ROW(I292)-5)/7,MOD((ROW(I292)-5),7))</f>
        <v>28</v>
      </c>
      <c r="J292" s="25">
        <f ca="1">IF('0信息维护'!$I$85=0,0,E292/('0信息维护'!$I$85)*'0信息维护'!$E$35*'0信息维护'!$S$25)+IF('0信息维护'!$I$86=0,0,F292/('0信息维护'!$I$86)*'0信息维护'!$E$35*'0信息维护'!$T$25)+IF('0信息维护'!$I$87=0,0,G292/('0信息维护'!$I$87)*'0信息维护'!$E$35*'0信息维护'!$U$25)+IF('0信息维护'!$I$88=0,0,H292/('0信息维护'!$I$88)*'0信息维护'!$E$35*'0信息维护'!$V$25)+IF('0信息维护'!$I$89=0,0,I292/'0信息维护'!$I$89*'0信息维护'!$I$35)</f>
        <v>0.888888888888889</v>
      </c>
      <c r="K292" s="26">
        <f ca="1">J292*'0信息维护'!$D$132+J293*'0信息维护'!$D$133+J294*'0信息维护'!$D$134+J295*'0信息维护'!$D$135+J296*'0信息维护'!$D$136+J297*'0信息维护'!$D$137+J298*'0信息维护'!$D$138</f>
        <v>0.781745098039216</v>
      </c>
    </row>
    <row r="293" spans="1:14">
      <c r="A293" s="20"/>
      <c r="B293" s="20"/>
      <c r="C293" s="20"/>
      <c r="D293" s="18" t="str">
        <f>'0信息维护'!A$26</f>
        <v>课程目标2</v>
      </c>
      <c r="E293" s="19">
        <f ca="1">OFFSET('1课程考核方式及成绩组成'!$F$10,(ROW(E293)-5)/7,MOD((ROW(E293)-5),7))</f>
        <v>60</v>
      </c>
      <c r="F293" s="19">
        <f ca="1">OFFSET('1课程考核方式及成绩组成'!$N$10,(ROW(F293)-5)/7,MOD((ROW(F293)-5),7))</f>
        <v>0</v>
      </c>
      <c r="G293" s="19">
        <f ca="1">OFFSET('1课程考核方式及成绩组成'!$V$10,(ROW(G293)-5)/7,MOD((ROW(G293)-5),7))</f>
        <v>0</v>
      </c>
      <c r="H293" s="19">
        <f ca="1">OFFSET('1课程考核方式及成绩组成'!$AD$10,(ROW(H293)-5)/7,MOD((ROW(H293)-5),7))</f>
        <v>0</v>
      </c>
      <c r="I293" s="19">
        <f ca="1">OFFSET('1课程考核方式及成绩组成'!$AL$10,(ROW(I293)-5)/7,MOD((ROW(I293)-5),7))</f>
        <v>16</v>
      </c>
      <c r="J293" s="25">
        <f ca="1">IF('0信息维护'!$I$91=0,0,E293/('0信息维护'!$I$91)*'0信息维护'!$S$26*'0信息维护'!$E$36)+IF('0信息维护'!$I$92=0,0,F293/('0信息维护'!$I$92)*'0信息维护'!$T$26*'0信息维护'!$E$36)+IF('0信息维护'!$I$93=0,0,G293/('0信息维护'!$I$93)*'0信息维护'!$U$26*'0信息维护'!$E$36)+IF('0信息维护'!$I$94=0,0,H293/('0信息维护'!$I$94)*'0信息维护'!$V$26*'0信息维护'!$E$36)+IF('0信息维护'!$I$95=0,0,I293/'0信息维护'!$I$95*'0信息维护'!$I$36)</f>
        <v>0.766666666666667</v>
      </c>
      <c r="K293" s="27"/>
      <c r="N293" s="29"/>
    </row>
    <row r="294" spans="1:11">
      <c r="A294" s="20"/>
      <c r="B294" s="20"/>
      <c r="C294" s="20"/>
      <c r="D294" s="18" t="str">
        <f>'0信息维护'!A$27</f>
        <v>课程目标3</v>
      </c>
      <c r="E294" s="19">
        <f ca="1">OFFSET('1课程考核方式及成绩组成'!$F$10,(ROW(E294)-5)/7,MOD((ROW(E294)-5),7))</f>
        <v>0</v>
      </c>
      <c r="F294" s="19">
        <f ca="1">OFFSET('1课程考核方式及成绩组成'!$N$10,(ROW(F294)-5)/7,MOD((ROW(F294)-5),7))</f>
        <v>0</v>
      </c>
      <c r="G294" s="19">
        <f ca="1">OFFSET('1课程考核方式及成绩组成'!$V$10,(ROW(G294)-5)/7,MOD((ROW(G294)-5),7))</f>
        <v>0</v>
      </c>
      <c r="H294" s="19">
        <f ca="1">OFFSET('1课程考核方式及成绩组成'!$AD$10,(ROW(H294)-5)/7,MOD((ROW(H294)-5),7))</f>
        <v>0</v>
      </c>
      <c r="I294" s="19">
        <f ca="1">OFFSET('1课程考核方式及成绩组成'!$AL$10,(ROW(I294)-5)/7,MOD((ROW(I294)-5),7))</f>
        <v>21</v>
      </c>
      <c r="J294" s="25">
        <f ca="1">IF('0信息维护'!$I$97=0,0,E294/('0信息维护'!$I$97)*'0信息维护'!$E$37*'0信息维护'!$S$27)+IF('0信息维护'!$I$98=0,0,F294/('0信息维护'!$I$98)*'0信息维护'!$E$37*'0信息维护'!$T$27)+IF('0信息维护'!$I$99=0,0,G294/('0信息维护'!$I$99)*'0信息维护'!$E$37*'0信息维护'!$U$27)+IF('0信息维护'!$I$100=0,0,H294/('0信息维护'!$I$100)*'0信息维护'!$E$37*'0信息维护'!$V$27)+IF('0信息维护'!$I$101=0,0,I294/'0信息维护'!$I$101*'0信息维护'!$I$37)</f>
        <v>0.617647058823529</v>
      </c>
      <c r="K294" s="27"/>
    </row>
    <row r="295" spans="1:11">
      <c r="A295" s="20"/>
      <c r="B295" s="20"/>
      <c r="C295" s="20"/>
      <c r="D295" s="18" t="str">
        <f>'0信息维护'!A$28</f>
        <v>课程目标4</v>
      </c>
      <c r="E295" s="19">
        <f ca="1">OFFSET('1课程考核方式及成绩组成'!$F$10,(ROW(E295)-5)/7,MOD((ROW(E295)-5),7))</f>
        <v>0</v>
      </c>
      <c r="F295" s="19">
        <f ca="1">OFFSET('1课程考核方式及成绩组成'!$N$10,(ROW(F295)-5)/7,MOD((ROW(F295)-5),7))</f>
        <v>88</v>
      </c>
      <c r="G295" s="19">
        <f ca="1">OFFSET('1课程考核方式及成绩组成'!$V$10,(ROW(G295)-5)/7,MOD((ROW(G295)-5),7))</f>
        <v>0</v>
      </c>
      <c r="H295" s="19">
        <f ca="1">OFFSET('1课程考核方式及成绩组成'!$AD$10,(ROW(H295)-5)/7,MOD((ROW(H295)-5),7))</f>
        <v>0</v>
      </c>
      <c r="I295" s="19">
        <f ca="1">OFFSET('1课程考核方式及成绩组成'!$AL$10,(ROW(I295)-5)/7,MOD((ROW(I295)-5),7))</f>
        <v>0</v>
      </c>
      <c r="J295" s="25">
        <f ca="1">IF('0信息维护'!$I$103=0,0,E295/('0信息维护'!$I$103)*'0信息维护'!$E$38*'0信息维护'!$S$28)+IF('0信息维护'!$I$104=0,0,F295/('0信息维护'!$I$104)*'0信息维护'!$E$38*'0信息维护'!$T$28)+IF('0信息维护'!$I$105=0,0,G295/('0信息维护'!$I$105)*'0信息维护'!$E$38*'0信息维护'!$U$28)+IF('0信息维护'!$I$106=0,0,H295/('0信息维护'!$I$106)*'0信息维护'!$E$38*'0信息维护'!$V$28)+IF('0信息维护'!$I$107=0,0,I295/'0信息维护'!$I$107*'0信息维护'!$I$38)</f>
        <v>0.88</v>
      </c>
      <c r="K295" s="27"/>
    </row>
    <row r="296" spans="1:11">
      <c r="A296" s="20"/>
      <c r="B296" s="20"/>
      <c r="C296" s="20"/>
      <c r="D296" s="18" t="str">
        <f>'0信息维护'!A$29</f>
        <v>课程目标5</v>
      </c>
      <c r="E296" s="19">
        <f ca="1">OFFSET('1课程考核方式及成绩组成'!$F$10,(ROW(E296)-5)/7,MOD((ROW(E296)-5),7))</f>
        <v>0</v>
      </c>
      <c r="F296" s="19">
        <f ca="1">OFFSET('1课程考核方式及成绩组成'!$N$10,(ROW(F296)-5)/7,MOD((ROW(F296)-5),7))</f>
        <v>0</v>
      </c>
      <c r="G296" s="19">
        <f ca="1">OFFSET('1课程考核方式及成绩组成'!$V$10,(ROW(G296)-5)/7,MOD((ROW(G296)-5),7))</f>
        <v>0</v>
      </c>
      <c r="H296" s="19">
        <f ca="1">OFFSET('1课程考核方式及成绩组成'!$AD$10,(ROW(H296)-5)/7,MOD((ROW(H296)-5),7))</f>
        <v>0</v>
      </c>
      <c r="I296" s="19">
        <f ca="1">OFFSET('1课程考核方式及成绩组成'!$AL$10,(ROW(I296)-5)/7,MOD((ROW(I296)-5),7))</f>
        <v>0</v>
      </c>
      <c r="J296" s="25">
        <f ca="1">IF('0信息维护'!$I$109=0,0,E296/('0信息维护'!$I$109)*'0信息维护'!$E$39*'0信息维护'!$S$29)+IF('0信息维护'!$I$110=0,0,F296/('0信息维护'!$I$110)*'0信息维护'!$E$39*'0信息维护'!$T$29)+IF('0信息维护'!$I$111=0,0,G296/('0信息维护'!$I$111)*'0信息维护'!$E$39*'0信息维护'!$U$29)+IF('0信息维护'!$I$112=0,0,H296/('0信息维护'!$I$112)*'0信息维护'!$E$39*'0信息维护'!$V$29)+IF('0信息维护'!$I$113=0,0,I296/'0信息维护'!$I$113*'0信息维护'!$I$39)</f>
        <v>0</v>
      </c>
      <c r="K296" s="27"/>
    </row>
    <row r="297" spans="1:11">
      <c r="A297" s="20"/>
      <c r="B297" s="20"/>
      <c r="C297" s="20"/>
      <c r="D297" s="18" t="str">
        <f>'0信息维护'!A$30</f>
        <v>课程目标6</v>
      </c>
      <c r="E297" s="19">
        <f ca="1">OFFSET('1课程考核方式及成绩组成'!$F$10,(ROW(E297)-5)/7,MOD((ROW(E297)-5),7))</f>
        <v>0</v>
      </c>
      <c r="F297" s="19">
        <f ca="1">OFFSET('1课程考核方式及成绩组成'!$N$10,(ROW(F297)-5)/7,MOD((ROW(F297)-5),7))</f>
        <v>0</v>
      </c>
      <c r="G297" s="19">
        <f ca="1">OFFSET('1课程考核方式及成绩组成'!$V$10,(ROW(G297)-5)/7,MOD((ROW(G297)-5),7))</f>
        <v>0</v>
      </c>
      <c r="H297" s="19">
        <f ca="1">OFFSET('1课程考核方式及成绩组成'!$AD$10,(ROW(H297)-5)/7,MOD((ROW(H297)-5),7))</f>
        <v>0</v>
      </c>
      <c r="I297" s="19">
        <f ca="1">OFFSET('1课程考核方式及成绩组成'!$AL$10,(ROW(I297)-5)/7,MOD((ROW(I297)-5),7))</f>
        <v>0</v>
      </c>
      <c r="J297" s="25">
        <f ca="1">IF('0信息维护'!$I$115=0,0,E297/('0信息维护'!$I$115)*'0信息维护'!$E$40*'0信息维护'!$S$30)+IF('0信息维护'!$I$116=0,0,F297/('0信息维护'!$I$116)*'0信息维护'!$E$40*'0信息维护'!$T$30)+IF('0信息维护'!$I$117=0,0,G297/('0信息维护'!$I$117)*'0信息维护'!$E$40*'0信息维护'!$U$30)+IF('0信息维护'!$I$118=0,0,H297/('0信息维护'!$I$118)*'0信息维护'!$E$40*'0信息维护'!$V$30)+IF('0信息维护'!$I$119=0,0,I297/'0信息维护'!$I$119*'0信息维护'!$I$40)</f>
        <v>0</v>
      </c>
      <c r="K297" s="27"/>
    </row>
    <row r="298" spans="1:11">
      <c r="A298" s="21"/>
      <c r="B298" s="21"/>
      <c r="C298" s="21"/>
      <c r="D298" s="18" t="str">
        <f>'0信息维护'!A$31</f>
        <v>课程目标7</v>
      </c>
      <c r="E298" s="19">
        <f ca="1">OFFSET('1课程考核方式及成绩组成'!$F$10,(ROW(E298)-5)/7,MOD((ROW(E298)-5),7))</f>
        <v>0</v>
      </c>
      <c r="F298" s="19">
        <f ca="1">OFFSET('1课程考核方式及成绩组成'!$N$10,(ROW(F298)-5)/7,MOD((ROW(F298)-5),7))</f>
        <v>0</v>
      </c>
      <c r="G298" s="19">
        <f ca="1">OFFSET('1课程考核方式及成绩组成'!$V$10,(ROW(G298)-5)/7,MOD((ROW(G298)-5),7))</f>
        <v>0</v>
      </c>
      <c r="H298" s="19">
        <f ca="1">OFFSET('1课程考核方式及成绩组成'!$AD$10,(ROW(H298)-5)/7,MOD((ROW(H298)-5),7))</f>
        <v>0</v>
      </c>
      <c r="I298" s="19">
        <f ca="1">OFFSET('1课程考核方式及成绩组成'!$AL$10,(ROW(I298)-5)/7,MOD((ROW(I298)-5),7))</f>
        <v>0</v>
      </c>
      <c r="J298" s="25">
        <f ca="1">IF('0信息维护'!$I$121=0,0,E298/('0信息维护'!$I$121)*'0信息维护'!$E$41*'0信息维护'!$S$31)+IF('0信息维护'!$I$122=0,0,F298/('0信息维护'!$I$122)*'0信息维护'!$E$41*'0信息维护'!$T$31)+IF('0信息维护'!$I$123=0,0,G298/('0信息维护'!$I$123)*'0信息维护'!$E$41*'0信息维护'!$U$31)+IF('0信息维护'!$I$124=0,0,H298/('0信息维护'!$I$124)*'0信息维护'!$E$41*'0信息维护'!$T$31)+IF('0信息维护'!$I$125=0,0,I298/'0信息维护'!$I$125*'0信息维护'!$I$41)</f>
        <v>0</v>
      </c>
      <c r="K298" s="30"/>
    </row>
    <row r="299" spans="1:11">
      <c r="A299" s="17">
        <v>43</v>
      </c>
      <c r="B299" s="17" t="str">
        <f ca="1">OFFSET('1课程考核方式及成绩组成'!$D$10,(ROW(B299)-5)/7,)</f>
        <v>190302007</v>
      </c>
      <c r="C299" s="17" t="str">
        <f ca="1">OFFSET('1课程考核方式及成绩组成'!$E$10,(ROW(C299)-5)/7,)</f>
        <v>李秋涵</v>
      </c>
      <c r="D299" s="18" t="str">
        <f>'0信息维护'!A$25</f>
        <v>课程目标1</v>
      </c>
      <c r="E299" s="19">
        <f ca="1">OFFSET('1课程考核方式及成绩组成'!$F$10,(ROW(E299)-5)/7,MOD((ROW(E299)-5),7))</f>
        <v>40</v>
      </c>
      <c r="F299" s="19">
        <f ca="1">OFFSET('1课程考核方式及成绩组成'!$N$10,(ROW(F299)-5)/7,MOD((ROW(F299)-5),7))</f>
        <v>0</v>
      </c>
      <c r="G299" s="19">
        <f ca="1">OFFSET('1课程考核方式及成绩组成'!$V$10,(ROW(G299)-5)/7,MOD((ROW(G299)-5),7))</f>
        <v>0</v>
      </c>
      <c r="H299" s="19">
        <f ca="1">OFFSET('1课程考核方式及成绩组成'!$AD$10,(ROW(H299)-5)/7,MOD((ROW(H299)-5),7))</f>
        <v>0</v>
      </c>
      <c r="I299" s="19">
        <f ca="1">OFFSET('1课程考核方式及成绩组成'!$AL$10,(ROW(I299)-5)/7,MOD((ROW(I299)-5),7))</f>
        <v>28</v>
      </c>
      <c r="J299" s="25">
        <f ca="1">IF('0信息维护'!$I$85=0,0,E299/('0信息维护'!$I$85)*'0信息维护'!$E$35*'0信息维护'!$S$25)+IF('0信息维护'!$I$86=0,0,F299/('0信息维护'!$I$86)*'0信息维护'!$E$35*'0信息维护'!$T$25)+IF('0信息维护'!$I$87=0,0,G299/('0信息维护'!$I$87)*'0信息维护'!$E$35*'0信息维护'!$U$25)+IF('0信息维护'!$I$88=0,0,H299/('0信息维护'!$I$88)*'0信息维护'!$E$35*'0信息维护'!$V$25)+IF('0信息维护'!$I$89=0,0,I299/'0信息维护'!$I$89*'0信息维护'!$I$35)</f>
        <v>0.888888888888889</v>
      </c>
      <c r="K299" s="26">
        <f ca="1">J299*'0信息维护'!$D$132+J300*'0信息维护'!$D$133+J301*'0信息维护'!$D$134+J302*'0信息维护'!$D$135+J303*'0信息维护'!$D$136+J304*'0信息维护'!$D$137+J305*'0信息维护'!$D$138</f>
        <v>0.711980392156863</v>
      </c>
    </row>
    <row r="300" spans="1:14">
      <c r="A300" s="20"/>
      <c r="B300" s="20"/>
      <c r="C300" s="20"/>
      <c r="D300" s="18" t="str">
        <f>'0信息维护'!A$26</f>
        <v>课程目标2</v>
      </c>
      <c r="E300" s="19">
        <f ca="1">OFFSET('1课程考核方式及成绩组成'!$F$10,(ROW(E300)-5)/7,MOD((ROW(E300)-5),7))</f>
        <v>60</v>
      </c>
      <c r="F300" s="19">
        <f ca="1">OFFSET('1课程考核方式及成绩组成'!$N$10,(ROW(F300)-5)/7,MOD((ROW(F300)-5),7))</f>
        <v>0</v>
      </c>
      <c r="G300" s="19">
        <f ca="1">OFFSET('1课程考核方式及成绩组成'!$V$10,(ROW(G300)-5)/7,MOD((ROW(G300)-5),7))</f>
        <v>0</v>
      </c>
      <c r="H300" s="19">
        <f ca="1">OFFSET('1课程考核方式及成绩组成'!$AD$10,(ROW(H300)-5)/7,MOD((ROW(H300)-5),7))</f>
        <v>0</v>
      </c>
      <c r="I300" s="19">
        <f ca="1">OFFSET('1课程考核方式及成绩组成'!$AL$10,(ROW(I300)-5)/7,MOD((ROW(I300)-5),7))</f>
        <v>22</v>
      </c>
      <c r="J300" s="25">
        <f ca="1">IF('0信息维护'!$I$91=0,0,E300/('0信息维护'!$I$91)*'0信息维护'!$S$26*'0信息维护'!$E$36)+IF('0信息维护'!$I$92=0,0,F300/('0信息维护'!$I$92)*'0信息维护'!$T$26*'0信息维护'!$E$36)+IF('0信息维护'!$I$93=0,0,G300/('0信息维护'!$I$93)*'0信息维护'!$U$26*'0信息维护'!$E$36)+IF('0信息维护'!$I$94=0,0,H300/('0信息维护'!$I$94)*'0信息维护'!$V$26*'0信息维护'!$E$36)+IF('0信息维护'!$I$95=0,0,I300/'0信息维护'!$I$95*'0信息维护'!$I$36)</f>
        <v>0.866666666666667</v>
      </c>
      <c r="K300" s="27"/>
      <c r="N300" s="29"/>
    </row>
    <row r="301" spans="1:11">
      <c r="A301" s="20"/>
      <c r="B301" s="20"/>
      <c r="C301" s="20"/>
      <c r="D301" s="18" t="str">
        <f>'0信息维护'!A$27</f>
        <v>课程目标3</v>
      </c>
      <c r="E301" s="19">
        <f ca="1">OFFSET('1课程考核方式及成绩组成'!$F$10,(ROW(E301)-5)/7,MOD((ROW(E301)-5),7))</f>
        <v>0</v>
      </c>
      <c r="F301" s="19">
        <f ca="1">OFFSET('1课程考核方式及成绩组成'!$N$10,(ROW(F301)-5)/7,MOD((ROW(F301)-5),7))</f>
        <v>0</v>
      </c>
      <c r="G301" s="19">
        <f ca="1">OFFSET('1课程考核方式及成绩组成'!$V$10,(ROW(G301)-5)/7,MOD((ROW(G301)-5),7))</f>
        <v>0</v>
      </c>
      <c r="H301" s="19">
        <f ca="1">OFFSET('1课程考核方式及成绩组成'!$AD$10,(ROW(H301)-5)/7,MOD((ROW(H301)-5),7))</f>
        <v>0</v>
      </c>
      <c r="I301" s="19">
        <f ca="1">OFFSET('1课程考核方式及成绩组成'!$AL$10,(ROW(I301)-5)/7,MOD((ROW(I301)-5),7))</f>
        <v>16</v>
      </c>
      <c r="J301" s="25">
        <f ca="1">IF('0信息维护'!$I$97=0,0,E301/('0信息维护'!$I$97)*'0信息维护'!$E$37*'0信息维护'!$S$27)+IF('0信息维护'!$I$98=0,0,F301/('0信息维护'!$I$98)*'0信息维护'!$E$37*'0信息维护'!$T$27)+IF('0信息维护'!$I$99=0,0,G301/('0信息维护'!$I$99)*'0信息维护'!$E$37*'0信息维护'!$U$27)+IF('0信息维护'!$I$100=0,0,H301/('0信息维护'!$I$100)*'0信息维护'!$E$37*'0信息维护'!$V$27)+IF('0信息维护'!$I$101=0,0,I301/'0信息维护'!$I$101*'0信息维护'!$I$37)</f>
        <v>0.470588235294118</v>
      </c>
      <c r="K301" s="27"/>
    </row>
    <row r="302" spans="1:11">
      <c r="A302" s="20"/>
      <c r="B302" s="20"/>
      <c r="C302" s="20"/>
      <c r="D302" s="18" t="str">
        <f>'0信息维护'!A$28</f>
        <v>课程目标4</v>
      </c>
      <c r="E302" s="19">
        <f ca="1">OFFSET('1课程考核方式及成绩组成'!$F$10,(ROW(E302)-5)/7,MOD((ROW(E302)-5),7))</f>
        <v>0</v>
      </c>
      <c r="F302" s="19">
        <f ca="1">OFFSET('1课程考核方式及成绩组成'!$N$10,(ROW(F302)-5)/7,MOD((ROW(F302)-5),7))</f>
        <v>67</v>
      </c>
      <c r="G302" s="19">
        <f ca="1">OFFSET('1课程考核方式及成绩组成'!$V$10,(ROW(G302)-5)/7,MOD((ROW(G302)-5),7))</f>
        <v>0</v>
      </c>
      <c r="H302" s="19">
        <f ca="1">OFFSET('1课程考核方式及成绩组成'!$AD$10,(ROW(H302)-5)/7,MOD((ROW(H302)-5),7))</f>
        <v>0</v>
      </c>
      <c r="I302" s="19">
        <f ca="1">OFFSET('1课程考核方式及成绩组成'!$AL$10,(ROW(I302)-5)/7,MOD((ROW(I302)-5),7))</f>
        <v>0</v>
      </c>
      <c r="J302" s="25">
        <f ca="1">IF('0信息维护'!$I$103=0,0,E302/('0信息维护'!$I$103)*'0信息维护'!$E$38*'0信息维护'!$S$28)+IF('0信息维护'!$I$104=0,0,F302/('0信息维护'!$I$104)*'0信息维护'!$E$38*'0信息维护'!$T$28)+IF('0信息维护'!$I$105=0,0,G302/('0信息维护'!$I$105)*'0信息维护'!$E$38*'0信息维护'!$U$28)+IF('0信息维护'!$I$106=0,0,H302/('0信息维护'!$I$106)*'0信息维护'!$E$38*'0信息维护'!$V$28)+IF('0信息维护'!$I$107=0,0,I302/'0信息维护'!$I$107*'0信息维护'!$I$38)</f>
        <v>0.67</v>
      </c>
      <c r="K302" s="27"/>
    </row>
    <row r="303" spans="1:11">
      <c r="A303" s="20"/>
      <c r="B303" s="20"/>
      <c r="C303" s="20"/>
      <c r="D303" s="18" t="str">
        <f>'0信息维护'!A$29</f>
        <v>课程目标5</v>
      </c>
      <c r="E303" s="19">
        <f ca="1">OFFSET('1课程考核方式及成绩组成'!$F$10,(ROW(E303)-5)/7,MOD((ROW(E303)-5),7))</f>
        <v>0</v>
      </c>
      <c r="F303" s="19">
        <f ca="1">OFFSET('1课程考核方式及成绩组成'!$N$10,(ROW(F303)-5)/7,MOD((ROW(F303)-5),7))</f>
        <v>0</v>
      </c>
      <c r="G303" s="19">
        <f ca="1">OFFSET('1课程考核方式及成绩组成'!$V$10,(ROW(G303)-5)/7,MOD((ROW(G303)-5),7))</f>
        <v>0</v>
      </c>
      <c r="H303" s="19">
        <f ca="1">OFFSET('1课程考核方式及成绩组成'!$AD$10,(ROW(H303)-5)/7,MOD((ROW(H303)-5),7))</f>
        <v>0</v>
      </c>
      <c r="I303" s="19">
        <f ca="1">OFFSET('1课程考核方式及成绩组成'!$AL$10,(ROW(I303)-5)/7,MOD((ROW(I303)-5),7))</f>
        <v>0</v>
      </c>
      <c r="J303" s="25">
        <f ca="1">IF('0信息维护'!$I$109=0,0,E303/('0信息维护'!$I$109)*'0信息维护'!$E$39*'0信息维护'!$S$29)+IF('0信息维护'!$I$110=0,0,F303/('0信息维护'!$I$110)*'0信息维护'!$E$39*'0信息维护'!$T$29)+IF('0信息维护'!$I$111=0,0,G303/('0信息维护'!$I$111)*'0信息维护'!$E$39*'0信息维护'!$U$29)+IF('0信息维护'!$I$112=0,0,H303/('0信息维护'!$I$112)*'0信息维护'!$E$39*'0信息维护'!$V$29)+IF('0信息维护'!$I$113=0,0,I303/'0信息维护'!$I$113*'0信息维护'!$I$39)</f>
        <v>0</v>
      </c>
      <c r="K303" s="27"/>
    </row>
    <row r="304" spans="1:11">
      <c r="A304" s="20"/>
      <c r="B304" s="20"/>
      <c r="C304" s="20"/>
      <c r="D304" s="18" t="str">
        <f>'0信息维护'!A$30</f>
        <v>课程目标6</v>
      </c>
      <c r="E304" s="19">
        <f ca="1">OFFSET('1课程考核方式及成绩组成'!$F$10,(ROW(E304)-5)/7,MOD((ROW(E304)-5),7))</f>
        <v>0</v>
      </c>
      <c r="F304" s="19">
        <f ca="1">OFFSET('1课程考核方式及成绩组成'!$N$10,(ROW(F304)-5)/7,MOD((ROW(F304)-5),7))</f>
        <v>0</v>
      </c>
      <c r="G304" s="19">
        <f ca="1">OFFSET('1课程考核方式及成绩组成'!$V$10,(ROW(G304)-5)/7,MOD((ROW(G304)-5),7))</f>
        <v>0</v>
      </c>
      <c r="H304" s="19">
        <f ca="1">OFFSET('1课程考核方式及成绩组成'!$AD$10,(ROW(H304)-5)/7,MOD((ROW(H304)-5),7))</f>
        <v>0</v>
      </c>
      <c r="I304" s="19">
        <f ca="1">OFFSET('1课程考核方式及成绩组成'!$AL$10,(ROW(I304)-5)/7,MOD((ROW(I304)-5),7))</f>
        <v>0</v>
      </c>
      <c r="J304" s="25">
        <f ca="1">IF('0信息维护'!$I$115=0,0,E304/('0信息维护'!$I$115)*'0信息维护'!$E$40*'0信息维护'!$S$30)+IF('0信息维护'!$I$116=0,0,F304/('0信息维护'!$I$116)*'0信息维护'!$E$40*'0信息维护'!$T$30)+IF('0信息维护'!$I$117=0,0,G304/('0信息维护'!$I$117)*'0信息维护'!$E$40*'0信息维护'!$U$30)+IF('0信息维护'!$I$118=0,0,H304/('0信息维护'!$I$118)*'0信息维护'!$E$40*'0信息维护'!$V$30)+IF('0信息维护'!$I$119=0,0,I304/'0信息维护'!$I$119*'0信息维护'!$I$40)</f>
        <v>0</v>
      </c>
      <c r="K304" s="27"/>
    </row>
    <row r="305" spans="1:11">
      <c r="A305" s="21"/>
      <c r="B305" s="21"/>
      <c r="C305" s="21"/>
      <c r="D305" s="18" t="str">
        <f>'0信息维护'!A$31</f>
        <v>课程目标7</v>
      </c>
      <c r="E305" s="19">
        <f ca="1">OFFSET('1课程考核方式及成绩组成'!$F$10,(ROW(E305)-5)/7,MOD((ROW(E305)-5),7))</f>
        <v>0</v>
      </c>
      <c r="F305" s="19">
        <f ca="1">OFFSET('1课程考核方式及成绩组成'!$N$10,(ROW(F305)-5)/7,MOD((ROW(F305)-5),7))</f>
        <v>0</v>
      </c>
      <c r="G305" s="19">
        <f ca="1">OFFSET('1课程考核方式及成绩组成'!$V$10,(ROW(G305)-5)/7,MOD((ROW(G305)-5),7))</f>
        <v>0</v>
      </c>
      <c r="H305" s="19">
        <f ca="1">OFFSET('1课程考核方式及成绩组成'!$AD$10,(ROW(H305)-5)/7,MOD((ROW(H305)-5),7))</f>
        <v>0</v>
      </c>
      <c r="I305" s="19">
        <f ca="1">OFFSET('1课程考核方式及成绩组成'!$AL$10,(ROW(I305)-5)/7,MOD((ROW(I305)-5),7))</f>
        <v>0</v>
      </c>
      <c r="J305" s="25">
        <f ca="1">IF('0信息维护'!$I$121=0,0,E305/('0信息维护'!$I$121)*'0信息维护'!$E$41*'0信息维护'!$S$31)+IF('0信息维护'!$I$122=0,0,F305/('0信息维护'!$I$122)*'0信息维护'!$E$41*'0信息维护'!$T$31)+IF('0信息维护'!$I$123=0,0,G305/('0信息维护'!$I$123)*'0信息维护'!$E$41*'0信息维护'!$U$31)+IF('0信息维护'!$I$124=0,0,H305/('0信息维护'!$I$124)*'0信息维护'!$E$41*'0信息维护'!$T$31)+IF('0信息维护'!$I$125=0,0,I305/'0信息维护'!$I$125*'0信息维护'!$I$41)</f>
        <v>0</v>
      </c>
      <c r="K305" s="30"/>
    </row>
    <row r="306" spans="1:11">
      <c r="A306" s="17">
        <v>44</v>
      </c>
      <c r="B306" s="17" t="str">
        <f ca="1">OFFSET('1课程考核方式及成绩组成'!$D$10,(ROW(B306)-5)/7,)</f>
        <v>190302008</v>
      </c>
      <c r="C306" s="17" t="str">
        <f ca="1">OFFSET('1课程考核方式及成绩组成'!$E$10,(ROW(C306)-5)/7,)</f>
        <v>周磊</v>
      </c>
      <c r="D306" s="18" t="str">
        <f>'0信息维护'!A$25</f>
        <v>课程目标1</v>
      </c>
      <c r="E306" s="19">
        <f ca="1">OFFSET('1课程考核方式及成绩组成'!$F$10,(ROW(E306)-5)/7,MOD((ROW(E306)-5),7))</f>
        <v>40</v>
      </c>
      <c r="F306" s="19">
        <f ca="1">OFFSET('1课程考核方式及成绩组成'!$N$10,(ROW(F306)-5)/7,MOD((ROW(F306)-5),7))</f>
        <v>0</v>
      </c>
      <c r="G306" s="19">
        <f ca="1">OFFSET('1课程考核方式及成绩组成'!$V$10,(ROW(G306)-5)/7,MOD((ROW(G306)-5),7))</f>
        <v>0</v>
      </c>
      <c r="H306" s="19">
        <f ca="1">OFFSET('1课程考核方式及成绩组成'!$AD$10,(ROW(H306)-5)/7,MOD((ROW(H306)-5),7))</f>
        <v>0</v>
      </c>
      <c r="I306" s="19">
        <f ca="1">OFFSET('1课程考核方式及成绩组成'!$AL$10,(ROW(I306)-5)/7,MOD((ROW(I306)-5),7))</f>
        <v>20</v>
      </c>
      <c r="J306" s="25">
        <f ca="1">IF('0信息维护'!$I$85=0,0,E306/('0信息维护'!$I$85)*'0信息维护'!$E$35*'0信息维护'!$S$25)+IF('0信息维护'!$I$86=0,0,F306/('0信息维护'!$I$86)*'0信息维护'!$E$35*'0信息维护'!$T$25)+IF('0信息维护'!$I$87=0,0,G306/('0信息维护'!$I$87)*'0信息维护'!$E$35*'0信息维护'!$U$25)+IF('0信息维护'!$I$88=0,0,H306/('0信息维护'!$I$88)*'0信息维护'!$E$35*'0信息维护'!$V$25)+IF('0信息维护'!$I$89=0,0,I306/'0信息维护'!$I$89*'0信息维护'!$I$35)</f>
        <v>0.777777777777778</v>
      </c>
      <c r="K306" s="26">
        <f ca="1">J306*'0信息维护'!$D$132+J307*'0信息维护'!$D$133+J308*'0信息维护'!$D$134+J309*'0信息维护'!$D$135+J310*'0信息维护'!$D$136+J311*'0信息维护'!$D$137+J312*'0信息维护'!$D$138</f>
        <v>0.721960784313725</v>
      </c>
    </row>
    <row r="307" spans="1:14">
      <c r="A307" s="20"/>
      <c r="B307" s="20"/>
      <c r="C307" s="20"/>
      <c r="D307" s="18" t="str">
        <f>'0信息维护'!A$26</f>
        <v>课程目标2</v>
      </c>
      <c r="E307" s="19">
        <f ca="1">OFFSET('1课程考核方式及成绩组成'!$F$10,(ROW(E307)-5)/7,MOD((ROW(E307)-5),7))</f>
        <v>60</v>
      </c>
      <c r="F307" s="19">
        <f ca="1">OFFSET('1课程考核方式及成绩组成'!$N$10,(ROW(F307)-5)/7,MOD((ROW(F307)-5),7))</f>
        <v>0</v>
      </c>
      <c r="G307" s="19">
        <f ca="1">OFFSET('1课程考核方式及成绩组成'!$V$10,(ROW(G307)-5)/7,MOD((ROW(G307)-5),7))</f>
        <v>0</v>
      </c>
      <c r="H307" s="19">
        <f ca="1">OFFSET('1课程考核方式及成绩组成'!$AD$10,(ROW(H307)-5)/7,MOD((ROW(H307)-5),7))</f>
        <v>0</v>
      </c>
      <c r="I307" s="19">
        <f ca="1">OFFSET('1课程考核方式及成绩组成'!$AL$10,(ROW(I307)-5)/7,MOD((ROW(I307)-5),7))</f>
        <v>18</v>
      </c>
      <c r="J307" s="25">
        <f ca="1">IF('0信息维护'!$I$91=0,0,E307/('0信息维护'!$I$91)*'0信息维护'!$S$26*'0信息维护'!$E$36)+IF('0信息维护'!$I$92=0,0,F307/('0信息维护'!$I$92)*'0信息维护'!$T$26*'0信息维护'!$E$36)+IF('0信息维护'!$I$93=0,0,G307/('0信息维护'!$I$93)*'0信息维护'!$U$26*'0信息维护'!$E$36)+IF('0信息维护'!$I$94=0,0,H307/('0信息维护'!$I$94)*'0信息维护'!$V$26*'0信息维护'!$E$36)+IF('0信息维护'!$I$95=0,0,I307/'0信息维护'!$I$95*'0信息维护'!$I$36)</f>
        <v>0.8</v>
      </c>
      <c r="K307" s="27"/>
      <c r="N307" s="29"/>
    </row>
    <row r="308" spans="1:11">
      <c r="A308" s="20"/>
      <c r="B308" s="20"/>
      <c r="C308" s="20"/>
      <c r="D308" s="18" t="str">
        <f>'0信息维护'!A$27</f>
        <v>课程目标3</v>
      </c>
      <c r="E308" s="19">
        <f ca="1">OFFSET('1课程考核方式及成绩组成'!$F$10,(ROW(E308)-5)/7,MOD((ROW(E308)-5),7))</f>
        <v>0</v>
      </c>
      <c r="F308" s="19">
        <f ca="1">OFFSET('1课程考核方式及成绩组成'!$N$10,(ROW(F308)-5)/7,MOD((ROW(F308)-5),7))</f>
        <v>0</v>
      </c>
      <c r="G308" s="19">
        <f ca="1">OFFSET('1课程考核方式及成绩组成'!$V$10,(ROW(G308)-5)/7,MOD((ROW(G308)-5),7))</f>
        <v>0</v>
      </c>
      <c r="H308" s="19">
        <f ca="1">OFFSET('1课程考核方式及成绩组成'!$AD$10,(ROW(H308)-5)/7,MOD((ROW(H308)-5),7))</f>
        <v>0</v>
      </c>
      <c r="I308" s="19">
        <f ca="1">OFFSET('1课程考核方式及成绩组成'!$AL$10,(ROW(I308)-5)/7,MOD((ROW(I308)-5),7))</f>
        <v>15</v>
      </c>
      <c r="J308" s="25">
        <f ca="1">IF('0信息维护'!$I$97=0,0,E308/('0信息维护'!$I$97)*'0信息维护'!$E$37*'0信息维护'!$S$27)+IF('0信息维护'!$I$98=0,0,F308/('0信息维护'!$I$98)*'0信息维护'!$E$37*'0信息维护'!$T$27)+IF('0信息维护'!$I$99=0,0,G308/('0信息维护'!$I$99)*'0信息维护'!$E$37*'0信息维护'!$U$27)+IF('0信息维护'!$I$100=0,0,H308/('0信息维护'!$I$100)*'0信息维护'!$E$37*'0信息维护'!$V$27)+IF('0信息维护'!$I$101=0,0,I308/'0信息维护'!$I$101*'0信息维护'!$I$37)</f>
        <v>0.441176470588235</v>
      </c>
      <c r="K308" s="27"/>
    </row>
    <row r="309" spans="1:11">
      <c r="A309" s="20"/>
      <c r="B309" s="20"/>
      <c r="C309" s="20"/>
      <c r="D309" s="18" t="str">
        <f>'0信息维护'!A$28</f>
        <v>课程目标4</v>
      </c>
      <c r="E309" s="19">
        <f ca="1">OFFSET('1课程考核方式及成绩组成'!$F$10,(ROW(E309)-5)/7,MOD((ROW(E309)-5),7))</f>
        <v>0</v>
      </c>
      <c r="F309" s="19">
        <f ca="1">OFFSET('1课程考核方式及成绩组成'!$N$10,(ROW(F309)-5)/7,MOD((ROW(F309)-5),7))</f>
        <v>85</v>
      </c>
      <c r="G309" s="19">
        <f ca="1">OFFSET('1课程考核方式及成绩组成'!$V$10,(ROW(G309)-5)/7,MOD((ROW(G309)-5),7))</f>
        <v>0</v>
      </c>
      <c r="H309" s="19">
        <f ca="1">OFFSET('1课程考核方式及成绩组成'!$AD$10,(ROW(H309)-5)/7,MOD((ROW(H309)-5),7))</f>
        <v>0</v>
      </c>
      <c r="I309" s="19">
        <f ca="1">OFFSET('1课程考核方式及成绩组成'!$AL$10,(ROW(I309)-5)/7,MOD((ROW(I309)-5),7))</f>
        <v>0</v>
      </c>
      <c r="J309" s="25">
        <f ca="1">IF('0信息维护'!$I$103=0,0,E309/('0信息维护'!$I$103)*'0信息维护'!$E$38*'0信息维护'!$S$28)+IF('0信息维护'!$I$104=0,0,F309/('0信息维护'!$I$104)*'0信息维护'!$E$38*'0信息维护'!$T$28)+IF('0信息维护'!$I$105=0,0,G309/('0信息维护'!$I$105)*'0信息维护'!$E$38*'0信息维护'!$U$28)+IF('0信息维护'!$I$106=0,0,H309/('0信息维护'!$I$106)*'0信息维护'!$E$38*'0信息维护'!$V$28)+IF('0信息维护'!$I$107=0,0,I309/'0信息维护'!$I$107*'0信息维护'!$I$38)</f>
        <v>0.85</v>
      </c>
      <c r="K309" s="27"/>
    </row>
    <row r="310" spans="1:11">
      <c r="A310" s="20"/>
      <c r="B310" s="20"/>
      <c r="C310" s="20"/>
      <c r="D310" s="18" t="str">
        <f>'0信息维护'!A$29</f>
        <v>课程目标5</v>
      </c>
      <c r="E310" s="19">
        <f ca="1">OFFSET('1课程考核方式及成绩组成'!$F$10,(ROW(E310)-5)/7,MOD((ROW(E310)-5),7))</f>
        <v>0</v>
      </c>
      <c r="F310" s="19">
        <f ca="1">OFFSET('1课程考核方式及成绩组成'!$N$10,(ROW(F310)-5)/7,MOD((ROW(F310)-5),7))</f>
        <v>0</v>
      </c>
      <c r="G310" s="19">
        <f ca="1">OFFSET('1课程考核方式及成绩组成'!$V$10,(ROW(G310)-5)/7,MOD((ROW(G310)-5),7))</f>
        <v>0</v>
      </c>
      <c r="H310" s="19">
        <f ca="1">OFFSET('1课程考核方式及成绩组成'!$AD$10,(ROW(H310)-5)/7,MOD((ROW(H310)-5),7))</f>
        <v>0</v>
      </c>
      <c r="I310" s="19">
        <f ca="1">OFFSET('1课程考核方式及成绩组成'!$AL$10,(ROW(I310)-5)/7,MOD((ROW(I310)-5),7))</f>
        <v>0</v>
      </c>
      <c r="J310" s="25">
        <f ca="1">IF('0信息维护'!$I$109=0,0,E310/('0信息维护'!$I$109)*'0信息维护'!$E$39*'0信息维护'!$S$29)+IF('0信息维护'!$I$110=0,0,F310/('0信息维护'!$I$110)*'0信息维护'!$E$39*'0信息维护'!$T$29)+IF('0信息维护'!$I$111=0,0,G310/('0信息维护'!$I$111)*'0信息维护'!$E$39*'0信息维护'!$U$29)+IF('0信息维护'!$I$112=0,0,H310/('0信息维护'!$I$112)*'0信息维护'!$E$39*'0信息维护'!$V$29)+IF('0信息维护'!$I$113=0,0,I310/'0信息维护'!$I$113*'0信息维护'!$I$39)</f>
        <v>0</v>
      </c>
      <c r="K310" s="27"/>
    </row>
    <row r="311" spans="1:11">
      <c r="A311" s="20"/>
      <c r="B311" s="20"/>
      <c r="C311" s="20"/>
      <c r="D311" s="18" t="str">
        <f>'0信息维护'!A$30</f>
        <v>课程目标6</v>
      </c>
      <c r="E311" s="19">
        <f ca="1">OFFSET('1课程考核方式及成绩组成'!$F$10,(ROW(E311)-5)/7,MOD((ROW(E311)-5),7))</f>
        <v>0</v>
      </c>
      <c r="F311" s="19">
        <f ca="1">OFFSET('1课程考核方式及成绩组成'!$N$10,(ROW(F311)-5)/7,MOD((ROW(F311)-5),7))</f>
        <v>0</v>
      </c>
      <c r="G311" s="19">
        <f ca="1">OFFSET('1课程考核方式及成绩组成'!$V$10,(ROW(G311)-5)/7,MOD((ROW(G311)-5),7))</f>
        <v>0</v>
      </c>
      <c r="H311" s="19">
        <f ca="1">OFFSET('1课程考核方式及成绩组成'!$AD$10,(ROW(H311)-5)/7,MOD((ROW(H311)-5),7))</f>
        <v>0</v>
      </c>
      <c r="I311" s="19">
        <f ca="1">OFFSET('1课程考核方式及成绩组成'!$AL$10,(ROW(I311)-5)/7,MOD((ROW(I311)-5),7))</f>
        <v>0</v>
      </c>
      <c r="J311" s="25">
        <f ca="1">IF('0信息维护'!$I$115=0,0,E311/('0信息维护'!$I$115)*'0信息维护'!$E$40*'0信息维护'!$S$30)+IF('0信息维护'!$I$116=0,0,F311/('0信息维护'!$I$116)*'0信息维护'!$E$40*'0信息维护'!$T$30)+IF('0信息维护'!$I$117=0,0,G311/('0信息维护'!$I$117)*'0信息维护'!$E$40*'0信息维护'!$U$30)+IF('0信息维护'!$I$118=0,0,H311/('0信息维护'!$I$118)*'0信息维护'!$E$40*'0信息维护'!$V$30)+IF('0信息维护'!$I$119=0,0,I311/'0信息维护'!$I$119*'0信息维护'!$I$40)</f>
        <v>0</v>
      </c>
      <c r="K311" s="27"/>
    </row>
    <row r="312" spans="1:11">
      <c r="A312" s="21"/>
      <c r="B312" s="21"/>
      <c r="C312" s="21"/>
      <c r="D312" s="18" t="str">
        <f>'0信息维护'!A$31</f>
        <v>课程目标7</v>
      </c>
      <c r="E312" s="19">
        <f ca="1">OFFSET('1课程考核方式及成绩组成'!$F$10,(ROW(E312)-5)/7,MOD((ROW(E312)-5),7))</f>
        <v>0</v>
      </c>
      <c r="F312" s="19">
        <f ca="1">OFFSET('1课程考核方式及成绩组成'!$N$10,(ROW(F312)-5)/7,MOD((ROW(F312)-5),7))</f>
        <v>0</v>
      </c>
      <c r="G312" s="19">
        <f ca="1">OFFSET('1课程考核方式及成绩组成'!$V$10,(ROW(G312)-5)/7,MOD((ROW(G312)-5),7))</f>
        <v>0</v>
      </c>
      <c r="H312" s="19">
        <f ca="1">OFFSET('1课程考核方式及成绩组成'!$AD$10,(ROW(H312)-5)/7,MOD((ROW(H312)-5),7))</f>
        <v>0</v>
      </c>
      <c r="I312" s="19">
        <f ca="1">OFFSET('1课程考核方式及成绩组成'!$AL$10,(ROW(I312)-5)/7,MOD((ROW(I312)-5),7))</f>
        <v>0</v>
      </c>
      <c r="J312" s="25">
        <f ca="1">IF('0信息维护'!$I$121=0,0,E312/('0信息维护'!$I$121)*'0信息维护'!$E$41*'0信息维护'!$S$31)+IF('0信息维护'!$I$122=0,0,F312/('0信息维护'!$I$122)*'0信息维护'!$E$41*'0信息维护'!$T$31)+IF('0信息维护'!$I$123=0,0,G312/('0信息维护'!$I$123)*'0信息维护'!$E$41*'0信息维护'!$U$31)+IF('0信息维护'!$I$124=0,0,H312/('0信息维护'!$I$124)*'0信息维护'!$E$41*'0信息维护'!$T$31)+IF('0信息维护'!$I$125=0,0,I312/'0信息维护'!$I$125*'0信息维护'!$I$41)</f>
        <v>0</v>
      </c>
      <c r="K312" s="30"/>
    </row>
    <row r="313" spans="1:11">
      <c r="A313" s="17">
        <v>45</v>
      </c>
      <c r="B313" s="17" t="str">
        <f ca="1">OFFSET('1课程考核方式及成绩组成'!$D$10,(ROW(B313)-5)/7,)</f>
        <v>190302009</v>
      </c>
      <c r="C313" s="17" t="str">
        <f ca="1">OFFSET('1课程考核方式及成绩组成'!$E$10,(ROW(C313)-5)/7,)</f>
        <v>何江龙</v>
      </c>
      <c r="D313" s="18" t="str">
        <f>'0信息维护'!A$25</f>
        <v>课程目标1</v>
      </c>
      <c r="E313" s="19">
        <f ca="1">OFFSET('1课程考核方式及成绩组成'!$F$10,(ROW(E313)-5)/7,MOD((ROW(E313)-5),7))</f>
        <v>40</v>
      </c>
      <c r="F313" s="19">
        <f ca="1">OFFSET('1课程考核方式及成绩组成'!$N$10,(ROW(F313)-5)/7,MOD((ROW(F313)-5),7))</f>
        <v>0</v>
      </c>
      <c r="G313" s="19">
        <f ca="1">OFFSET('1课程考核方式及成绩组成'!$V$10,(ROW(G313)-5)/7,MOD((ROW(G313)-5),7))</f>
        <v>0</v>
      </c>
      <c r="H313" s="19">
        <f ca="1">OFFSET('1课程考核方式及成绩组成'!$AD$10,(ROW(H313)-5)/7,MOD((ROW(H313)-5),7))</f>
        <v>0</v>
      </c>
      <c r="I313" s="19">
        <f ca="1">OFFSET('1课程考核方式及成绩组成'!$AL$10,(ROW(I313)-5)/7,MOD((ROW(I313)-5),7))</f>
        <v>27</v>
      </c>
      <c r="J313" s="25">
        <f ca="1">IF('0信息维护'!$I$85=0,0,E313/('0信息维护'!$I$85)*'0信息维护'!$E$35*'0信息维护'!$S$25)+IF('0信息维护'!$I$86=0,0,F313/('0信息维护'!$I$86)*'0信息维护'!$E$35*'0信息维护'!$T$25)+IF('0信息维护'!$I$87=0,0,G313/('0信息维护'!$I$87)*'0信息维护'!$E$35*'0信息维护'!$U$25)+IF('0信息维护'!$I$88=0,0,H313/('0信息维护'!$I$88)*'0信息维护'!$E$35*'0信息维护'!$V$25)+IF('0信息维护'!$I$89=0,0,I313/'0信息维护'!$I$89*'0信息维护'!$I$35)</f>
        <v>0.875</v>
      </c>
      <c r="K313" s="26">
        <f ca="1">J313*'0信息维护'!$D$132+J314*'0信息维护'!$D$133+J315*'0信息维护'!$D$134+J316*'0信息维护'!$D$135+J317*'0信息维护'!$D$136+J318*'0信息维护'!$D$137+J319*'0信息维护'!$D$138</f>
        <v>0.723897058823529</v>
      </c>
    </row>
    <row r="314" spans="1:14">
      <c r="A314" s="20"/>
      <c r="B314" s="20"/>
      <c r="C314" s="20"/>
      <c r="D314" s="18" t="str">
        <f>'0信息维护'!A$26</f>
        <v>课程目标2</v>
      </c>
      <c r="E314" s="19">
        <f ca="1">OFFSET('1课程考核方式及成绩组成'!$F$10,(ROW(E314)-5)/7,MOD((ROW(E314)-5),7))</f>
        <v>60</v>
      </c>
      <c r="F314" s="19">
        <f ca="1">OFFSET('1课程考核方式及成绩组成'!$N$10,(ROW(F314)-5)/7,MOD((ROW(F314)-5),7))</f>
        <v>0</v>
      </c>
      <c r="G314" s="19">
        <f ca="1">OFFSET('1课程考核方式及成绩组成'!$V$10,(ROW(G314)-5)/7,MOD((ROW(G314)-5),7))</f>
        <v>0</v>
      </c>
      <c r="H314" s="19">
        <f ca="1">OFFSET('1课程考核方式及成绩组成'!$AD$10,(ROW(H314)-5)/7,MOD((ROW(H314)-5),7))</f>
        <v>0</v>
      </c>
      <c r="I314" s="19">
        <f ca="1">OFFSET('1课程考核方式及成绩组成'!$AL$10,(ROW(I314)-5)/7,MOD((ROW(I314)-5),7))</f>
        <v>14</v>
      </c>
      <c r="J314" s="25">
        <f ca="1">IF('0信息维护'!$I$91=0,0,E314/('0信息维护'!$I$91)*'0信息维护'!$S$26*'0信息维护'!$E$36)+IF('0信息维护'!$I$92=0,0,F314/('0信息维护'!$I$92)*'0信息维护'!$T$26*'0信息维护'!$E$36)+IF('0信息维护'!$I$93=0,0,G314/('0信息维护'!$I$93)*'0信息维护'!$U$26*'0信息维护'!$E$36)+IF('0信息维护'!$I$94=0,0,H314/('0信息维护'!$I$94)*'0信息维护'!$V$26*'0信息维护'!$E$36)+IF('0信息维护'!$I$95=0,0,I314/'0信息维护'!$I$95*'0信息维护'!$I$36)</f>
        <v>0.733333333333333</v>
      </c>
      <c r="K314" s="27"/>
      <c r="N314" s="29"/>
    </row>
    <row r="315" spans="1:11">
      <c r="A315" s="20"/>
      <c r="B315" s="20"/>
      <c r="C315" s="20"/>
      <c r="D315" s="18" t="str">
        <f>'0信息维护'!A$27</f>
        <v>课程目标3</v>
      </c>
      <c r="E315" s="19">
        <f ca="1">OFFSET('1课程考核方式及成绩组成'!$F$10,(ROW(E315)-5)/7,MOD((ROW(E315)-5),7))</f>
        <v>0</v>
      </c>
      <c r="F315" s="19">
        <f ca="1">OFFSET('1课程考核方式及成绩组成'!$N$10,(ROW(F315)-5)/7,MOD((ROW(F315)-5),7))</f>
        <v>0</v>
      </c>
      <c r="G315" s="19">
        <f ca="1">OFFSET('1课程考核方式及成绩组成'!$V$10,(ROW(G315)-5)/7,MOD((ROW(G315)-5),7))</f>
        <v>0</v>
      </c>
      <c r="H315" s="19">
        <f ca="1">OFFSET('1课程考核方式及成绩组成'!$AD$10,(ROW(H315)-5)/7,MOD((ROW(H315)-5),7))</f>
        <v>0</v>
      </c>
      <c r="I315" s="19">
        <f ca="1">OFFSET('1课程考核方式及成绩组成'!$AL$10,(ROW(I315)-5)/7,MOD((ROW(I315)-5),7))</f>
        <v>16</v>
      </c>
      <c r="J315" s="25">
        <f ca="1">IF('0信息维护'!$I$97=0,0,E315/('0信息维护'!$I$97)*'0信息维护'!$E$37*'0信息维护'!$S$27)+IF('0信息维护'!$I$98=0,0,F315/('0信息维护'!$I$98)*'0信息维护'!$E$37*'0信息维护'!$T$27)+IF('0信息维护'!$I$99=0,0,G315/('0信息维护'!$I$99)*'0信息维护'!$E$37*'0信息维护'!$U$27)+IF('0信息维护'!$I$100=0,0,H315/('0信息维护'!$I$100)*'0信息维护'!$E$37*'0信息维护'!$V$27)+IF('0信息维护'!$I$101=0,0,I315/'0信息维护'!$I$101*'0信息维护'!$I$37)</f>
        <v>0.470588235294118</v>
      </c>
      <c r="K315" s="27"/>
    </row>
    <row r="316" spans="1:11">
      <c r="A316" s="20"/>
      <c r="B316" s="20"/>
      <c r="C316" s="20"/>
      <c r="D316" s="18" t="str">
        <f>'0信息维护'!A$28</f>
        <v>课程目标4</v>
      </c>
      <c r="E316" s="19">
        <f ca="1">OFFSET('1课程考核方式及成绩组成'!$F$10,(ROW(E316)-5)/7,MOD((ROW(E316)-5),7))</f>
        <v>0</v>
      </c>
      <c r="F316" s="19">
        <f ca="1">OFFSET('1课程考核方式及成绩组成'!$N$10,(ROW(F316)-5)/7,MOD((ROW(F316)-5),7))</f>
        <v>85</v>
      </c>
      <c r="G316" s="19">
        <f ca="1">OFFSET('1课程考核方式及成绩组成'!$V$10,(ROW(G316)-5)/7,MOD((ROW(G316)-5),7))</f>
        <v>0</v>
      </c>
      <c r="H316" s="19">
        <f ca="1">OFFSET('1课程考核方式及成绩组成'!$AD$10,(ROW(H316)-5)/7,MOD((ROW(H316)-5),7))</f>
        <v>0</v>
      </c>
      <c r="I316" s="19">
        <f ca="1">OFFSET('1课程考核方式及成绩组成'!$AL$10,(ROW(I316)-5)/7,MOD((ROW(I316)-5),7))</f>
        <v>0</v>
      </c>
      <c r="J316" s="25">
        <f ca="1">IF('0信息维护'!$I$103=0,0,E316/('0信息维护'!$I$103)*'0信息维护'!$E$38*'0信息维护'!$S$28)+IF('0信息维护'!$I$104=0,0,F316/('0信息维护'!$I$104)*'0信息维护'!$E$38*'0信息维护'!$T$28)+IF('0信息维护'!$I$105=0,0,G316/('0信息维护'!$I$105)*'0信息维护'!$E$38*'0信息维护'!$U$28)+IF('0信息维护'!$I$106=0,0,H316/('0信息维护'!$I$106)*'0信息维护'!$E$38*'0信息维护'!$V$28)+IF('0信息维护'!$I$107=0,0,I316/'0信息维护'!$I$107*'0信息维护'!$I$38)</f>
        <v>0.85</v>
      </c>
      <c r="K316" s="27"/>
    </row>
    <row r="317" spans="1:11">
      <c r="A317" s="20"/>
      <c r="B317" s="20"/>
      <c r="C317" s="20"/>
      <c r="D317" s="18" t="str">
        <f>'0信息维护'!A$29</f>
        <v>课程目标5</v>
      </c>
      <c r="E317" s="19">
        <f ca="1">OFFSET('1课程考核方式及成绩组成'!$F$10,(ROW(E317)-5)/7,MOD((ROW(E317)-5),7))</f>
        <v>0</v>
      </c>
      <c r="F317" s="19">
        <f ca="1">OFFSET('1课程考核方式及成绩组成'!$N$10,(ROW(F317)-5)/7,MOD((ROW(F317)-5),7))</f>
        <v>0</v>
      </c>
      <c r="G317" s="19">
        <f ca="1">OFFSET('1课程考核方式及成绩组成'!$V$10,(ROW(G317)-5)/7,MOD((ROW(G317)-5),7))</f>
        <v>0</v>
      </c>
      <c r="H317" s="19">
        <f ca="1">OFFSET('1课程考核方式及成绩组成'!$AD$10,(ROW(H317)-5)/7,MOD((ROW(H317)-5),7))</f>
        <v>0</v>
      </c>
      <c r="I317" s="19">
        <f ca="1">OFFSET('1课程考核方式及成绩组成'!$AL$10,(ROW(I317)-5)/7,MOD((ROW(I317)-5),7))</f>
        <v>0</v>
      </c>
      <c r="J317" s="25">
        <f ca="1">IF('0信息维护'!$I$109=0,0,E317/('0信息维护'!$I$109)*'0信息维护'!$E$39*'0信息维护'!$S$29)+IF('0信息维护'!$I$110=0,0,F317/('0信息维护'!$I$110)*'0信息维护'!$E$39*'0信息维护'!$T$29)+IF('0信息维护'!$I$111=0,0,G317/('0信息维护'!$I$111)*'0信息维护'!$E$39*'0信息维护'!$U$29)+IF('0信息维护'!$I$112=0,0,H317/('0信息维护'!$I$112)*'0信息维护'!$E$39*'0信息维护'!$V$29)+IF('0信息维护'!$I$113=0,0,I317/'0信息维护'!$I$113*'0信息维护'!$I$39)</f>
        <v>0</v>
      </c>
      <c r="K317" s="27"/>
    </row>
    <row r="318" spans="1:11">
      <c r="A318" s="20"/>
      <c r="B318" s="20"/>
      <c r="C318" s="20"/>
      <c r="D318" s="18" t="str">
        <f>'0信息维护'!A$30</f>
        <v>课程目标6</v>
      </c>
      <c r="E318" s="19">
        <f ca="1">OFFSET('1课程考核方式及成绩组成'!$F$10,(ROW(E318)-5)/7,MOD((ROW(E318)-5),7))</f>
        <v>0</v>
      </c>
      <c r="F318" s="19">
        <f ca="1">OFFSET('1课程考核方式及成绩组成'!$N$10,(ROW(F318)-5)/7,MOD((ROW(F318)-5),7))</f>
        <v>0</v>
      </c>
      <c r="G318" s="19">
        <f ca="1">OFFSET('1课程考核方式及成绩组成'!$V$10,(ROW(G318)-5)/7,MOD((ROW(G318)-5),7))</f>
        <v>0</v>
      </c>
      <c r="H318" s="19">
        <f ca="1">OFFSET('1课程考核方式及成绩组成'!$AD$10,(ROW(H318)-5)/7,MOD((ROW(H318)-5),7))</f>
        <v>0</v>
      </c>
      <c r="I318" s="19">
        <f ca="1">OFFSET('1课程考核方式及成绩组成'!$AL$10,(ROW(I318)-5)/7,MOD((ROW(I318)-5),7))</f>
        <v>0</v>
      </c>
      <c r="J318" s="25">
        <f ca="1">IF('0信息维护'!$I$115=0,0,E318/('0信息维护'!$I$115)*'0信息维护'!$E$40*'0信息维护'!$S$30)+IF('0信息维护'!$I$116=0,0,F318/('0信息维护'!$I$116)*'0信息维护'!$E$40*'0信息维护'!$T$30)+IF('0信息维护'!$I$117=0,0,G318/('0信息维护'!$I$117)*'0信息维护'!$E$40*'0信息维护'!$U$30)+IF('0信息维护'!$I$118=0,0,H318/('0信息维护'!$I$118)*'0信息维护'!$E$40*'0信息维护'!$V$30)+IF('0信息维护'!$I$119=0,0,I318/'0信息维护'!$I$119*'0信息维护'!$I$40)</f>
        <v>0</v>
      </c>
      <c r="K318" s="27"/>
    </row>
    <row r="319" spans="1:11">
      <c r="A319" s="21"/>
      <c r="B319" s="21"/>
      <c r="C319" s="21"/>
      <c r="D319" s="18" t="str">
        <f>'0信息维护'!A$31</f>
        <v>课程目标7</v>
      </c>
      <c r="E319" s="19">
        <f ca="1">OFFSET('1课程考核方式及成绩组成'!$F$10,(ROW(E319)-5)/7,MOD((ROW(E319)-5),7))</f>
        <v>0</v>
      </c>
      <c r="F319" s="19">
        <f ca="1">OFFSET('1课程考核方式及成绩组成'!$N$10,(ROW(F319)-5)/7,MOD((ROW(F319)-5),7))</f>
        <v>0</v>
      </c>
      <c r="G319" s="19">
        <f ca="1">OFFSET('1课程考核方式及成绩组成'!$V$10,(ROW(G319)-5)/7,MOD((ROW(G319)-5),7))</f>
        <v>0</v>
      </c>
      <c r="H319" s="19">
        <f ca="1">OFFSET('1课程考核方式及成绩组成'!$AD$10,(ROW(H319)-5)/7,MOD((ROW(H319)-5),7))</f>
        <v>0</v>
      </c>
      <c r="I319" s="19">
        <f ca="1">OFFSET('1课程考核方式及成绩组成'!$AL$10,(ROW(I319)-5)/7,MOD((ROW(I319)-5),7))</f>
        <v>0</v>
      </c>
      <c r="J319" s="25">
        <f ca="1">IF('0信息维护'!$I$121=0,0,E319/('0信息维护'!$I$121)*'0信息维护'!$E$41*'0信息维护'!$S$31)+IF('0信息维护'!$I$122=0,0,F319/('0信息维护'!$I$122)*'0信息维护'!$E$41*'0信息维护'!$T$31)+IF('0信息维护'!$I$123=0,0,G319/('0信息维护'!$I$123)*'0信息维护'!$E$41*'0信息维护'!$U$31)+IF('0信息维护'!$I$124=0,0,H319/('0信息维护'!$I$124)*'0信息维护'!$E$41*'0信息维护'!$T$31)+IF('0信息维护'!$I$125=0,0,I319/'0信息维护'!$I$125*'0信息维护'!$I$41)</f>
        <v>0</v>
      </c>
      <c r="K319" s="30"/>
    </row>
    <row r="320" spans="1:11">
      <c r="A320" s="17">
        <v>46</v>
      </c>
      <c r="B320" s="17" t="str">
        <f ca="1">OFFSET('1课程考核方式及成绩组成'!$D$10,(ROW(B320)-5)/7,)</f>
        <v>190302010</v>
      </c>
      <c r="C320" s="17" t="str">
        <f ca="1">OFFSET('1课程考核方式及成绩组成'!$E$10,(ROW(C320)-5)/7,)</f>
        <v>郭曜荣</v>
      </c>
      <c r="D320" s="18" t="str">
        <f>'0信息维护'!A$25</f>
        <v>课程目标1</v>
      </c>
      <c r="E320" s="19">
        <f ca="1">OFFSET('1课程考核方式及成绩组成'!$F$10,(ROW(E320)-5)/7,MOD((ROW(E320)-5),7))</f>
        <v>40</v>
      </c>
      <c r="F320" s="19">
        <f ca="1">OFFSET('1课程考核方式及成绩组成'!$N$10,(ROW(F320)-5)/7,MOD((ROW(F320)-5),7))</f>
        <v>0</v>
      </c>
      <c r="G320" s="19">
        <f ca="1">OFFSET('1课程考核方式及成绩组成'!$V$10,(ROW(G320)-5)/7,MOD((ROW(G320)-5),7))</f>
        <v>0</v>
      </c>
      <c r="H320" s="19">
        <f ca="1">OFFSET('1课程考核方式及成绩组成'!$AD$10,(ROW(H320)-5)/7,MOD((ROW(H320)-5),7))</f>
        <v>0</v>
      </c>
      <c r="I320" s="19">
        <f ca="1">OFFSET('1课程考核方式及成绩组成'!$AL$10,(ROW(I320)-5)/7,MOD((ROW(I320)-5),7))</f>
        <v>13</v>
      </c>
      <c r="J320" s="25">
        <f ca="1">IF('0信息维护'!$I$85=0,0,E320/('0信息维护'!$I$85)*'0信息维护'!$E$35*'0信息维护'!$S$25)+IF('0信息维护'!$I$86=0,0,F320/('0信息维护'!$I$86)*'0信息维护'!$E$35*'0信息维护'!$T$25)+IF('0信息维护'!$I$87=0,0,G320/('0信息维护'!$I$87)*'0信息维护'!$E$35*'0信息维护'!$U$25)+IF('0信息维护'!$I$88=0,0,H320/('0信息维护'!$I$88)*'0信息维护'!$E$35*'0信息维护'!$V$25)+IF('0信息维护'!$I$89=0,0,I320/'0信息维护'!$I$89*'0信息维护'!$I$35)</f>
        <v>0.680555555555556</v>
      </c>
      <c r="K320" s="26">
        <f ca="1">J320*'0信息维护'!$D$132+J321*'0信息维护'!$D$133+J322*'0信息维护'!$D$134+J323*'0信息维护'!$D$135+J324*'0信息维护'!$D$136+J325*'0信息维护'!$D$137+J326*'0信息维护'!$D$138</f>
        <v>0.745142156862745</v>
      </c>
    </row>
    <row r="321" spans="1:14">
      <c r="A321" s="20"/>
      <c r="B321" s="20"/>
      <c r="C321" s="20"/>
      <c r="D321" s="18" t="str">
        <f>'0信息维护'!A$26</f>
        <v>课程目标2</v>
      </c>
      <c r="E321" s="19">
        <f ca="1">OFFSET('1课程考核方式及成绩组成'!$F$10,(ROW(E321)-5)/7,MOD((ROW(E321)-5),7))</f>
        <v>60</v>
      </c>
      <c r="F321" s="19">
        <f ca="1">OFFSET('1课程考核方式及成绩组成'!$N$10,(ROW(F321)-5)/7,MOD((ROW(F321)-5),7))</f>
        <v>0</v>
      </c>
      <c r="G321" s="19">
        <f ca="1">OFFSET('1课程考核方式及成绩组成'!$V$10,(ROW(G321)-5)/7,MOD((ROW(G321)-5),7))</f>
        <v>0</v>
      </c>
      <c r="H321" s="19">
        <f ca="1">OFFSET('1课程考核方式及成绩组成'!$AD$10,(ROW(H321)-5)/7,MOD((ROW(H321)-5),7))</f>
        <v>0</v>
      </c>
      <c r="I321" s="19">
        <f ca="1">OFFSET('1课程考核方式及成绩组成'!$AL$10,(ROW(I321)-5)/7,MOD((ROW(I321)-5),7))</f>
        <v>20</v>
      </c>
      <c r="J321" s="25">
        <f ca="1">IF('0信息维护'!$I$91=0,0,E321/('0信息维护'!$I$91)*'0信息维护'!$S$26*'0信息维护'!$E$36)+IF('0信息维护'!$I$92=0,0,F321/('0信息维护'!$I$92)*'0信息维护'!$T$26*'0信息维护'!$E$36)+IF('0信息维护'!$I$93=0,0,G321/('0信息维护'!$I$93)*'0信息维护'!$U$26*'0信息维护'!$E$36)+IF('0信息维护'!$I$94=0,0,H321/('0信息维护'!$I$94)*'0信息维护'!$V$26*'0信息维护'!$E$36)+IF('0信息维护'!$I$95=0,0,I321/'0信息维护'!$I$95*'0信息维护'!$I$36)</f>
        <v>0.833333333333333</v>
      </c>
      <c r="K321" s="27"/>
      <c r="N321" s="29"/>
    </row>
    <row r="322" spans="1:11">
      <c r="A322" s="20"/>
      <c r="B322" s="20"/>
      <c r="C322" s="20"/>
      <c r="D322" s="18" t="str">
        <f>'0信息维护'!A$27</f>
        <v>课程目标3</v>
      </c>
      <c r="E322" s="19">
        <f ca="1">OFFSET('1课程考核方式及成绩组成'!$F$10,(ROW(E322)-5)/7,MOD((ROW(E322)-5),7))</f>
        <v>0</v>
      </c>
      <c r="F322" s="19">
        <f ca="1">OFFSET('1课程考核方式及成绩组成'!$N$10,(ROW(F322)-5)/7,MOD((ROW(F322)-5),7))</f>
        <v>0</v>
      </c>
      <c r="G322" s="19">
        <f ca="1">OFFSET('1课程考核方式及成绩组成'!$V$10,(ROW(G322)-5)/7,MOD((ROW(G322)-5),7))</f>
        <v>0</v>
      </c>
      <c r="H322" s="19">
        <f ca="1">OFFSET('1课程考核方式及成绩组成'!$AD$10,(ROW(H322)-5)/7,MOD((ROW(H322)-5),7))</f>
        <v>0</v>
      </c>
      <c r="I322" s="19">
        <f ca="1">OFFSET('1课程考核方式及成绩组成'!$AL$10,(ROW(I322)-5)/7,MOD((ROW(I322)-5),7))</f>
        <v>20</v>
      </c>
      <c r="J322" s="25">
        <f ca="1">IF('0信息维护'!$I$97=0,0,E322/('0信息维护'!$I$97)*'0信息维护'!$E$37*'0信息维护'!$S$27)+IF('0信息维护'!$I$98=0,0,F322/('0信息维护'!$I$98)*'0信息维护'!$E$37*'0信息维护'!$T$27)+IF('0信息维护'!$I$99=0,0,G322/('0信息维护'!$I$99)*'0信息维护'!$E$37*'0信息维护'!$U$27)+IF('0信息维护'!$I$100=0,0,H322/('0信息维护'!$I$100)*'0信息维护'!$E$37*'0信息维护'!$V$27)+IF('0信息维护'!$I$101=0,0,I322/'0信息维护'!$I$101*'0信息维护'!$I$37)</f>
        <v>0.588235294117647</v>
      </c>
      <c r="K322" s="27"/>
    </row>
    <row r="323" spans="1:11">
      <c r="A323" s="20"/>
      <c r="B323" s="20"/>
      <c r="C323" s="20"/>
      <c r="D323" s="18" t="str">
        <f>'0信息维护'!A$28</f>
        <v>课程目标4</v>
      </c>
      <c r="E323" s="19">
        <f ca="1">OFFSET('1课程考核方式及成绩组成'!$F$10,(ROW(E323)-5)/7,MOD((ROW(E323)-5),7))</f>
        <v>0</v>
      </c>
      <c r="F323" s="19">
        <f ca="1">OFFSET('1课程考核方式及成绩组成'!$N$10,(ROW(F323)-5)/7,MOD((ROW(F323)-5),7))</f>
        <v>82</v>
      </c>
      <c r="G323" s="19">
        <f ca="1">OFFSET('1课程考核方式及成绩组成'!$V$10,(ROW(G323)-5)/7,MOD((ROW(G323)-5),7))</f>
        <v>0</v>
      </c>
      <c r="H323" s="19">
        <f ca="1">OFFSET('1课程考核方式及成绩组成'!$AD$10,(ROW(H323)-5)/7,MOD((ROW(H323)-5),7))</f>
        <v>0</v>
      </c>
      <c r="I323" s="19">
        <f ca="1">OFFSET('1课程考核方式及成绩组成'!$AL$10,(ROW(I323)-5)/7,MOD((ROW(I323)-5),7))</f>
        <v>0</v>
      </c>
      <c r="J323" s="25">
        <f ca="1">IF('0信息维护'!$I$103=0,0,E323/('0信息维护'!$I$103)*'0信息维护'!$E$38*'0信息维护'!$S$28)+IF('0信息维护'!$I$104=0,0,F323/('0信息维护'!$I$104)*'0信息维护'!$E$38*'0信息维护'!$T$28)+IF('0信息维护'!$I$105=0,0,G323/('0信息维护'!$I$105)*'0信息维护'!$E$38*'0信息维护'!$U$28)+IF('0信息维护'!$I$106=0,0,H323/('0信息维护'!$I$106)*'0信息维护'!$E$38*'0信息维护'!$V$28)+IF('0信息维护'!$I$107=0,0,I323/'0信息维护'!$I$107*'0信息维护'!$I$38)</f>
        <v>0.82</v>
      </c>
      <c r="K323" s="27"/>
    </row>
    <row r="324" spans="1:11">
      <c r="A324" s="20"/>
      <c r="B324" s="20"/>
      <c r="C324" s="20"/>
      <c r="D324" s="18" t="str">
        <f>'0信息维护'!A$29</f>
        <v>课程目标5</v>
      </c>
      <c r="E324" s="19">
        <f ca="1">OFFSET('1课程考核方式及成绩组成'!$F$10,(ROW(E324)-5)/7,MOD((ROW(E324)-5),7))</f>
        <v>0</v>
      </c>
      <c r="F324" s="19">
        <f ca="1">OFFSET('1课程考核方式及成绩组成'!$N$10,(ROW(F324)-5)/7,MOD((ROW(F324)-5),7))</f>
        <v>0</v>
      </c>
      <c r="G324" s="19">
        <f ca="1">OFFSET('1课程考核方式及成绩组成'!$V$10,(ROW(G324)-5)/7,MOD((ROW(G324)-5),7))</f>
        <v>0</v>
      </c>
      <c r="H324" s="19">
        <f ca="1">OFFSET('1课程考核方式及成绩组成'!$AD$10,(ROW(H324)-5)/7,MOD((ROW(H324)-5),7))</f>
        <v>0</v>
      </c>
      <c r="I324" s="19">
        <f ca="1">OFFSET('1课程考核方式及成绩组成'!$AL$10,(ROW(I324)-5)/7,MOD((ROW(I324)-5),7))</f>
        <v>0</v>
      </c>
      <c r="J324" s="25">
        <f ca="1">IF('0信息维护'!$I$109=0,0,E324/('0信息维护'!$I$109)*'0信息维护'!$E$39*'0信息维护'!$S$29)+IF('0信息维护'!$I$110=0,0,F324/('0信息维护'!$I$110)*'0信息维护'!$E$39*'0信息维护'!$T$29)+IF('0信息维护'!$I$111=0,0,G324/('0信息维护'!$I$111)*'0信息维护'!$E$39*'0信息维护'!$U$29)+IF('0信息维护'!$I$112=0,0,H324/('0信息维护'!$I$112)*'0信息维护'!$E$39*'0信息维护'!$V$29)+IF('0信息维护'!$I$113=0,0,I324/'0信息维护'!$I$113*'0信息维护'!$I$39)</f>
        <v>0</v>
      </c>
      <c r="K324" s="27"/>
    </row>
    <row r="325" spans="1:11">
      <c r="A325" s="20"/>
      <c r="B325" s="20"/>
      <c r="C325" s="20"/>
      <c r="D325" s="18" t="str">
        <f>'0信息维护'!A$30</f>
        <v>课程目标6</v>
      </c>
      <c r="E325" s="19">
        <f ca="1">OFFSET('1课程考核方式及成绩组成'!$F$10,(ROW(E325)-5)/7,MOD((ROW(E325)-5),7))</f>
        <v>0</v>
      </c>
      <c r="F325" s="19">
        <f ca="1">OFFSET('1课程考核方式及成绩组成'!$N$10,(ROW(F325)-5)/7,MOD((ROW(F325)-5),7))</f>
        <v>0</v>
      </c>
      <c r="G325" s="19">
        <f ca="1">OFFSET('1课程考核方式及成绩组成'!$V$10,(ROW(G325)-5)/7,MOD((ROW(G325)-5),7))</f>
        <v>0</v>
      </c>
      <c r="H325" s="19">
        <f ca="1">OFFSET('1课程考核方式及成绩组成'!$AD$10,(ROW(H325)-5)/7,MOD((ROW(H325)-5),7))</f>
        <v>0</v>
      </c>
      <c r="I325" s="19">
        <f ca="1">OFFSET('1课程考核方式及成绩组成'!$AL$10,(ROW(I325)-5)/7,MOD((ROW(I325)-5),7))</f>
        <v>0</v>
      </c>
      <c r="J325" s="25">
        <f ca="1">IF('0信息维护'!$I$115=0,0,E325/('0信息维护'!$I$115)*'0信息维护'!$E$40*'0信息维护'!$S$30)+IF('0信息维护'!$I$116=0,0,F325/('0信息维护'!$I$116)*'0信息维护'!$E$40*'0信息维护'!$T$30)+IF('0信息维护'!$I$117=0,0,G325/('0信息维护'!$I$117)*'0信息维护'!$E$40*'0信息维护'!$U$30)+IF('0信息维护'!$I$118=0,0,H325/('0信息维护'!$I$118)*'0信息维护'!$E$40*'0信息维护'!$V$30)+IF('0信息维护'!$I$119=0,0,I325/'0信息维护'!$I$119*'0信息维护'!$I$40)</f>
        <v>0</v>
      </c>
      <c r="K325" s="27"/>
    </row>
    <row r="326" spans="1:11">
      <c r="A326" s="21"/>
      <c r="B326" s="21"/>
      <c r="C326" s="21"/>
      <c r="D326" s="18" t="str">
        <f>'0信息维护'!A$31</f>
        <v>课程目标7</v>
      </c>
      <c r="E326" s="19">
        <f ca="1">OFFSET('1课程考核方式及成绩组成'!$F$10,(ROW(E326)-5)/7,MOD((ROW(E326)-5),7))</f>
        <v>0</v>
      </c>
      <c r="F326" s="19">
        <f ca="1">OFFSET('1课程考核方式及成绩组成'!$N$10,(ROW(F326)-5)/7,MOD((ROW(F326)-5),7))</f>
        <v>0</v>
      </c>
      <c r="G326" s="19">
        <f ca="1">OFFSET('1课程考核方式及成绩组成'!$V$10,(ROW(G326)-5)/7,MOD((ROW(G326)-5),7))</f>
        <v>0</v>
      </c>
      <c r="H326" s="19">
        <f ca="1">OFFSET('1课程考核方式及成绩组成'!$AD$10,(ROW(H326)-5)/7,MOD((ROW(H326)-5),7))</f>
        <v>0</v>
      </c>
      <c r="I326" s="19">
        <f ca="1">OFFSET('1课程考核方式及成绩组成'!$AL$10,(ROW(I326)-5)/7,MOD((ROW(I326)-5),7))</f>
        <v>0</v>
      </c>
      <c r="J326" s="25">
        <f ca="1">IF('0信息维护'!$I$121=0,0,E326/('0信息维护'!$I$121)*'0信息维护'!$E$41*'0信息维护'!$S$31)+IF('0信息维护'!$I$122=0,0,F326/('0信息维护'!$I$122)*'0信息维护'!$E$41*'0信息维护'!$T$31)+IF('0信息维护'!$I$123=0,0,G326/('0信息维护'!$I$123)*'0信息维护'!$E$41*'0信息维护'!$U$31)+IF('0信息维护'!$I$124=0,0,H326/('0信息维护'!$I$124)*'0信息维护'!$E$41*'0信息维护'!$T$31)+IF('0信息维护'!$I$125=0,0,I326/'0信息维护'!$I$125*'0信息维护'!$I$41)</f>
        <v>0</v>
      </c>
      <c r="K326" s="30"/>
    </row>
    <row r="327" spans="1:11">
      <c r="A327" s="17">
        <v>47</v>
      </c>
      <c r="B327" s="17" t="str">
        <f ca="1">OFFSET('1课程考核方式及成绩组成'!$D$10,(ROW(B327)-5)/7,)</f>
        <v>190302011</v>
      </c>
      <c r="C327" s="17" t="str">
        <f ca="1">OFFSET('1课程考核方式及成绩组成'!$E$10,(ROW(C327)-5)/7,)</f>
        <v>雷箭舟</v>
      </c>
      <c r="D327" s="18" t="str">
        <f>'0信息维护'!A$25</f>
        <v>课程目标1</v>
      </c>
      <c r="E327" s="19">
        <f ca="1">OFFSET('1课程考核方式及成绩组成'!$F$10,(ROW(E327)-5)/7,MOD((ROW(E327)-5),7))</f>
        <v>40</v>
      </c>
      <c r="F327" s="19">
        <f ca="1">OFFSET('1课程考核方式及成绩组成'!$N$10,(ROW(F327)-5)/7,MOD((ROW(F327)-5),7))</f>
        <v>0</v>
      </c>
      <c r="G327" s="19">
        <f ca="1">OFFSET('1课程考核方式及成绩组成'!$V$10,(ROW(G327)-5)/7,MOD((ROW(G327)-5),7))</f>
        <v>0</v>
      </c>
      <c r="H327" s="19">
        <f ca="1">OFFSET('1课程考核方式及成绩组成'!$AD$10,(ROW(H327)-5)/7,MOD((ROW(H327)-5),7))</f>
        <v>0</v>
      </c>
      <c r="I327" s="19">
        <f ca="1">OFFSET('1课程考核方式及成绩组成'!$AL$10,(ROW(I327)-5)/7,MOD((ROW(I327)-5),7))</f>
        <v>24</v>
      </c>
      <c r="J327" s="25">
        <f ca="1">IF('0信息维护'!$I$85=0,0,E327/('0信息维护'!$I$85)*'0信息维护'!$E$35*'0信息维护'!$S$25)+IF('0信息维护'!$I$86=0,0,F327/('0信息维护'!$I$86)*'0信息维护'!$E$35*'0信息维护'!$T$25)+IF('0信息维护'!$I$87=0,0,G327/('0信息维护'!$I$87)*'0信息维护'!$E$35*'0信息维护'!$U$25)+IF('0信息维护'!$I$88=0,0,H327/('0信息维护'!$I$88)*'0信息维护'!$E$35*'0信息维护'!$V$25)+IF('0信息维护'!$I$89=0,0,I327/'0信息维护'!$I$89*'0信息维护'!$I$35)</f>
        <v>0.833333333333333</v>
      </c>
      <c r="K327" s="26">
        <f ca="1">J327*'0信息维护'!$D$132+J328*'0信息维护'!$D$133+J329*'0信息维护'!$D$134+J330*'0信息维护'!$D$135+J331*'0信息维护'!$D$136+J332*'0信息维护'!$D$137+J333*'0信息维护'!$D$138</f>
        <v>0.757058823529412</v>
      </c>
    </row>
    <row r="328" spans="1:14">
      <c r="A328" s="20"/>
      <c r="B328" s="20"/>
      <c r="C328" s="20"/>
      <c r="D328" s="18" t="str">
        <f>'0信息维护'!A$26</f>
        <v>课程目标2</v>
      </c>
      <c r="E328" s="19">
        <f ca="1">OFFSET('1课程考核方式及成绩组成'!$F$10,(ROW(E328)-5)/7,MOD((ROW(E328)-5),7))</f>
        <v>60</v>
      </c>
      <c r="F328" s="19">
        <f ca="1">OFFSET('1课程考核方式及成绩组成'!$N$10,(ROW(F328)-5)/7,MOD((ROW(F328)-5),7))</f>
        <v>0</v>
      </c>
      <c r="G328" s="19">
        <f ca="1">OFFSET('1课程考核方式及成绩组成'!$V$10,(ROW(G328)-5)/7,MOD((ROW(G328)-5),7))</f>
        <v>0</v>
      </c>
      <c r="H328" s="19">
        <f ca="1">OFFSET('1课程考核方式及成绩组成'!$AD$10,(ROW(H328)-5)/7,MOD((ROW(H328)-5),7))</f>
        <v>0</v>
      </c>
      <c r="I328" s="19">
        <f ca="1">OFFSET('1课程考核方式及成绩组成'!$AL$10,(ROW(I328)-5)/7,MOD((ROW(I328)-5),7))</f>
        <v>19</v>
      </c>
      <c r="J328" s="25">
        <f ca="1">IF('0信息维护'!$I$91=0,0,E328/('0信息维护'!$I$91)*'0信息维护'!$S$26*'0信息维护'!$E$36)+IF('0信息维护'!$I$92=0,0,F328/('0信息维护'!$I$92)*'0信息维护'!$T$26*'0信息维护'!$E$36)+IF('0信息维护'!$I$93=0,0,G328/('0信息维护'!$I$93)*'0信息维护'!$U$26*'0信息维护'!$E$36)+IF('0信息维护'!$I$94=0,0,H328/('0信息维护'!$I$94)*'0信息维护'!$V$26*'0信息维护'!$E$36)+IF('0信息维护'!$I$95=0,0,I328/'0信息维护'!$I$95*'0信息维护'!$I$36)</f>
        <v>0.816666666666667</v>
      </c>
      <c r="K328" s="27"/>
      <c r="N328" s="29"/>
    </row>
    <row r="329" spans="1:11">
      <c r="A329" s="20"/>
      <c r="B329" s="20"/>
      <c r="C329" s="20"/>
      <c r="D329" s="18" t="str">
        <f>'0信息维护'!A$27</f>
        <v>课程目标3</v>
      </c>
      <c r="E329" s="19">
        <f ca="1">OFFSET('1课程考核方式及成绩组成'!$F$10,(ROW(E329)-5)/7,MOD((ROW(E329)-5),7))</f>
        <v>0</v>
      </c>
      <c r="F329" s="19">
        <f ca="1">OFFSET('1课程考核方式及成绩组成'!$N$10,(ROW(F329)-5)/7,MOD((ROW(F329)-5),7))</f>
        <v>0</v>
      </c>
      <c r="G329" s="19">
        <f ca="1">OFFSET('1课程考核方式及成绩组成'!$V$10,(ROW(G329)-5)/7,MOD((ROW(G329)-5),7))</f>
        <v>0</v>
      </c>
      <c r="H329" s="19">
        <f ca="1">OFFSET('1课程考核方式及成绩组成'!$AD$10,(ROW(H329)-5)/7,MOD((ROW(H329)-5),7))</f>
        <v>0</v>
      </c>
      <c r="I329" s="19">
        <f ca="1">OFFSET('1课程考核方式及成绩组成'!$AL$10,(ROW(I329)-5)/7,MOD((ROW(I329)-5),7))</f>
        <v>20</v>
      </c>
      <c r="J329" s="25">
        <f ca="1">IF('0信息维护'!$I$97=0,0,E329/('0信息维护'!$I$97)*'0信息维护'!$E$37*'0信息维护'!$S$27)+IF('0信息维护'!$I$98=0,0,F329/('0信息维护'!$I$98)*'0信息维护'!$E$37*'0信息维护'!$T$27)+IF('0信息维护'!$I$99=0,0,G329/('0信息维护'!$I$99)*'0信息维护'!$E$37*'0信息维护'!$U$27)+IF('0信息维护'!$I$100=0,0,H329/('0信息维护'!$I$100)*'0信息维护'!$E$37*'0信息维护'!$V$27)+IF('0信息维护'!$I$101=0,0,I329/'0信息维护'!$I$101*'0信息维护'!$I$37)</f>
        <v>0.588235294117647</v>
      </c>
      <c r="K329" s="27"/>
    </row>
    <row r="330" spans="1:11">
      <c r="A330" s="20"/>
      <c r="B330" s="20"/>
      <c r="C330" s="20"/>
      <c r="D330" s="18" t="str">
        <f>'0信息维护'!A$28</f>
        <v>课程目标4</v>
      </c>
      <c r="E330" s="19">
        <f ca="1">OFFSET('1课程考核方式及成绩组成'!$F$10,(ROW(E330)-5)/7,MOD((ROW(E330)-5),7))</f>
        <v>0</v>
      </c>
      <c r="F330" s="19">
        <f ca="1">OFFSET('1课程考核方式及成绩组成'!$N$10,(ROW(F330)-5)/7,MOD((ROW(F330)-5),7))</f>
        <v>80</v>
      </c>
      <c r="G330" s="19">
        <f ca="1">OFFSET('1课程考核方式及成绩组成'!$V$10,(ROW(G330)-5)/7,MOD((ROW(G330)-5),7))</f>
        <v>0</v>
      </c>
      <c r="H330" s="19">
        <f ca="1">OFFSET('1课程考核方式及成绩组成'!$AD$10,(ROW(H330)-5)/7,MOD((ROW(H330)-5),7))</f>
        <v>0</v>
      </c>
      <c r="I330" s="19">
        <f ca="1">OFFSET('1课程考核方式及成绩组成'!$AL$10,(ROW(I330)-5)/7,MOD((ROW(I330)-5),7))</f>
        <v>0</v>
      </c>
      <c r="J330" s="25">
        <f ca="1">IF('0信息维护'!$I$103=0,0,E330/('0信息维护'!$I$103)*'0信息维护'!$E$38*'0信息维护'!$S$28)+IF('0信息维护'!$I$104=0,0,F330/('0信息维护'!$I$104)*'0信息维护'!$E$38*'0信息维护'!$T$28)+IF('0信息维护'!$I$105=0,0,G330/('0信息维护'!$I$105)*'0信息维护'!$E$38*'0信息维护'!$U$28)+IF('0信息维护'!$I$106=0,0,H330/('0信息维护'!$I$106)*'0信息维护'!$E$38*'0信息维护'!$V$28)+IF('0信息维护'!$I$107=0,0,I330/'0信息维护'!$I$107*'0信息维护'!$I$38)</f>
        <v>0.8</v>
      </c>
      <c r="K330" s="27"/>
    </row>
    <row r="331" spans="1:11">
      <c r="A331" s="20"/>
      <c r="B331" s="20"/>
      <c r="C331" s="20"/>
      <c r="D331" s="18" t="str">
        <f>'0信息维护'!A$29</f>
        <v>课程目标5</v>
      </c>
      <c r="E331" s="19">
        <f ca="1">OFFSET('1课程考核方式及成绩组成'!$F$10,(ROW(E331)-5)/7,MOD((ROW(E331)-5),7))</f>
        <v>0</v>
      </c>
      <c r="F331" s="19">
        <f ca="1">OFFSET('1课程考核方式及成绩组成'!$N$10,(ROW(F331)-5)/7,MOD((ROW(F331)-5),7))</f>
        <v>0</v>
      </c>
      <c r="G331" s="19">
        <f ca="1">OFFSET('1课程考核方式及成绩组成'!$V$10,(ROW(G331)-5)/7,MOD((ROW(G331)-5),7))</f>
        <v>0</v>
      </c>
      <c r="H331" s="19">
        <f ca="1">OFFSET('1课程考核方式及成绩组成'!$AD$10,(ROW(H331)-5)/7,MOD((ROW(H331)-5),7))</f>
        <v>0</v>
      </c>
      <c r="I331" s="19">
        <f ca="1">OFFSET('1课程考核方式及成绩组成'!$AL$10,(ROW(I331)-5)/7,MOD((ROW(I331)-5),7))</f>
        <v>0</v>
      </c>
      <c r="J331" s="25">
        <f ca="1">IF('0信息维护'!$I$109=0,0,E331/('0信息维护'!$I$109)*'0信息维护'!$E$39*'0信息维护'!$S$29)+IF('0信息维护'!$I$110=0,0,F331/('0信息维护'!$I$110)*'0信息维护'!$E$39*'0信息维护'!$T$29)+IF('0信息维护'!$I$111=0,0,G331/('0信息维护'!$I$111)*'0信息维护'!$E$39*'0信息维护'!$U$29)+IF('0信息维护'!$I$112=0,0,H331/('0信息维护'!$I$112)*'0信息维护'!$E$39*'0信息维护'!$V$29)+IF('0信息维护'!$I$113=0,0,I331/'0信息维护'!$I$113*'0信息维护'!$I$39)</f>
        <v>0</v>
      </c>
      <c r="K331" s="27"/>
    </row>
    <row r="332" spans="1:11">
      <c r="A332" s="20"/>
      <c r="B332" s="20"/>
      <c r="C332" s="20"/>
      <c r="D332" s="18" t="str">
        <f>'0信息维护'!A$30</f>
        <v>课程目标6</v>
      </c>
      <c r="E332" s="19">
        <f ca="1">OFFSET('1课程考核方式及成绩组成'!$F$10,(ROW(E332)-5)/7,MOD((ROW(E332)-5),7))</f>
        <v>0</v>
      </c>
      <c r="F332" s="19">
        <f ca="1">OFFSET('1课程考核方式及成绩组成'!$N$10,(ROW(F332)-5)/7,MOD((ROW(F332)-5),7))</f>
        <v>0</v>
      </c>
      <c r="G332" s="19">
        <f ca="1">OFFSET('1课程考核方式及成绩组成'!$V$10,(ROW(G332)-5)/7,MOD((ROW(G332)-5),7))</f>
        <v>0</v>
      </c>
      <c r="H332" s="19">
        <f ca="1">OFFSET('1课程考核方式及成绩组成'!$AD$10,(ROW(H332)-5)/7,MOD((ROW(H332)-5),7))</f>
        <v>0</v>
      </c>
      <c r="I332" s="19">
        <f ca="1">OFFSET('1课程考核方式及成绩组成'!$AL$10,(ROW(I332)-5)/7,MOD((ROW(I332)-5),7))</f>
        <v>0</v>
      </c>
      <c r="J332" s="25">
        <f ca="1">IF('0信息维护'!$I$115=0,0,E332/('0信息维护'!$I$115)*'0信息维护'!$E$40*'0信息维护'!$S$30)+IF('0信息维护'!$I$116=0,0,F332/('0信息维护'!$I$116)*'0信息维护'!$E$40*'0信息维护'!$T$30)+IF('0信息维护'!$I$117=0,0,G332/('0信息维护'!$I$117)*'0信息维护'!$E$40*'0信息维护'!$U$30)+IF('0信息维护'!$I$118=0,0,H332/('0信息维护'!$I$118)*'0信息维护'!$E$40*'0信息维护'!$V$30)+IF('0信息维护'!$I$119=0,0,I332/'0信息维护'!$I$119*'0信息维护'!$I$40)</f>
        <v>0</v>
      </c>
      <c r="K332" s="27"/>
    </row>
    <row r="333" spans="1:11">
      <c r="A333" s="21"/>
      <c r="B333" s="21"/>
      <c r="C333" s="21"/>
      <c r="D333" s="18" t="str">
        <f>'0信息维护'!A$31</f>
        <v>课程目标7</v>
      </c>
      <c r="E333" s="19">
        <f ca="1">OFFSET('1课程考核方式及成绩组成'!$F$10,(ROW(E333)-5)/7,MOD((ROW(E333)-5),7))</f>
        <v>0</v>
      </c>
      <c r="F333" s="19">
        <f ca="1">OFFSET('1课程考核方式及成绩组成'!$N$10,(ROW(F333)-5)/7,MOD((ROW(F333)-5),7))</f>
        <v>0</v>
      </c>
      <c r="G333" s="19">
        <f ca="1">OFFSET('1课程考核方式及成绩组成'!$V$10,(ROW(G333)-5)/7,MOD((ROW(G333)-5),7))</f>
        <v>0</v>
      </c>
      <c r="H333" s="19">
        <f ca="1">OFFSET('1课程考核方式及成绩组成'!$AD$10,(ROW(H333)-5)/7,MOD((ROW(H333)-5),7))</f>
        <v>0</v>
      </c>
      <c r="I333" s="19">
        <f ca="1">OFFSET('1课程考核方式及成绩组成'!$AL$10,(ROW(I333)-5)/7,MOD((ROW(I333)-5),7))</f>
        <v>0</v>
      </c>
      <c r="J333" s="25">
        <f ca="1">IF('0信息维护'!$I$121=0,0,E333/('0信息维护'!$I$121)*'0信息维护'!$E$41*'0信息维护'!$S$31)+IF('0信息维护'!$I$122=0,0,F333/('0信息维护'!$I$122)*'0信息维护'!$E$41*'0信息维护'!$T$31)+IF('0信息维护'!$I$123=0,0,G333/('0信息维护'!$I$123)*'0信息维护'!$E$41*'0信息维护'!$U$31)+IF('0信息维护'!$I$124=0,0,H333/('0信息维护'!$I$124)*'0信息维护'!$E$41*'0信息维护'!$T$31)+IF('0信息维护'!$I$125=0,0,I333/'0信息维护'!$I$125*'0信息维护'!$I$41)</f>
        <v>0</v>
      </c>
      <c r="K333" s="30"/>
    </row>
    <row r="334" spans="1:11">
      <c r="A334" s="17">
        <v>48</v>
      </c>
      <c r="B334" s="17" t="str">
        <f ca="1">OFFSET('1课程考核方式及成绩组成'!$D$10,(ROW(B334)-5)/7,)</f>
        <v>190302012</v>
      </c>
      <c r="C334" s="17" t="str">
        <f ca="1">OFFSET('1课程考核方式及成绩组成'!$E$10,(ROW(C334)-5)/7,)</f>
        <v>王盛</v>
      </c>
      <c r="D334" s="18" t="str">
        <f>'0信息维护'!A$25</f>
        <v>课程目标1</v>
      </c>
      <c r="E334" s="19">
        <f ca="1">OFFSET('1课程考核方式及成绩组成'!$F$10,(ROW(E334)-5)/7,MOD((ROW(E334)-5),7))</f>
        <v>40</v>
      </c>
      <c r="F334" s="19">
        <f ca="1">OFFSET('1课程考核方式及成绩组成'!$N$10,(ROW(F334)-5)/7,MOD((ROW(F334)-5),7))</f>
        <v>0</v>
      </c>
      <c r="G334" s="19">
        <f ca="1">OFFSET('1课程考核方式及成绩组成'!$V$10,(ROW(G334)-5)/7,MOD((ROW(G334)-5),7))</f>
        <v>0</v>
      </c>
      <c r="H334" s="19">
        <f ca="1">OFFSET('1课程考核方式及成绩组成'!$AD$10,(ROW(H334)-5)/7,MOD((ROW(H334)-5),7))</f>
        <v>0</v>
      </c>
      <c r="I334" s="19">
        <f ca="1">OFFSET('1课程考核方式及成绩组成'!$AL$10,(ROW(I334)-5)/7,MOD((ROW(I334)-5),7))</f>
        <v>30</v>
      </c>
      <c r="J334" s="25">
        <f ca="1">IF('0信息维护'!$I$85=0,0,E334/('0信息维护'!$I$85)*'0信息维护'!$E$35*'0信息维护'!$S$25)+IF('0信息维护'!$I$86=0,0,F334/('0信息维护'!$I$86)*'0信息维护'!$E$35*'0信息维护'!$T$25)+IF('0信息维护'!$I$87=0,0,G334/('0信息维护'!$I$87)*'0信息维护'!$E$35*'0信息维护'!$U$25)+IF('0信息维护'!$I$88=0,0,H334/('0信息维护'!$I$88)*'0信息维护'!$E$35*'0信息维护'!$V$25)+IF('0信息维护'!$I$89=0,0,I334/'0信息维护'!$I$89*'0信息维护'!$I$35)</f>
        <v>0.916666666666667</v>
      </c>
      <c r="K334" s="26">
        <f ca="1">J334*'0信息维护'!$D$132+J335*'0信息维护'!$D$133+J336*'0信息维护'!$D$134+J337*'0信息维护'!$D$135+J338*'0信息维护'!$D$136+J339*'0信息维护'!$D$137+J340*'0信息维护'!$D$138</f>
        <v>0.892676470588235</v>
      </c>
    </row>
    <row r="335" spans="1:14">
      <c r="A335" s="20"/>
      <c r="B335" s="20"/>
      <c r="C335" s="20"/>
      <c r="D335" s="18" t="str">
        <f>'0信息维护'!A$26</f>
        <v>课程目标2</v>
      </c>
      <c r="E335" s="19">
        <f ca="1">OFFSET('1课程考核方式及成绩组成'!$F$10,(ROW(E335)-5)/7,MOD((ROW(E335)-5),7))</f>
        <v>60</v>
      </c>
      <c r="F335" s="19">
        <f ca="1">OFFSET('1课程考核方式及成绩组成'!$N$10,(ROW(F335)-5)/7,MOD((ROW(F335)-5),7))</f>
        <v>0</v>
      </c>
      <c r="G335" s="19">
        <f ca="1">OFFSET('1课程考核方式及成绩组成'!$V$10,(ROW(G335)-5)/7,MOD((ROW(G335)-5),7))</f>
        <v>0</v>
      </c>
      <c r="H335" s="19">
        <f ca="1">OFFSET('1课程考核方式及成绩组成'!$AD$10,(ROW(H335)-5)/7,MOD((ROW(H335)-5),7))</f>
        <v>0</v>
      </c>
      <c r="I335" s="19">
        <f ca="1">OFFSET('1课程考核方式及成绩组成'!$AL$10,(ROW(I335)-5)/7,MOD((ROW(I335)-5),7))</f>
        <v>30</v>
      </c>
      <c r="J335" s="25">
        <f ca="1">IF('0信息维护'!$I$91=0,0,E335/('0信息维护'!$I$91)*'0信息维护'!$S$26*'0信息维护'!$E$36)+IF('0信息维护'!$I$92=0,0,F335/('0信息维护'!$I$92)*'0信息维护'!$T$26*'0信息维护'!$E$36)+IF('0信息维护'!$I$93=0,0,G335/('0信息维护'!$I$93)*'0信息维护'!$U$26*'0信息维护'!$E$36)+IF('0信息维护'!$I$94=0,0,H335/('0信息维护'!$I$94)*'0信息维护'!$V$26*'0信息维护'!$E$36)+IF('0信息维护'!$I$95=0,0,I335/'0信息维护'!$I$95*'0信息维护'!$I$36)</f>
        <v>1</v>
      </c>
      <c r="K335" s="27"/>
      <c r="N335" s="29"/>
    </row>
    <row r="336" spans="1:11">
      <c r="A336" s="20"/>
      <c r="B336" s="20"/>
      <c r="C336" s="20"/>
      <c r="D336" s="18" t="str">
        <f>'0信息维护'!A$27</f>
        <v>课程目标3</v>
      </c>
      <c r="E336" s="19">
        <f ca="1">OFFSET('1课程考核方式及成绩组成'!$F$10,(ROW(E336)-5)/7,MOD((ROW(E336)-5),7))</f>
        <v>0</v>
      </c>
      <c r="F336" s="19">
        <f ca="1">OFFSET('1课程考核方式及成绩组成'!$N$10,(ROW(F336)-5)/7,MOD((ROW(F336)-5),7))</f>
        <v>0</v>
      </c>
      <c r="G336" s="19">
        <f ca="1">OFFSET('1课程考核方式及成绩组成'!$V$10,(ROW(G336)-5)/7,MOD((ROW(G336)-5),7))</f>
        <v>0</v>
      </c>
      <c r="H336" s="19">
        <f ca="1">OFFSET('1课程考核方式及成绩组成'!$AD$10,(ROW(H336)-5)/7,MOD((ROW(H336)-5),7))</f>
        <v>0</v>
      </c>
      <c r="I336" s="19">
        <f ca="1">OFFSET('1课程考核方式及成绩组成'!$AL$10,(ROW(I336)-5)/7,MOD((ROW(I336)-5),7))</f>
        <v>26</v>
      </c>
      <c r="J336" s="25">
        <f ca="1">IF('0信息维护'!$I$97=0,0,E336/('0信息维护'!$I$97)*'0信息维护'!$E$37*'0信息维护'!$S$27)+IF('0信息维护'!$I$98=0,0,F336/('0信息维护'!$I$98)*'0信息维护'!$E$37*'0信息维护'!$T$27)+IF('0信息维护'!$I$99=0,0,G336/('0信息维护'!$I$99)*'0信息维护'!$E$37*'0信息维护'!$U$27)+IF('0信息维护'!$I$100=0,0,H336/('0信息维护'!$I$100)*'0信息维护'!$E$37*'0信息维护'!$V$27)+IF('0信息维护'!$I$101=0,0,I336/'0信息维护'!$I$101*'0信息维护'!$I$37)</f>
        <v>0.764705882352941</v>
      </c>
      <c r="K336" s="27"/>
    </row>
    <row r="337" spans="1:11">
      <c r="A337" s="20"/>
      <c r="B337" s="20"/>
      <c r="C337" s="20"/>
      <c r="D337" s="18" t="str">
        <f>'0信息维护'!A$28</f>
        <v>课程目标4</v>
      </c>
      <c r="E337" s="19">
        <f ca="1">OFFSET('1课程考核方式及成绩组成'!$F$10,(ROW(E337)-5)/7,MOD((ROW(E337)-5),7))</f>
        <v>0</v>
      </c>
      <c r="F337" s="19">
        <f ca="1">OFFSET('1课程考核方式及成绩组成'!$N$10,(ROW(F337)-5)/7,MOD((ROW(F337)-5),7))</f>
        <v>88</v>
      </c>
      <c r="G337" s="19">
        <f ca="1">OFFSET('1课程考核方式及成绩组成'!$V$10,(ROW(G337)-5)/7,MOD((ROW(G337)-5),7))</f>
        <v>0</v>
      </c>
      <c r="H337" s="19">
        <f ca="1">OFFSET('1课程考核方式及成绩组成'!$AD$10,(ROW(H337)-5)/7,MOD((ROW(H337)-5),7))</f>
        <v>0</v>
      </c>
      <c r="I337" s="19">
        <f ca="1">OFFSET('1课程考核方式及成绩组成'!$AL$10,(ROW(I337)-5)/7,MOD((ROW(I337)-5),7))</f>
        <v>0</v>
      </c>
      <c r="J337" s="25">
        <f ca="1">IF('0信息维护'!$I$103=0,0,E337/('0信息维护'!$I$103)*'0信息维护'!$E$38*'0信息维护'!$S$28)+IF('0信息维护'!$I$104=0,0,F337/('0信息维护'!$I$104)*'0信息维护'!$E$38*'0信息维护'!$T$28)+IF('0信息维护'!$I$105=0,0,G337/('0信息维护'!$I$105)*'0信息维护'!$E$38*'0信息维护'!$U$28)+IF('0信息维护'!$I$106=0,0,H337/('0信息维护'!$I$106)*'0信息维护'!$E$38*'0信息维护'!$V$28)+IF('0信息维护'!$I$107=0,0,I337/'0信息维护'!$I$107*'0信息维护'!$I$38)</f>
        <v>0.88</v>
      </c>
      <c r="K337" s="27"/>
    </row>
    <row r="338" spans="1:11">
      <c r="A338" s="20"/>
      <c r="B338" s="20"/>
      <c r="C338" s="20"/>
      <c r="D338" s="18" t="str">
        <f>'0信息维护'!A$29</f>
        <v>课程目标5</v>
      </c>
      <c r="E338" s="19">
        <f ca="1">OFFSET('1课程考核方式及成绩组成'!$F$10,(ROW(E338)-5)/7,MOD((ROW(E338)-5),7))</f>
        <v>0</v>
      </c>
      <c r="F338" s="19">
        <f ca="1">OFFSET('1课程考核方式及成绩组成'!$N$10,(ROW(F338)-5)/7,MOD((ROW(F338)-5),7))</f>
        <v>0</v>
      </c>
      <c r="G338" s="19">
        <f ca="1">OFFSET('1课程考核方式及成绩组成'!$V$10,(ROW(G338)-5)/7,MOD((ROW(G338)-5),7))</f>
        <v>0</v>
      </c>
      <c r="H338" s="19">
        <f ca="1">OFFSET('1课程考核方式及成绩组成'!$AD$10,(ROW(H338)-5)/7,MOD((ROW(H338)-5),7))</f>
        <v>0</v>
      </c>
      <c r="I338" s="19">
        <f ca="1">OFFSET('1课程考核方式及成绩组成'!$AL$10,(ROW(I338)-5)/7,MOD((ROW(I338)-5),7))</f>
        <v>0</v>
      </c>
      <c r="J338" s="25">
        <f ca="1">IF('0信息维护'!$I$109=0,0,E338/('0信息维护'!$I$109)*'0信息维护'!$E$39*'0信息维护'!$S$29)+IF('0信息维护'!$I$110=0,0,F338/('0信息维护'!$I$110)*'0信息维护'!$E$39*'0信息维护'!$T$29)+IF('0信息维护'!$I$111=0,0,G338/('0信息维护'!$I$111)*'0信息维护'!$E$39*'0信息维护'!$U$29)+IF('0信息维护'!$I$112=0,0,H338/('0信息维护'!$I$112)*'0信息维护'!$E$39*'0信息维护'!$V$29)+IF('0信息维护'!$I$113=0,0,I338/'0信息维护'!$I$113*'0信息维护'!$I$39)</f>
        <v>0</v>
      </c>
      <c r="K338" s="27"/>
    </row>
    <row r="339" spans="1:11">
      <c r="A339" s="20"/>
      <c r="B339" s="20"/>
      <c r="C339" s="20"/>
      <c r="D339" s="18" t="str">
        <f>'0信息维护'!A$30</f>
        <v>课程目标6</v>
      </c>
      <c r="E339" s="19">
        <f ca="1">OFFSET('1课程考核方式及成绩组成'!$F$10,(ROW(E339)-5)/7,MOD((ROW(E339)-5),7))</f>
        <v>0</v>
      </c>
      <c r="F339" s="19">
        <f ca="1">OFFSET('1课程考核方式及成绩组成'!$N$10,(ROW(F339)-5)/7,MOD((ROW(F339)-5),7))</f>
        <v>0</v>
      </c>
      <c r="G339" s="19">
        <f ca="1">OFFSET('1课程考核方式及成绩组成'!$V$10,(ROW(G339)-5)/7,MOD((ROW(G339)-5),7))</f>
        <v>0</v>
      </c>
      <c r="H339" s="19">
        <f ca="1">OFFSET('1课程考核方式及成绩组成'!$AD$10,(ROW(H339)-5)/7,MOD((ROW(H339)-5),7))</f>
        <v>0</v>
      </c>
      <c r="I339" s="19">
        <f ca="1">OFFSET('1课程考核方式及成绩组成'!$AL$10,(ROW(I339)-5)/7,MOD((ROW(I339)-5),7))</f>
        <v>0</v>
      </c>
      <c r="J339" s="25">
        <f ca="1">IF('0信息维护'!$I$115=0,0,E339/('0信息维护'!$I$115)*'0信息维护'!$E$40*'0信息维护'!$S$30)+IF('0信息维护'!$I$116=0,0,F339/('0信息维护'!$I$116)*'0信息维护'!$E$40*'0信息维护'!$T$30)+IF('0信息维护'!$I$117=0,0,G339/('0信息维护'!$I$117)*'0信息维护'!$E$40*'0信息维护'!$U$30)+IF('0信息维护'!$I$118=0,0,H339/('0信息维护'!$I$118)*'0信息维护'!$E$40*'0信息维护'!$V$30)+IF('0信息维护'!$I$119=0,0,I339/'0信息维护'!$I$119*'0信息维护'!$I$40)</f>
        <v>0</v>
      </c>
      <c r="K339" s="27"/>
    </row>
    <row r="340" spans="1:11">
      <c r="A340" s="21"/>
      <c r="B340" s="21"/>
      <c r="C340" s="21"/>
      <c r="D340" s="18" t="str">
        <f>'0信息维护'!A$31</f>
        <v>课程目标7</v>
      </c>
      <c r="E340" s="19">
        <f ca="1">OFFSET('1课程考核方式及成绩组成'!$F$10,(ROW(E340)-5)/7,MOD((ROW(E340)-5),7))</f>
        <v>0</v>
      </c>
      <c r="F340" s="19">
        <f ca="1">OFFSET('1课程考核方式及成绩组成'!$N$10,(ROW(F340)-5)/7,MOD((ROW(F340)-5),7))</f>
        <v>0</v>
      </c>
      <c r="G340" s="19">
        <f ca="1">OFFSET('1课程考核方式及成绩组成'!$V$10,(ROW(G340)-5)/7,MOD((ROW(G340)-5),7))</f>
        <v>0</v>
      </c>
      <c r="H340" s="19">
        <f ca="1">OFFSET('1课程考核方式及成绩组成'!$AD$10,(ROW(H340)-5)/7,MOD((ROW(H340)-5),7))</f>
        <v>0</v>
      </c>
      <c r="I340" s="19">
        <f ca="1">OFFSET('1课程考核方式及成绩组成'!$AL$10,(ROW(I340)-5)/7,MOD((ROW(I340)-5),7))</f>
        <v>0</v>
      </c>
      <c r="J340" s="25">
        <f ca="1">IF('0信息维护'!$I$121=0,0,E340/('0信息维护'!$I$121)*'0信息维护'!$E$41*'0信息维护'!$S$31)+IF('0信息维护'!$I$122=0,0,F340/('0信息维护'!$I$122)*'0信息维护'!$E$41*'0信息维护'!$T$31)+IF('0信息维护'!$I$123=0,0,G340/('0信息维护'!$I$123)*'0信息维护'!$E$41*'0信息维护'!$U$31)+IF('0信息维护'!$I$124=0,0,H340/('0信息维护'!$I$124)*'0信息维护'!$E$41*'0信息维护'!$T$31)+IF('0信息维护'!$I$125=0,0,I340/'0信息维护'!$I$125*'0信息维护'!$I$41)</f>
        <v>0</v>
      </c>
      <c r="K340" s="30"/>
    </row>
    <row r="341" spans="1:11">
      <c r="A341" s="17">
        <v>49</v>
      </c>
      <c r="B341" s="17" t="str">
        <f ca="1">OFFSET('1课程考核方式及成绩组成'!$D$10,(ROW(B341)-5)/7,)</f>
        <v>190302013</v>
      </c>
      <c r="C341" s="17" t="str">
        <f ca="1">OFFSET('1课程考核方式及成绩组成'!$E$10,(ROW(C341)-5)/7,)</f>
        <v>张志鹏</v>
      </c>
      <c r="D341" s="18" t="str">
        <f>'0信息维护'!A$25</f>
        <v>课程目标1</v>
      </c>
      <c r="E341" s="19">
        <f ca="1">OFFSET('1课程考核方式及成绩组成'!$F$10,(ROW(E341)-5)/7,MOD((ROW(E341)-5),7))</f>
        <v>40</v>
      </c>
      <c r="F341" s="19">
        <f ca="1">OFFSET('1课程考核方式及成绩组成'!$N$10,(ROW(F341)-5)/7,MOD((ROW(F341)-5),7))</f>
        <v>0</v>
      </c>
      <c r="G341" s="19">
        <f ca="1">OFFSET('1课程考核方式及成绩组成'!$V$10,(ROW(G341)-5)/7,MOD((ROW(G341)-5),7))</f>
        <v>0</v>
      </c>
      <c r="H341" s="19">
        <f ca="1">OFFSET('1课程考核方式及成绩组成'!$AD$10,(ROW(H341)-5)/7,MOD((ROW(H341)-5),7))</f>
        <v>0</v>
      </c>
      <c r="I341" s="19">
        <f ca="1">OFFSET('1课程考核方式及成绩组成'!$AL$10,(ROW(I341)-5)/7,MOD((ROW(I341)-5),7))</f>
        <v>32</v>
      </c>
      <c r="J341" s="25">
        <f ca="1">IF('0信息维护'!$I$85=0,0,E341/('0信息维护'!$I$85)*'0信息维护'!$E$35*'0信息维护'!$S$25)+IF('0信息维护'!$I$86=0,0,F341/('0信息维护'!$I$86)*'0信息维护'!$E$35*'0信息维护'!$T$25)+IF('0信息维护'!$I$87=0,0,G341/('0信息维护'!$I$87)*'0信息维护'!$E$35*'0信息维护'!$U$25)+IF('0信息维护'!$I$88=0,0,H341/('0信息维护'!$I$88)*'0信息维护'!$E$35*'0信息维护'!$V$25)+IF('0信息维护'!$I$89=0,0,I341/'0信息维护'!$I$89*'0信息维护'!$I$35)</f>
        <v>0.944444444444444</v>
      </c>
      <c r="K341" s="26">
        <f ca="1">J341*'0信息维护'!$D$132+J342*'0信息维护'!$D$133+J343*'0信息维护'!$D$134+J344*'0信息维护'!$D$135+J345*'0信息维护'!$D$136+J346*'0信息维护'!$D$137+J347*'0信息维护'!$D$138</f>
        <v>0.84443137254902</v>
      </c>
    </row>
    <row r="342" spans="1:14">
      <c r="A342" s="20"/>
      <c r="B342" s="20"/>
      <c r="C342" s="20"/>
      <c r="D342" s="18" t="str">
        <f>'0信息维护'!A$26</f>
        <v>课程目标2</v>
      </c>
      <c r="E342" s="19">
        <f ca="1">OFFSET('1课程考核方式及成绩组成'!$F$10,(ROW(E342)-5)/7,MOD((ROW(E342)-5),7))</f>
        <v>60</v>
      </c>
      <c r="F342" s="19">
        <f ca="1">OFFSET('1课程考核方式及成绩组成'!$N$10,(ROW(F342)-5)/7,MOD((ROW(F342)-5),7))</f>
        <v>0</v>
      </c>
      <c r="G342" s="19">
        <f ca="1">OFFSET('1课程考核方式及成绩组成'!$V$10,(ROW(G342)-5)/7,MOD((ROW(G342)-5),7))</f>
        <v>0</v>
      </c>
      <c r="H342" s="19">
        <f ca="1">OFFSET('1课程考核方式及成绩组成'!$AD$10,(ROW(H342)-5)/7,MOD((ROW(H342)-5),7))</f>
        <v>0</v>
      </c>
      <c r="I342" s="19">
        <f ca="1">OFFSET('1课程考核方式及成绩组成'!$AL$10,(ROW(I342)-5)/7,MOD((ROW(I342)-5),7))</f>
        <v>26</v>
      </c>
      <c r="J342" s="25">
        <f ca="1">IF('0信息维护'!$I$91=0,0,E342/('0信息维护'!$I$91)*'0信息维护'!$S$26*'0信息维护'!$E$36)+IF('0信息维护'!$I$92=0,0,F342/('0信息维护'!$I$92)*'0信息维护'!$T$26*'0信息维护'!$E$36)+IF('0信息维护'!$I$93=0,0,G342/('0信息维护'!$I$93)*'0信息维护'!$U$26*'0信息维护'!$E$36)+IF('0信息维护'!$I$94=0,0,H342/('0信息维护'!$I$94)*'0信息维护'!$V$26*'0信息维护'!$E$36)+IF('0信息维护'!$I$95=0,0,I342/'0信息维护'!$I$95*'0信息维护'!$I$36)</f>
        <v>0.933333333333333</v>
      </c>
      <c r="K342" s="27"/>
      <c r="N342" s="29"/>
    </row>
    <row r="343" spans="1:11">
      <c r="A343" s="20"/>
      <c r="B343" s="20"/>
      <c r="C343" s="20"/>
      <c r="D343" s="18" t="str">
        <f>'0信息维护'!A$27</f>
        <v>课程目标3</v>
      </c>
      <c r="E343" s="19">
        <f ca="1">OFFSET('1课程考核方式及成绩组成'!$F$10,(ROW(E343)-5)/7,MOD((ROW(E343)-5),7))</f>
        <v>0</v>
      </c>
      <c r="F343" s="19">
        <f ca="1">OFFSET('1课程考核方式及成绩组成'!$N$10,(ROW(F343)-5)/7,MOD((ROW(F343)-5),7))</f>
        <v>0</v>
      </c>
      <c r="G343" s="19">
        <f ca="1">OFFSET('1课程考核方式及成绩组成'!$V$10,(ROW(G343)-5)/7,MOD((ROW(G343)-5),7))</f>
        <v>0</v>
      </c>
      <c r="H343" s="19">
        <f ca="1">OFFSET('1课程考核方式及成绩组成'!$AD$10,(ROW(H343)-5)/7,MOD((ROW(H343)-5),7))</f>
        <v>0</v>
      </c>
      <c r="I343" s="19">
        <f ca="1">OFFSET('1课程考核方式及成绩组成'!$AL$10,(ROW(I343)-5)/7,MOD((ROW(I343)-5),7))</f>
        <v>22</v>
      </c>
      <c r="J343" s="25">
        <f ca="1">IF('0信息维护'!$I$97=0,0,E343/('0信息维护'!$I$97)*'0信息维护'!$E$37*'0信息维护'!$S$27)+IF('0信息维护'!$I$98=0,0,F343/('0信息维护'!$I$98)*'0信息维护'!$E$37*'0信息维护'!$T$27)+IF('0信息维护'!$I$99=0,0,G343/('0信息维护'!$I$99)*'0信息维护'!$E$37*'0信息维护'!$U$27)+IF('0信息维护'!$I$100=0,0,H343/('0信息维护'!$I$100)*'0信息维护'!$E$37*'0信息维护'!$V$27)+IF('0信息维护'!$I$101=0,0,I343/'0信息维护'!$I$101*'0信息维护'!$I$37)</f>
        <v>0.647058823529412</v>
      </c>
      <c r="K343" s="27"/>
    </row>
    <row r="344" spans="1:11">
      <c r="A344" s="20"/>
      <c r="B344" s="20"/>
      <c r="C344" s="20"/>
      <c r="D344" s="18" t="str">
        <f>'0信息维护'!A$28</f>
        <v>课程目标4</v>
      </c>
      <c r="E344" s="19">
        <f ca="1">OFFSET('1课程考核方式及成绩组成'!$F$10,(ROW(E344)-5)/7,MOD((ROW(E344)-5),7))</f>
        <v>0</v>
      </c>
      <c r="F344" s="19">
        <f ca="1">OFFSET('1课程考核方式及成绩组成'!$N$10,(ROW(F344)-5)/7,MOD((ROW(F344)-5),7))</f>
        <v>87</v>
      </c>
      <c r="G344" s="19">
        <f ca="1">OFFSET('1课程考核方式及成绩组成'!$V$10,(ROW(G344)-5)/7,MOD((ROW(G344)-5),7))</f>
        <v>0</v>
      </c>
      <c r="H344" s="19">
        <f ca="1">OFFSET('1课程考核方式及成绩组成'!$AD$10,(ROW(H344)-5)/7,MOD((ROW(H344)-5),7))</f>
        <v>0</v>
      </c>
      <c r="I344" s="19">
        <f ca="1">OFFSET('1课程考核方式及成绩组成'!$AL$10,(ROW(I344)-5)/7,MOD((ROW(I344)-5),7))</f>
        <v>0</v>
      </c>
      <c r="J344" s="25">
        <f ca="1">IF('0信息维护'!$I$103=0,0,E344/('0信息维护'!$I$103)*'0信息维护'!$E$38*'0信息维护'!$S$28)+IF('0信息维护'!$I$104=0,0,F344/('0信息维护'!$I$104)*'0信息维护'!$E$38*'0信息维护'!$T$28)+IF('0信息维护'!$I$105=0,0,G344/('0信息维护'!$I$105)*'0信息维护'!$E$38*'0信息维护'!$U$28)+IF('0信息维护'!$I$106=0,0,H344/('0信息维护'!$I$106)*'0信息维护'!$E$38*'0信息维护'!$V$28)+IF('0信息维护'!$I$107=0,0,I344/'0信息维护'!$I$107*'0信息维护'!$I$38)</f>
        <v>0.87</v>
      </c>
      <c r="K344" s="27"/>
    </row>
    <row r="345" spans="1:11">
      <c r="A345" s="20"/>
      <c r="B345" s="20"/>
      <c r="C345" s="20"/>
      <c r="D345" s="18" t="str">
        <f>'0信息维护'!A$29</f>
        <v>课程目标5</v>
      </c>
      <c r="E345" s="19">
        <f ca="1">OFFSET('1课程考核方式及成绩组成'!$F$10,(ROW(E345)-5)/7,MOD((ROW(E345)-5),7))</f>
        <v>0</v>
      </c>
      <c r="F345" s="19">
        <f ca="1">OFFSET('1课程考核方式及成绩组成'!$N$10,(ROW(F345)-5)/7,MOD((ROW(F345)-5),7))</f>
        <v>0</v>
      </c>
      <c r="G345" s="19">
        <f ca="1">OFFSET('1课程考核方式及成绩组成'!$V$10,(ROW(G345)-5)/7,MOD((ROW(G345)-5),7))</f>
        <v>0</v>
      </c>
      <c r="H345" s="19">
        <f ca="1">OFFSET('1课程考核方式及成绩组成'!$AD$10,(ROW(H345)-5)/7,MOD((ROW(H345)-5),7))</f>
        <v>0</v>
      </c>
      <c r="I345" s="19">
        <f ca="1">OFFSET('1课程考核方式及成绩组成'!$AL$10,(ROW(I345)-5)/7,MOD((ROW(I345)-5),7))</f>
        <v>0</v>
      </c>
      <c r="J345" s="25">
        <f ca="1">IF('0信息维护'!$I$109=0,0,E345/('0信息维护'!$I$109)*'0信息维护'!$E$39*'0信息维护'!$S$29)+IF('0信息维护'!$I$110=0,0,F345/('0信息维护'!$I$110)*'0信息维护'!$E$39*'0信息维护'!$T$29)+IF('0信息维护'!$I$111=0,0,G345/('0信息维护'!$I$111)*'0信息维护'!$E$39*'0信息维护'!$U$29)+IF('0信息维护'!$I$112=0,0,H345/('0信息维护'!$I$112)*'0信息维护'!$E$39*'0信息维护'!$V$29)+IF('0信息维护'!$I$113=0,0,I345/'0信息维护'!$I$113*'0信息维护'!$I$39)</f>
        <v>0</v>
      </c>
      <c r="K345" s="27"/>
    </row>
    <row r="346" spans="1:11">
      <c r="A346" s="20"/>
      <c r="B346" s="20"/>
      <c r="C346" s="20"/>
      <c r="D346" s="18" t="str">
        <f>'0信息维护'!A$30</f>
        <v>课程目标6</v>
      </c>
      <c r="E346" s="19">
        <f ca="1">OFFSET('1课程考核方式及成绩组成'!$F$10,(ROW(E346)-5)/7,MOD((ROW(E346)-5),7))</f>
        <v>0</v>
      </c>
      <c r="F346" s="19">
        <f ca="1">OFFSET('1课程考核方式及成绩组成'!$N$10,(ROW(F346)-5)/7,MOD((ROW(F346)-5),7))</f>
        <v>0</v>
      </c>
      <c r="G346" s="19">
        <f ca="1">OFFSET('1课程考核方式及成绩组成'!$V$10,(ROW(G346)-5)/7,MOD((ROW(G346)-5),7))</f>
        <v>0</v>
      </c>
      <c r="H346" s="19">
        <f ca="1">OFFSET('1课程考核方式及成绩组成'!$AD$10,(ROW(H346)-5)/7,MOD((ROW(H346)-5),7))</f>
        <v>0</v>
      </c>
      <c r="I346" s="19">
        <f ca="1">OFFSET('1课程考核方式及成绩组成'!$AL$10,(ROW(I346)-5)/7,MOD((ROW(I346)-5),7))</f>
        <v>0</v>
      </c>
      <c r="J346" s="25">
        <f ca="1">IF('0信息维护'!$I$115=0,0,E346/('0信息维护'!$I$115)*'0信息维护'!$E$40*'0信息维护'!$S$30)+IF('0信息维护'!$I$116=0,0,F346/('0信息维护'!$I$116)*'0信息维护'!$E$40*'0信息维护'!$T$30)+IF('0信息维护'!$I$117=0,0,G346/('0信息维护'!$I$117)*'0信息维护'!$E$40*'0信息维护'!$U$30)+IF('0信息维护'!$I$118=0,0,H346/('0信息维护'!$I$118)*'0信息维护'!$E$40*'0信息维护'!$V$30)+IF('0信息维护'!$I$119=0,0,I346/'0信息维护'!$I$119*'0信息维护'!$I$40)</f>
        <v>0</v>
      </c>
      <c r="K346" s="27"/>
    </row>
    <row r="347" spans="1:11">
      <c r="A347" s="21"/>
      <c r="B347" s="21"/>
      <c r="C347" s="21"/>
      <c r="D347" s="18" t="str">
        <f>'0信息维护'!A$31</f>
        <v>课程目标7</v>
      </c>
      <c r="E347" s="19">
        <f ca="1">OFFSET('1课程考核方式及成绩组成'!$F$10,(ROW(E347)-5)/7,MOD((ROW(E347)-5),7))</f>
        <v>0</v>
      </c>
      <c r="F347" s="19">
        <f ca="1">OFFSET('1课程考核方式及成绩组成'!$N$10,(ROW(F347)-5)/7,MOD((ROW(F347)-5),7))</f>
        <v>0</v>
      </c>
      <c r="G347" s="19">
        <f ca="1">OFFSET('1课程考核方式及成绩组成'!$V$10,(ROW(G347)-5)/7,MOD((ROW(G347)-5),7))</f>
        <v>0</v>
      </c>
      <c r="H347" s="19">
        <f ca="1">OFFSET('1课程考核方式及成绩组成'!$AD$10,(ROW(H347)-5)/7,MOD((ROW(H347)-5),7))</f>
        <v>0</v>
      </c>
      <c r="I347" s="19">
        <f ca="1">OFFSET('1课程考核方式及成绩组成'!$AL$10,(ROW(I347)-5)/7,MOD((ROW(I347)-5),7))</f>
        <v>0</v>
      </c>
      <c r="J347" s="25">
        <f ca="1">IF('0信息维护'!$I$121=0,0,E347/('0信息维护'!$I$121)*'0信息维护'!$E$41*'0信息维护'!$S$31)+IF('0信息维护'!$I$122=0,0,F347/('0信息维护'!$I$122)*'0信息维护'!$E$41*'0信息维护'!$T$31)+IF('0信息维护'!$I$123=0,0,G347/('0信息维护'!$I$123)*'0信息维护'!$E$41*'0信息维护'!$U$31)+IF('0信息维护'!$I$124=0,0,H347/('0信息维护'!$I$124)*'0信息维护'!$E$41*'0信息维护'!$T$31)+IF('0信息维护'!$I$125=0,0,I347/'0信息维护'!$I$125*'0信息维护'!$I$41)</f>
        <v>0</v>
      </c>
      <c r="K347" s="30"/>
    </row>
    <row r="348" spans="1:11">
      <c r="A348" s="17">
        <v>50</v>
      </c>
      <c r="B348" s="17" t="str">
        <f ca="1">OFFSET('1课程考核方式及成绩组成'!$D$10,(ROW(B348)-5)/7,)</f>
        <v>190302014</v>
      </c>
      <c r="C348" s="17" t="str">
        <f ca="1">OFFSET('1课程考核方式及成绩组成'!$E$10,(ROW(C348)-5)/7,)</f>
        <v>余业伟</v>
      </c>
      <c r="D348" s="18" t="str">
        <f>'0信息维护'!A$25</f>
        <v>课程目标1</v>
      </c>
      <c r="E348" s="19">
        <f ca="1">OFFSET('1课程考核方式及成绩组成'!$F$10,(ROW(E348)-5)/7,MOD((ROW(E348)-5),7))</f>
        <v>40</v>
      </c>
      <c r="F348" s="19">
        <f ca="1">OFFSET('1课程考核方式及成绩组成'!$N$10,(ROW(F348)-5)/7,MOD((ROW(F348)-5),7))</f>
        <v>0</v>
      </c>
      <c r="G348" s="19">
        <f ca="1">OFFSET('1课程考核方式及成绩组成'!$V$10,(ROW(G348)-5)/7,MOD((ROW(G348)-5),7))</f>
        <v>0</v>
      </c>
      <c r="H348" s="19">
        <f ca="1">OFFSET('1课程考核方式及成绩组成'!$AD$10,(ROW(H348)-5)/7,MOD((ROW(H348)-5),7))</f>
        <v>0</v>
      </c>
      <c r="I348" s="19">
        <f ca="1">OFFSET('1课程考核方式及成绩组成'!$AL$10,(ROW(I348)-5)/7,MOD((ROW(I348)-5),7))</f>
        <v>28</v>
      </c>
      <c r="J348" s="25">
        <f ca="1">IF('0信息维护'!$I$85=0,0,E348/('0信息维护'!$I$85)*'0信息维护'!$E$35*'0信息维护'!$S$25)+IF('0信息维护'!$I$86=0,0,F348/('0信息维护'!$I$86)*'0信息维护'!$E$35*'0信息维护'!$T$25)+IF('0信息维护'!$I$87=0,0,G348/('0信息维护'!$I$87)*'0信息维护'!$E$35*'0信息维护'!$U$25)+IF('0信息维护'!$I$88=0,0,H348/('0信息维护'!$I$88)*'0信息维护'!$E$35*'0信息维护'!$V$25)+IF('0信息维护'!$I$89=0,0,I348/'0信息维护'!$I$89*'0信息维护'!$I$35)</f>
        <v>0.888888888888889</v>
      </c>
      <c r="K348" s="26">
        <f ca="1">J348*'0信息维护'!$D$132+J349*'0信息维护'!$D$133+J350*'0信息维护'!$D$134+J351*'0信息维护'!$D$135+J352*'0信息维护'!$D$136+J353*'0信息维护'!$D$137+J354*'0信息维护'!$D$138</f>
        <v>0.732333333333333</v>
      </c>
    </row>
    <row r="349" spans="1:14">
      <c r="A349" s="20"/>
      <c r="B349" s="20"/>
      <c r="C349" s="20"/>
      <c r="D349" s="18" t="str">
        <f>'0信息维护'!A$26</f>
        <v>课程目标2</v>
      </c>
      <c r="E349" s="19">
        <f ca="1">OFFSET('1课程考核方式及成绩组成'!$F$10,(ROW(E349)-5)/7,MOD((ROW(E349)-5),7))</f>
        <v>60</v>
      </c>
      <c r="F349" s="19">
        <f ca="1">OFFSET('1课程考核方式及成绩组成'!$N$10,(ROW(F349)-5)/7,MOD((ROW(F349)-5),7))</f>
        <v>0</v>
      </c>
      <c r="G349" s="19">
        <f ca="1">OFFSET('1课程考核方式及成绩组成'!$V$10,(ROW(G349)-5)/7,MOD((ROW(G349)-5),7))</f>
        <v>0</v>
      </c>
      <c r="H349" s="19">
        <f ca="1">OFFSET('1课程考核方式及成绩组成'!$AD$10,(ROW(H349)-5)/7,MOD((ROW(H349)-5),7))</f>
        <v>0</v>
      </c>
      <c r="I349" s="19">
        <f ca="1">OFFSET('1课程考核方式及成绩组成'!$AL$10,(ROW(I349)-5)/7,MOD((ROW(I349)-5),7))</f>
        <v>21</v>
      </c>
      <c r="J349" s="25">
        <f ca="1">IF('0信息维护'!$I$91=0,0,E349/('0信息维护'!$I$91)*'0信息维护'!$S$26*'0信息维护'!$E$36)+IF('0信息维护'!$I$92=0,0,F349/('0信息维护'!$I$92)*'0信息维护'!$T$26*'0信息维护'!$E$36)+IF('0信息维护'!$I$93=0,0,G349/('0信息维护'!$I$93)*'0信息维护'!$U$26*'0信息维护'!$E$36)+IF('0信息维护'!$I$94=0,0,H349/('0信息维护'!$I$94)*'0信息维护'!$V$26*'0信息维护'!$E$36)+IF('0信息维护'!$I$95=0,0,I349/'0信息维护'!$I$95*'0信息维护'!$I$36)</f>
        <v>0.85</v>
      </c>
      <c r="K349" s="27"/>
      <c r="N349" s="29"/>
    </row>
    <row r="350" spans="1:11">
      <c r="A350" s="20"/>
      <c r="B350" s="20"/>
      <c r="C350" s="20"/>
      <c r="D350" s="18" t="str">
        <f>'0信息维护'!A$27</f>
        <v>课程目标3</v>
      </c>
      <c r="E350" s="19">
        <f ca="1">OFFSET('1课程考核方式及成绩组成'!$F$10,(ROW(E350)-5)/7,MOD((ROW(E350)-5),7))</f>
        <v>0</v>
      </c>
      <c r="F350" s="19">
        <f ca="1">OFFSET('1课程考核方式及成绩组成'!$N$10,(ROW(F350)-5)/7,MOD((ROW(F350)-5),7))</f>
        <v>0</v>
      </c>
      <c r="G350" s="19">
        <f ca="1">OFFSET('1课程考核方式及成绩组成'!$V$10,(ROW(G350)-5)/7,MOD((ROW(G350)-5),7))</f>
        <v>0</v>
      </c>
      <c r="H350" s="19">
        <f ca="1">OFFSET('1课程考核方式及成绩组成'!$AD$10,(ROW(H350)-5)/7,MOD((ROW(H350)-5),7))</f>
        <v>0</v>
      </c>
      <c r="I350" s="19">
        <f ca="1">OFFSET('1课程考核方式及成绩组成'!$AL$10,(ROW(I350)-5)/7,MOD((ROW(I350)-5),7))</f>
        <v>17</v>
      </c>
      <c r="J350" s="25">
        <f ca="1">IF('0信息维护'!$I$97=0,0,E350/('0信息维护'!$I$97)*'0信息维护'!$E$37*'0信息维护'!$S$27)+IF('0信息维护'!$I$98=0,0,F350/('0信息维护'!$I$98)*'0信息维护'!$E$37*'0信息维护'!$T$27)+IF('0信息维护'!$I$99=0,0,G350/('0信息维护'!$I$99)*'0信息维护'!$E$37*'0信息维护'!$U$27)+IF('0信息维护'!$I$100=0,0,H350/('0信息维护'!$I$100)*'0信息维护'!$E$37*'0信息维护'!$V$27)+IF('0信息维护'!$I$101=0,0,I350/'0信息维护'!$I$101*'0信息维护'!$I$37)</f>
        <v>0.5</v>
      </c>
      <c r="K350" s="27"/>
    </row>
    <row r="351" spans="1:11">
      <c r="A351" s="20"/>
      <c r="B351" s="20"/>
      <c r="C351" s="20"/>
      <c r="D351" s="18" t="str">
        <f>'0信息维护'!A$28</f>
        <v>课程目标4</v>
      </c>
      <c r="E351" s="19">
        <f ca="1">OFFSET('1课程考核方式及成绩组成'!$F$10,(ROW(E351)-5)/7,MOD((ROW(E351)-5),7))</f>
        <v>0</v>
      </c>
      <c r="F351" s="19">
        <f ca="1">OFFSET('1课程考核方式及成绩组成'!$N$10,(ROW(F351)-5)/7,MOD((ROW(F351)-5),7))</f>
        <v>73</v>
      </c>
      <c r="G351" s="19">
        <f ca="1">OFFSET('1课程考核方式及成绩组成'!$V$10,(ROW(G351)-5)/7,MOD((ROW(G351)-5),7))</f>
        <v>0</v>
      </c>
      <c r="H351" s="19">
        <f ca="1">OFFSET('1课程考核方式及成绩组成'!$AD$10,(ROW(H351)-5)/7,MOD((ROW(H351)-5),7))</f>
        <v>0</v>
      </c>
      <c r="I351" s="19">
        <f ca="1">OFFSET('1课程考核方式及成绩组成'!$AL$10,(ROW(I351)-5)/7,MOD((ROW(I351)-5),7))</f>
        <v>0</v>
      </c>
      <c r="J351" s="25">
        <f ca="1">IF('0信息维护'!$I$103=0,0,E351/('0信息维护'!$I$103)*'0信息维护'!$E$38*'0信息维护'!$S$28)+IF('0信息维护'!$I$104=0,0,F351/('0信息维护'!$I$104)*'0信息维护'!$E$38*'0信息维护'!$T$28)+IF('0信息维护'!$I$105=0,0,G351/('0信息维护'!$I$105)*'0信息维护'!$E$38*'0信息维护'!$U$28)+IF('0信息维护'!$I$106=0,0,H351/('0信息维护'!$I$106)*'0信息维护'!$E$38*'0信息维护'!$V$28)+IF('0信息维护'!$I$107=0,0,I351/'0信息维护'!$I$107*'0信息维护'!$I$38)</f>
        <v>0.73</v>
      </c>
      <c r="K351" s="27"/>
    </row>
    <row r="352" spans="1:11">
      <c r="A352" s="20"/>
      <c r="B352" s="20"/>
      <c r="C352" s="20"/>
      <c r="D352" s="18" t="str">
        <f>'0信息维护'!A$29</f>
        <v>课程目标5</v>
      </c>
      <c r="E352" s="19">
        <f ca="1">OFFSET('1课程考核方式及成绩组成'!$F$10,(ROW(E352)-5)/7,MOD((ROW(E352)-5),7))</f>
        <v>0</v>
      </c>
      <c r="F352" s="19">
        <f ca="1">OFFSET('1课程考核方式及成绩组成'!$N$10,(ROW(F352)-5)/7,MOD((ROW(F352)-5),7))</f>
        <v>0</v>
      </c>
      <c r="G352" s="19">
        <f ca="1">OFFSET('1课程考核方式及成绩组成'!$V$10,(ROW(G352)-5)/7,MOD((ROW(G352)-5),7))</f>
        <v>0</v>
      </c>
      <c r="H352" s="19">
        <f ca="1">OFFSET('1课程考核方式及成绩组成'!$AD$10,(ROW(H352)-5)/7,MOD((ROW(H352)-5),7))</f>
        <v>0</v>
      </c>
      <c r="I352" s="19">
        <f ca="1">OFFSET('1课程考核方式及成绩组成'!$AL$10,(ROW(I352)-5)/7,MOD((ROW(I352)-5),7))</f>
        <v>0</v>
      </c>
      <c r="J352" s="25">
        <f ca="1">IF('0信息维护'!$I$109=0,0,E352/('0信息维护'!$I$109)*'0信息维护'!$E$39*'0信息维护'!$S$29)+IF('0信息维护'!$I$110=0,0,F352/('0信息维护'!$I$110)*'0信息维护'!$E$39*'0信息维护'!$T$29)+IF('0信息维护'!$I$111=0,0,G352/('0信息维护'!$I$111)*'0信息维护'!$E$39*'0信息维护'!$U$29)+IF('0信息维护'!$I$112=0,0,H352/('0信息维护'!$I$112)*'0信息维护'!$E$39*'0信息维护'!$V$29)+IF('0信息维护'!$I$113=0,0,I352/'0信息维护'!$I$113*'0信息维护'!$I$39)</f>
        <v>0</v>
      </c>
      <c r="K352" s="27"/>
    </row>
    <row r="353" spans="1:11">
      <c r="A353" s="20"/>
      <c r="B353" s="20"/>
      <c r="C353" s="20"/>
      <c r="D353" s="18" t="str">
        <f>'0信息维护'!A$30</f>
        <v>课程目标6</v>
      </c>
      <c r="E353" s="19">
        <f ca="1">OFFSET('1课程考核方式及成绩组成'!$F$10,(ROW(E353)-5)/7,MOD((ROW(E353)-5),7))</f>
        <v>0</v>
      </c>
      <c r="F353" s="19">
        <f ca="1">OFFSET('1课程考核方式及成绩组成'!$N$10,(ROW(F353)-5)/7,MOD((ROW(F353)-5),7))</f>
        <v>0</v>
      </c>
      <c r="G353" s="19">
        <f ca="1">OFFSET('1课程考核方式及成绩组成'!$V$10,(ROW(G353)-5)/7,MOD((ROW(G353)-5),7))</f>
        <v>0</v>
      </c>
      <c r="H353" s="19">
        <f ca="1">OFFSET('1课程考核方式及成绩组成'!$AD$10,(ROW(H353)-5)/7,MOD((ROW(H353)-5),7))</f>
        <v>0</v>
      </c>
      <c r="I353" s="19">
        <f ca="1">OFFSET('1课程考核方式及成绩组成'!$AL$10,(ROW(I353)-5)/7,MOD((ROW(I353)-5),7))</f>
        <v>0</v>
      </c>
      <c r="J353" s="25">
        <f ca="1">IF('0信息维护'!$I$115=0,0,E353/('0信息维护'!$I$115)*'0信息维护'!$E$40*'0信息维护'!$S$30)+IF('0信息维护'!$I$116=0,0,F353/('0信息维护'!$I$116)*'0信息维护'!$E$40*'0信息维护'!$T$30)+IF('0信息维护'!$I$117=0,0,G353/('0信息维护'!$I$117)*'0信息维护'!$E$40*'0信息维护'!$U$30)+IF('0信息维护'!$I$118=0,0,H353/('0信息维护'!$I$118)*'0信息维护'!$E$40*'0信息维护'!$V$30)+IF('0信息维护'!$I$119=0,0,I353/'0信息维护'!$I$119*'0信息维护'!$I$40)</f>
        <v>0</v>
      </c>
      <c r="K353" s="27"/>
    </row>
    <row r="354" spans="1:11">
      <c r="A354" s="21"/>
      <c r="B354" s="21"/>
      <c r="C354" s="21"/>
      <c r="D354" s="18" t="str">
        <f>'0信息维护'!A$31</f>
        <v>课程目标7</v>
      </c>
      <c r="E354" s="19">
        <f ca="1">OFFSET('1课程考核方式及成绩组成'!$F$10,(ROW(E354)-5)/7,MOD((ROW(E354)-5),7))</f>
        <v>0</v>
      </c>
      <c r="F354" s="19">
        <f ca="1">OFFSET('1课程考核方式及成绩组成'!$N$10,(ROW(F354)-5)/7,MOD((ROW(F354)-5),7))</f>
        <v>0</v>
      </c>
      <c r="G354" s="19">
        <f ca="1">OFFSET('1课程考核方式及成绩组成'!$V$10,(ROW(G354)-5)/7,MOD((ROW(G354)-5),7))</f>
        <v>0</v>
      </c>
      <c r="H354" s="19">
        <f ca="1">OFFSET('1课程考核方式及成绩组成'!$AD$10,(ROW(H354)-5)/7,MOD((ROW(H354)-5),7))</f>
        <v>0</v>
      </c>
      <c r="I354" s="19">
        <f ca="1">OFFSET('1课程考核方式及成绩组成'!$AL$10,(ROW(I354)-5)/7,MOD((ROW(I354)-5),7))</f>
        <v>0</v>
      </c>
      <c r="J354" s="25">
        <f ca="1">IF('0信息维护'!$I$121=0,0,E354/('0信息维护'!$I$121)*'0信息维护'!$E$41*'0信息维护'!$S$31)+IF('0信息维护'!$I$122=0,0,F354/('0信息维护'!$I$122)*'0信息维护'!$E$41*'0信息维护'!$T$31)+IF('0信息维护'!$I$123=0,0,G354/('0信息维护'!$I$123)*'0信息维护'!$E$41*'0信息维护'!$U$31)+IF('0信息维护'!$I$124=0,0,H354/('0信息维护'!$I$124)*'0信息维护'!$E$41*'0信息维护'!$T$31)+IF('0信息维护'!$I$125=0,0,I354/'0信息维护'!$I$125*'0信息维护'!$I$41)</f>
        <v>0</v>
      </c>
      <c r="K354" s="30"/>
    </row>
    <row r="355" spans="1:11">
      <c r="A355" s="17">
        <v>51</v>
      </c>
      <c r="B355" s="17" t="str">
        <f ca="1">OFFSET('1课程考核方式及成绩组成'!$D$10,(ROW(B355)-5)/7,)</f>
        <v>190302015</v>
      </c>
      <c r="C355" s="17" t="str">
        <f ca="1">OFFSET('1课程考核方式及成绩组成'!$E$10,(ROW(C355)-5)/7,)</f>
        <v>黄松</v>
      </c>
      <c r="D355" s="18" t="str">
        <f>'0信息维护'!A$25</f>
        <v>课程目标1</v>
      </c>
      <c r="E355" s="19">
        <f ca="1">OFFSET('1课程考核方式及成绩组成'!$F$10,(ROW(E355)-5)/7,MOD((ROW(E355)-5),7))</f>
        <v>40</v>
      </c>
      <c r="F355" s="19">
        <f ca="1">OFFSET('1课程考核方式及成绩组成'!$N$10,(ROW(F355)-5)/7,MOD((ROW(F355)-5),7))</f>
        <v>0</v>
      </c>
      <c r="G355" s="19">
        <f ca="1">OFFSET('1课程考核方式及成绩组成'!$V$10,(ROW(G355)-5)/7,MOD((ROW(G355)-5),7))</f>
        <v>0</v>
      </c>
      <c r="H355" s="19">
        <f ca="1">OFFSET('1课程考核方式及成绩组成'!$AD$10,(ROW(H355)-5)/7,MOD((ROW(H355)-5),7))</f>
        <v>0</v>
      </c>
      <c r="I355" s="19">
        <f ca="1">OFFSET('1课程考核方式及成绩组成'!$AL$10,(ROW(I355)-5)/7,MOD((ROW(I355)-5),7))</f>
        <v>25</v>
      </c>
      <c r="J355" s="25">
        <f ca="1">IF('0信息维护'!$I$85=0,0,E355/('0信息维护'!$I$85)*'0信息维护'!$E$35*'0信息维护'!$S$25)+IF('0信息维护'!$I$86=0,0,F355/('0信息维护'!$I$86)*'0信息维护'!$E$35*'0信息维护'!$T$25)+IF('0信息维护'!$I$87=0,0,G355/('0信息维护'!$I$87)*'0信息维护'!$E$35*'0信息维护'!$U$25)+IF('0信息维护'!$I$88=0,0,H355/('0信息维护'!$I$88)*'0信息维护'!$E$35*'0信息维护'!$V$25)+IF('0信息维护'!$I$89=0,0,I355/'0信息维护'!$I$89*'0信息维护'!$I$35)</f>
        <v>0.847222222222222</v>
      </c>
      <c r="K355" s="26">
        <f ca="1">J355*'0信息维护'!$D$132+J356*'0信息维护'!$D$133+J357*'0信息维护'!$D$134+J358*'0信息维护'!$D$135+J359*'0信息维护'!$D$136+J360*'0信息维护'!$D$137+J361*'0信息维护'!$D$138</f>
        <v>0.786495098039216</v>
      </c>
    </row>
    <row r="356" spans="1:14">
      <c r="A356" s="20"/>
      <c r="B356" s="20"/>
      <c r="C356" s="20"/>
      <c r="D356" s="18" t="str">
        <f>'0信息维护'!A$26</f>
        <v>课程目标2</v>
      </c>
      <c r="E356" s="19">
        <f ca="1">OFFSET('1课程考核方式及成绩组成'!$F$10,(ROW(E356)-5)/7,MOD((ROW(E356)-5),7))</f>
        <v>60</v>
      </c>
      <c r="F356" s="19">
        <f ca="1">OFFSET('1课程考核方式及成绩组成'!$N$10,(ROW(F356)-5)/7,MOD((ROW(F356)-5),7))</f>
        <v>0</v>
      </c>
      <c r="G356" s="19">
        <f ca="1">OFFSET('1课程考核方式及成绩组成'!$V$10,(ROW(G356)-5)/7,MOD((ROW(G356)-5),7))</f>
        <v>0</v>
      </c>
      <c r="H356" s="19">
        <f ca="1">OFFSET('1课程考核方式及成绩组成'!$AD$10,(ROW(H356)-5)/7,MOD((ROW(H356)-5),7))</f>
        <v>0</v>
      </c>
      <c r="I356" s="19">
        <f ca="1">OFFSET('1课程考核方式及成绩组成'!$AL$10,(ROW(I356)-5)/7,MOD((ROW(I356)-5),7))</f>
        <v>23</v>
      </c>
      <c r="J356" s="25">
        <f ca="1">IF('0信息维护'!$I$91=0,0,E356/('0信息维护'!$I$91)*'0信息维护'!$S$26*'0信息维护'!$E$36)+IF('0信息维护'!$I$92=0,0,F356/('0信息维护'!$I$92)*'0信息维护'!$T$26*'0信息维护'!$E$36)+IF('0信息维护'!$I$93=0,0,G356/('0信息维护'!$I$93)*'0信息维护'!$U$26*'0信息维护'!$E$36)+IF('0信息维护'!$I$94=0,0,H356/('0信息维护'!$I$94)*'0信息维护'!$V$26*'0信息维护'!$E$36)+IF('0信息维护'!$I$95=0,0,I356/'0信息维护'!$I$95*'0信息维护'!$I$36)</f>
        <v>0.883333333333333</v>
      </c>
      <c r="K356" s="27"/>
      <c r="N356" s="29"/>
    </row>
    <row r="357" spans="1:11">
      <c r="A357" s="20"/>
      <c r="B357" s="20"/>
      <c r="C357" s="20"/>
      <c r="D357" s="18" t="str">
        <f>'0信息维护'!A$27</f>
        <v>课程目标3</v>
      </c>
      <c r="E357" s="19">
        <f ca="1">OFFSET('1课程考核方式及成绩组成'!$F$10,(ROW(E357)-5)/7,MOD((ROW(E357)-5),7))</f>
        <v>0</v>
      </c>
      <c r="F357" s="19">
        <f ca="1">OFFSET('1课程考核方式及成绩组成'!$N$10,(ROW(F357)-5)/7,MOD((ROW(F357)-5),7))</f>
        <v>0</v>
      </c>
      <c r="G357" s="19">
        <f ca="1">OFFSET('1课程考核方式及成绩组成'!$V$10,(ROW(G357)-5)/7,MOD((ROW(G357)-5),7))</f>
        <v>0</v>
      </c>
      <c r="H357" s="19">
        <f ca="1">OFFSET('1课程考核方式及成绩组成'!$AD$10,(ROW(H357)-5)/7,MOD((ROW(H357)-5),7))</f>
        <v>0</v>
      </c>
      <c r="I357" s="19">
        <f ca="1">OFFSET('1课程考核方式及成绩组成'!$AL$10,(ROW(I357)-5)/7,MOD((ROW(I357)-5),7))</f>
        <v>21</v>
      </c>
      <c r="J357" s="25">
        <f ca="1">IF('0信息维护'!$I$97=0,0,E357/('0信息维护'!$I$97)*'0信息维护'!$E$37*'0信息维护'!$S$27)+IF('0信息维护'!$I$98=0,0,F357/('0信息维护'!$I$98)*'0信息维护'!$E$37*'0信息维护'!$T$27)+IF('0信息维护'!$I$99=0,0,G357/('0信息维护'!$I$99)*'0信息维护'!$E$37*'0信息维护'!$U$27)+IF('0信息维护'!$I$100=0,0,H357/('0信息维护'!$I$100)*'0信息维护'!$E$37*'0信息维护'!$V$27)+IF('0信息维护'!$I$101=0,0,I357/'0信息维护'!$I$101*'0信息维护'!$I$37)</f>
        <v>0.617647058823529</v>
      </c>
      <c r="K357" s="27"/>
    </row>
    <row r="358" spans="1:11">
      <c r="A358" s="20"/>
      <c r="B358" s="20"/>
      <c r="C358" s="20"/>
      <c r="D358" s="18" t="str">
        <f>'0信息维护'!A$28</f>
        <v>课程目标4</v>
      </c>
      <c r="E358" s="19">
        <f ca="1">OFFSET('1课程考核方式及成绩组成'!$F$10,(ROW(E358)-5)/7,MOD((ROW(E358)-5),7))</f>
        <v>0</v>
      </c>
      <c r="F358" s="19">
        <f ca="1">OFFSET('1课程考核方式及成绩组成'!$N$10,(ROW(F358)-5)/7,MOD((ROW(F358)-5),7))</f>
        <v>80</v>
      </c>
      <c r="G358" s="19">
        <f ca="1">OFFSET('1课程考核方式及成绩组成'!$V$10,(ROW(G358)-5)/7,MOD((ROW(G358)-5),7))</f>
        <v>0</v>
      </c>
      <c r="H358" s="19">
        <f ca="1">OFFSET('1课程考核方式及成绩组成'!$AD$10,(ROW(H358)-5)/7,MOD((ROW(H358)-5),7))</f>
        <v>0</v>
      </c>
      <c r="I358" s="19">
        <f ca="1">OFFSET('1课程考核方式及成绩组成'!$AL$10,(ROW(I358)-5)/7,MOD((ROW(I358)-5),7))</f>
        <v>0</v>
      </c>
      <c r="J358" s="25">
        <f ca="1">IF('0信息维护'!$I$103=0,0,E358/('0信息维护'!$I$103)*'0信息维护'!$E$38*'0信息维护'!$S$28)+IF('0信息维护'!$I$104=0,0,F358/('0信息维护'!$I$104)*'0信息维护'!$E$38*'0信息维护'!$T$28)+IF('0信息维护'!$I$105=0,0,G358/('0信息维护'!$I$105)*'0信息维护'!$E$38*'0信息维护'!$U$28)+IF('0信息维护'!$I$106=0,0,H358/('0信息维护'!$I$106)*'0信息维护'!$E$38*'0信息维护'!$V$28)+IF('0信息维护'!$I$107=0,0,I358/'0信息维护'!$I$107*'0信息维护'!$I$38)</f>
        <v>0.8</v>
      </c>
      <c r="K358" s="27"/>
    </row>
    <row r="359" spans="1:11">
      <c r="A359" s="20"/>
      <c r="B359" s="20"/>
      <c r="C359" s="20"/>
      <c r="D359" s="18" t="str">
        <f>'0信息维护'!A$29</f>
        <v>课程目标5</v>
      </c>
      <c r="E359" s="19">
        <f ca="1">OFFSET('1课程考核方式及成绩组成'!$F$10,(ROW(E359)-5)/7,MOD((ROW(E359)-5),7))</f>
        <v>0</v>
      </c>
      <c r="F359" s="19">
        <f ca="1">OFFSET('1课程考核方式及成绩组成'!$N$10,(ROW(F359)-5)/7,MOD((ROW(F359)-5),7))</f>
        <v>0</v>
      </c>
      <c r="G359" s="19">
        <f ca="1">OFFSET('1课程考核方式及成绩组成'!$V$10,(ROW(G359)-5)/7,MOD((ROW(G359)-5),7))</f>
        <v>0</v>
      </c>
      <c r="H359" s="19">
        <f ca="1">OFFSET('1课程考核方式及成绩组成'!$AD$10,(ROW(H359)-5)/7,MOD((ROW(H359)-5),7))</f>
        <v>0</v>
      </c>
      <c r="I359" s="19">
        <f ca="1">OFFSET('1课程考核方式及成绩组成'!$AL$10,(ROW(I359)-5)/7,MOD((ROW(I359)-5),7))</f>
        <v>0</v>
      </c>
      <c r="J359" s="25">
        <f ca="1">IF('0信息维护'!$I$109=0,0,E359/('0信息维护'!$I$109)*'0信息维护'!$E$39*'0信息维护'!$S$29)+IF('0信息维护'!$I$110=0,0,F359/('0信息维护'!$I$110)*'0信息维护'!$E$39*'0信息维护'!$T$29)+IF('0信息维护'!$I$111=0,0,G359/('0信息维护'!$I$111)*'0信息维护'!$E$39*'0信息维护'!$U$29)+IF('0信息维护'!$I$112=0,0,H359/('0信息维护'!$I$112)*'0信息维护'!$E$39*'0信息维护'!$V$29)+IF('0信息维护'!$I$113=0,0,I359/'0信息维护'!$I$113*'0信息维护'!$I$39)</f>
        <v>0</v>
      </c>
      <c r="K359" s="27"/>
    </row>
    <row r="360" spans="1:11">
      <c r="A360" s="20"/>
      <c r="B360" s="20"/>
      <c r="C360" s="20"/>
      <c r="D360" s="18" t="str">
        <f>'0信息维护'!A$30</f>
        <v>课程目标6</v>
      </c>
      <c r="E360" s="19">
        <f ca="1">OFFSET('1课程考核方式及成绩组成'!$F$10,(ROW(E360)-5)/7,MOD((ROW(E360)-5),7))</f>
        <v>0</v>
      </c>
      <c r="F360" s="19">
        <f ca="1">OFFSET('1课程考核方式及成绩组成'!$N$10,(ROW(F360)-5)/7,MOD((ROW(F360)-5),7))</f>
        <v>0</v>
      </c>
      <c r="G360" s="19">
        <f ca="1">OFFSET('1课程考核方式及成绩组成'!$V$10,(ROW(G360)-5)/7,MOD((ROW(G360)-5),7))</f>
        <v>0</v>
      </c>
      <c r="H360" s="19">
        <f ca="1">OFFSET('1课程考核方式及成绩组成'!$AD$10,(ROW(H360)-5)/7,MOD((ROW(H360)-5),7))</f>
        <v>0</v>
      </c>
      <c r="I360" s="19">
        <f ca="1">OFFSET('1课程考核方式及成绩组成'!$AL$10,(ROW(I360)-5)/7,MOD((ROW(I360)-5),7))</f>
        <v>0</v>
      </c>
      <c r="J360" s="25">
        <f ca="1">IF('0信息维护'!$I$115=0,0,E360/('0信息维护'!$I$115)*'0信息维护'!$E$40*'0信息维护'!$S$30)+IF('0信息维护'!$I$116=0,0,F360/('0信息维护'!$I$116)*'0信息维护'!$E$40*'0信息维护'!$T$30)+IF('0信息维护'!$I$117=0,0,G360/('0信息维护'!$I$117)*'0信息维护'!$E$40*'0信息维护'!$U$30)+IF('0信息维护'!$I$118=0,0,H360/('0信息维护'!$I$118)*'0信息维护'!$E$40*'0信息维护'!$V$30)+IF('0信息维护'!$I$119=0,0,I360/'0信息维护'!$I$119*'0信息维护'!$I$40)</f>
        <v>0</v>
      </c>
      <c r="K360" s="27"/>
    </row>
    <row r="361" spans="1:11">
      <c r="A361" s="21"/>
      <c r="B361" s="21"/>
      <c r="C361" s="21"/>
      <c r="D361" s="18" t="str">
        <f>'0信息维护'!A$31</f>
        <v>课程目标7</v>
      </c>
      <c r="E361" s="19">
        <f ca="1">OFFSET('1课程考核方式及成绩组成'!$F$10,(ROW(E361)-5)/7,MOD((ROW(E361)-5),7))</f>
        <v>0</v>
      </c>
      <c r="F361" s="19">
        <f ca="1">OFFSET('1课程考核方式及成绩组成'!$N$10,(ROW(F361)-5)/7,MOD((ROW(F361)-5),7))</f>
        <v>0</v>
      </c>
      <c r="G361" s="19">
        <f ca="1">OFFSET('1课程考核方式及成绩组成'!$V$10,(ROW(G361)-5)/7,MOD((ROW(G361)-5),7))</f>
        <v>0</v>
      </c>
      <c r="H361" s="19">
        <f ca="1">OFFSET('1课程考核方式及成绩组成'!$AD$10,(ROW(H361)-5)/7,MOD((ROW(H361)-5),7))</f>
        <v>0</v>
      </c>
      <c r="I361" s="19">
        <f ca="1">OFFSET('1课程考核方式及成绩组成'!$AL$10,(ROW(I361)-5)/7,MOD((ROW(I361)-5),7))</f>
        <v>0</v>
      </c>
      <c r="J361" s="25">
        <f ca="1">IF('0信息维护'!$I$121=0,0,E361/('0信息维护'!$I$121)*'0信息维护'!$E$41*'0信息维护'!$S$31)+IF('0信息维护'!$I$122=0,0,F361/('0信息维护'!$I$122)*'0信息维护'!$E$41*'0信息维护'!$T$31)+IF('0信息维护'!$I$123=0,0,G361/('0信息维护'!$I$123)*'0信息维护'!$E$41*'0信息维护'!$U$31)+IF('0信息维护'!$I$124=0,0,H361/('0信息维护'!$I$124)*'0信息维护'!$E$41*'0信息维护'!$T$31)+IF('0信息维护'!$I$125=0,0,I361/'0信息维护'!$I$125*'0信息维护'!$I$41)</f>
        <v>0</v>
      </c>
      <c r="K361" s="30"/>
    </row>
    <row r="362" spans="1:11">
      <c r="A362" s="17">
        <v>52</v>
      </c>
      <c r="B362" s="17" t="str">
        <f ca="1">OFFSET('1课程考核方式及成绩组成'!$D$10,(ROW(B362)-5)/7,)</f>
        <v>190302016</v>
      </c>
      <c r="C362" s="17" t="str">
        <f ca="1">OFFSET('1课程考核方式及成绩组成'!$E$10,(ROW(C362)-5)/7,)</f>
        <v>高世国</v>
      </c>
      <c r="D362" s="18" t="str">
        <f>'0信息维护'!A$25</f>
        <v>课程目标1</v>
      </c>
      <c r="E362" s="19">
        <f ca="1">OFFSET('1课程考核方式及成绩组成'!$F$10,(ROW(E362)-5)/7,MOD((ROW(E362)-5),7))</f>
        <v>40</v>
      </c>
      <c r="F362" s="19">
        <f ca="1">OFFSET('1课程考核方式及成绩组成'!$N$10,(ROW(F362)-5)/7,MOD((ROW(F362)-5),7))</f>
        <v>0</v>
      </c>
      <c r="G362" s="19">
        <f ca="1">OFFSET('1课程考核方式及成绩组成'!$V$10,(ROW(G362)-5)/7,MOD((ROW(G362)-5),7))</f>
        <v>0</v>
      </c>
      <c r="H362" s="19">
        <f ca="1">OFFSET('1课程考核方式及成绩组成'!$AD$10,(ROW(H362)-5)/7,MOD((ROW(H362)-5),7))</f>
        <v>0</v>
      </c>
      <c r="I362" s="19">
        <f ca="1">OFFSET('1课程考核方式及成绩组成'!$AL$10,(ROW(I362)-5)/7,MOD((ROW(I362)-5),7))</f>
        <v>31</v>
      </c>
      <c r="J362" s="25">
        <f ca="1">IF('0信息维护'!$I$85=0,0,E362/('0信息维护'!$I$85)*'0信息维护'!$E$35*'0信息维护'!$S$25)+IF('0信息维护'!$I$86=0,0,F362/('0信息维护'!$I$86)*'0信息维护'!$E$35*'0信息维护'!$T$25)+IF('0信息维护'!$I$87=0,0,G362/('0信息维护'!$I$87)*'0信息维护'!$E$35*'0信息维护'!$U$25)+IF('0信息维护'!$I$88=0,0,H362/('0信息维护'!$I$88)*'0信息维护'!$E$35*'0信息维护'!$V$25)+IF('0信息维护'!$I$89=0,0,I362/'0信息维护'!$I$89*'0信息维护'!$I$35)</f>
        <v>0.930555555555556</v>
      </c>
      <c r="K362" s="26">
        <f ca="1">J362*'0信息维护'!$D$132+J363*'0信息维护'!$D$133+J364*'0信息维护'!$D$134+J365*'0信息维护'!$D$135+J366*'0信息维护'!$D$136+J367*'0信息维护'!$D$137+J368*'0信息维护'!$D$138</f>
        <v>0.728877450980392</v>
      </c>
    </row>
    <row r="363" spans="1:14">
      <c r="A363" s="20"/>
      <c r="B363" s="20"/>
      <c r="C363" s="20"/>
      <c r="D363" s="18" t="str">
        <f>'0信息维护'!A$26</f>
        <v>课程目标2</v>
      </c>
      <c r="E363" s="19">
        <f ca="1">OFFSET('1课程考核方式及成绩组成'!$F$10,(ROW(E363)-5)/7,MOD((ROW(E363)-5),7))</f>
        <v>60</v>
      </c>
      <c r="F363" s="19">
        <f ca="1">OFFSET('1课程考核方式及成绩组成'!$N$10,(ROW(F363)-5)/7,MOD((ROW(F363)-5),7))</f>
        <v>0</v>
      </c>
      <c r="G363" s="19">
        <f ca="1">OFFSET('1课程考核方式及成绩组成'!$V$10,(ROW(G363)-5)/7,MOD((ROW(G363)-5),7))</f>
        <v>0</v>
      </c>
      <c r="H363" s="19">
        <f ca="1">OFFSET('1课程考核方式及成绩组成'!$AD$10,(ROW(H363)-5)/7,MOD((ROW(H363)-5),7))</f>
        <v>0</v>
      </c>
      <c r="I363" s="19">
        <f ca="1">OFFSET('1课程考核方式及成绩组成'!$AL$10,(ROW(I363)-5)/7,MOD((ROW(I363)-5),7))</f>
        <v>16</v>
      </c>
      <c r="J363" s="25">
        <f ca="1">IF('0信息维护'!$I$91=0,0,E363/('0信息维护'!$I$91)*'0信息维护'!$S$26*'0信息维护'!$E$36)+IF('0信息维护'!$I$92=0,0,F363/('0信息维护'!$I$92)*'0信息维护'!$T$26*'0信息维护'!$E$36)+IF('0信息维护'!$I$93=0,0,G363/('0信息维护'!$I$93)*'0信息维护'!$U$26*'0信息维护'!$E$36)+IF('0信息维护'!$I$94=0,0,H363/('0信息维护'!$I$94)*'0信息维护'!$V$26*'0信息维护'!$E$36)+IF('0信息维护'!$I$95=0,0,I363/'0信息维护'!$I$95*'0信息维护'!$I$36)</f>
        <v>0.766666666666667</v>
      </c>
      <c r="K363" s="27"/>
      <c r="N363" s="29"/>
    </row>
    <row r="364" spans="1:11">
      <c r="A364" s="20"/>
      <c r="B364" s="20"/>
      <c r="C364" s="20"/>
      <c r="D364" s="18" t="str">
        <f>'0信息维护'!A$27</f>
        <v>课程目标3</v>
      </c>
      <c r="E364" s="19">
        <f ca="1">OFFSET('1课程考核方式及成绩组成'!$F$10,(ROW(E364)-5)/7,MOD((ROW(E364)-5),7))</f>
        <v>0</v>
      </c>
      <c r="F364" s="19">
        <f ca="1">OFFSET('1课程考核方式及成绩组成'!$N$10,(ROW(F364)-5)/7,MOD((ROW(F364)-5),7))</f>
        <v>0</v>
      </c>
      <c r="G364" s="19">
        <f ca="1">OFFSET('1课程考核方式及成绩组成'!$V$10,(ROW(G364)-5)/7,MOD((ROW(G364)-5),7))</f>
        <v>0</v>
      </c>
      <c r="H364" s="19">
        <f ca="1">OFFSET('1课程考核方式及成绩组成'!$AD$10,(ROW(H364)-5)/7,MOD((ROW(H364)-5),7))</f>
        <v>0</v>
      </c>
      <c r="I364" s="19">
        <f ca="1">OFFSET('1课程考核方式及成绩组成'!$AL$10,(ROW(I364)-5)/7,MOD((ROW(I364)-5),7))</f>
        <v>15</v>
      </c>
      <c r="J364" s="25">
        <f ca="1">IF('0信息维护'!$I$97=0,0,E364/('0信息维护'!$I$97)*'0信息维护'!$E$37*'0信息维护'!$S$27)+IF('0信息维护'!$I$98=0,0,F364/('0信息维护'!$I$98)*'0信息维护'!$E$37*'0信息维护'!$T$27)+IF('0信息维护'!$I$99=0,0,G364/('0信息维护'!$I$99)*'0信息维护'!$E$37*'0信息维护'!$U$27)+IF('0信息维护'!$I$100=0,0,H364/('0信息维护'!$I$100)*'0信息维护'!$E$37*'0信息维护'!$V$27)+IF('0信息维护'!$I$101=0,0,I364/'0信息维护'!$I$101*'0信息维护'!$I$37)</f>
        <v>0.441176470588235</v>
      </c>
      <c r="K364" s="27"/>
    </row>
    <row r="365" spans="1:11">
      <c r="A365" s="20"/>
      <c r="B365" s="20"/>
      <c r="C365" s="20"/>
      <c r="D365" s="18" t="str">
        <f>'0信息维护'!A$28</f>
        <v>课程目标4</v>
      </c>
      <c r="E365" s="19">
        <f ca="1">OFFSET('1课程考核方式及成绩组成'!$F$10,(ROW(E365)-5)/7,MOD((ROW(E365)-5),7))</f>
        <v>0</v>
      </c>
      <c r="F365" s="19">
        <f ca="1">OFFSET('1课程考核方式及成绩组成'!$N$10,(ROW(F365)-5)/7,MOD((ROW(F365)-5),7))</f>
        <v>83</v>
      </c>
      <c r="G365" s="19">
        <f ca="1">OFFSET('1课程考核方式及成绩组成'!$V$10,(ROW(G365)-5)/7,MOD((ROW(G365)-5),7))</f>
        <v>0</v>
      </c>
      <c r="H365" s="19">
        <f ca="1">OFFSET('1课程考核方式及成绩组成'!$AD$10,(ROW(H365)-5)/7,MOD((ROW(H365)-5),7))</f>
        <v>0</v>
      </c>
      <c r="I365" s="19">
        <f ca="1">OFFSET('1课程考核方式及成绩组成'!$AL$10,(ROW(I365)-5)/7,MOD((ROW(I365)-5),7))</f>
        <v>0</v>
      </c>
      <c r="J365" s="25">
        <f ca="1">IF('0信息维护'!$I$103=0,0,E365/('0信息维护'!$I$103)*'0信息维护'!$E$38*'0信息维护'!$S$28)+IF('0信息维护'!$I$104=0,0,F365/('0信息维护'!$I$104)*'0信息维护'!$E$38*'0信息维护'!$T$28)+IF('0信息维护'!$I$105=0,0,G365/('0信息维护'!$I$105)*'0信息维护'!$E$38*'0信息维护'!$U$28)+IF('0信息维护'!$I$106=0,0,H365/('0信息维护'!$I$106)*'0信息维护'!$E$38*'0信息维护'!$V$28)+IF('0信息维护'!$I$107=0,0,I365/'0信息维护'!$I$107*'0信息维护'!$I$38)</f>
        <v>0.83</v>
      </c>
      <c r="K365" s="27"/>
    </row>
    <row r="366" spans="1:11">
      <c r="A366" s="20"/>
      <c r="B366" s="20"/>
      <c r="C366" s="20"/>
      <c r="D366" s="18" t="str">
        <f>'0信息维护'!A$29</f>
        <v>课程目标5</v>
      </c>
      <c r="E366" s="19">
        <f ca="1">OFFSET('1课程考核方式及成绩组成'!$F$10,(ROW(E366)-5)/7,MOD((ROW(E366)-5),7))</f>
        <v>0</v>
      </c>
      <c r="F366" s="19">
        <f ca="1">OFFSET('1课程考核方式及成绩组成'!$N$10,(ROW(F366)-5)/7,MOD((ROW(F366)-5),7))</f>
        <v>0</v>
      </c>
      <c r="G366" s="19">
        <f ca="1">OFFSET('1课程考核方式及成绩组成'!$V$10,(ROW(G366)-5)/7,MOD((ROW(G366)-5),7))</f>
        <v>0</v>
      </c>
      <c r="H366" s="19">
        <f ca="1">OFFSET('1课程考核方式及成绩组成'!$AD$10,(ROW(H366)-5)/7,MOD((ROW(H366)-5),7))</f>
        <v>0</v>
      </c>
      <c r="I366" s="19">
        <f ca="1">OFFSET('1课程考核方式及成绩组成'!$AL$10,(ROW(I366)-5)/7,MOD((ROW(I366)-5),7))</f>
        <v>0</v>
      </c>
      <c r="J366" s="25">
        <f ca="1">IF('0信息维护'!$I$109=0,0,E366/('0信息维护'!$I$109)*'0信息维护'!$E$39*'0信息维护'!$S$29)+IF('0信息维护'!$I$110=0,0,F366/('0信息维护'!$I$110)*'0信息维护'!$E$39*'0信息维护'!$T$29)+IF('0信息维护'!$I$111=0,0,G366/('0信息维护'!$I$111)*'0信息维护'!$E$39*'0信息维护'!$U$29)+IF('0信息维护'!$I$112=0,0,H366/('0信息维护'!$I$112)*'0信息维护'!$E$39*'0信息维护'!$V$29)+IF('0信息维护'!$I$113=0,0,I366/'0信息维护'!$I$113*'0信息维护'!$I$39)</f>
        <v>0</v>
      </c>
      <c r="K366" s="27"/>
    </row>
    <row r="367" spans="1:11">
      <c r="A367" s="20"/>
      <c r="B367" s="20"/>
      <c r="C367" s="20"/>
      <c r="D367" s="18" t="str">
        <f>'0信息维护'!A$30</f>
        <v>课程目标6</v>
      </c>
      <c r="E367" s="19">
        <f ca="1">OFFSET('1课程考核方式及成绩组成'!$F$10,(ROW(E367)-5)/7,MOD((ROW(E367)-5),7))</f>
        <v>0</v>
      </c>
      <c r="F367" s="19">
        <f ca="1">OFFSET('1课程考核方式及成绩组成'!$N$10,(ROW(F367)-5)/7,MOD((ROW(F367)-5),7))</f>
        <v>0</v>
      </c>
      <c r="G367" s="19">
        <f ca="1">OFFSET('1课程考核方式及成绩组成'!$V$10,(ROW(G367)-5)/7,MOD((ROW(G367)-5),7))</f>
        <v>0</v>
      </c>
      <c r="H367" s="19">
        <f ca="1">OFFSET('1课程考核方式及成绩组成'!$AD$10,(ROW(H367)-5)/7,MOD((ROW(H367)-5),7))</f>
        <v>0</v>
      </c>
      <c r="I367" s="19">
        <f ca="1">OFFSET('1课程考核方式及成绩组成'!$AL$10,(ROW(I367)-5)/7,MOD((ROW(I367)-5),7))</f>
        <v>0</v>
      </c>
      <c r="J367" s="25">
        <f ca="1">IF('0信息维护'!$I$115=0,0,E367/('0信息维护'!$I$115)*'0信息维护'!$E$40*'0信息维护'!$S$30)+IF('0信息维护'!$I$116=0,0,F367/('0信息维护'!$I$116)*'0信息维护'!$E$40*'0信息维护'!$T$30)+IF('0信息维护'!$I$117=0,0,G367/('0信息维护'!$I$117)*'0信息维护'!$E$40*'0信息维护'!$U$30)+IF('0信息维护'!$I$118=0,0,H367/('0信息维护'!$I$118)*'0信息维护'!$E$40*'0信息维护'!$V$30)+IF('0信息维护'!$I$119=0,0,I367/'0信息维护'!$I$119*'0信息维护'!$I$40)</f>
        <v>0</v>
      </c>
      <c r="K367" s="27"/>
    </row>
    <row r="368" spans="1:11">
      <c r="A368" s="21"/>
      <c r="B368" s="21"/>
      <c r="C368" s="21"/>
      <c r="D368" s="18" t="str">
        <f>'0信息维护'!A$31</f>
        <v>课程目标7</v>
      </c>
      <c r="E368" s="19">
        <f ca="1">OFFSET('1课程考核方式及成绩组成'!$F$10,(ROW(E368)-5)/7,MOD((ROW(E368)-5),7))</f>
        <v>0</v>
      </c>
      <c r="F368" s="19">
        <f ca="1">OFFSET('1课程考核方式及成绩组成'!$N$10,(ROW(F368)-5)/7,MOD((ROW(F368)-5),7))</f>
        <v>0</v>
      </c>
      <c r="G368" s="19">
        <f ca="1">OFFSET('1课程考核方式及成绩组成'!$V$10,(ROW(G368)-5)/7,MOD((ROW(G368)-5),7))</f>
        <v>0</v>
      </c>
      <c r="H368" s="19">
        <f ca="1">OFFSET('1课程考核方式及成绩组成'!$AD$10,(ROW(H368)-5)/7,MOD((ROW(H368)-5),7))</f>
        <v>0</v>
      </c>
      <c r="I368" s="19">
        <f ca="1">OFFSET('1课程考核方式及成绩组成'!$AL$10,(ROW(I368)-5)/7,MOD((ROW(I368)-5),7))</f>
        <v>0</v>
      </c>
      <c r="J368" s="25">
        <f ca="1">IF('0信息维护'!$I$121=0,0,E368/('0信息维护'!$I$121)*'0信息维护'!$E$41*'0信息维护'!$S$31)+IF('0信息维护'!$I$122=0,0,F368/('0信息维护'!$I$122)*'0信息维护'!$E$41*'0信息维护'!$T$31)+IF('0信息维护'!$I$123=0,0,G368/('0信息维护'!$I$123)*'0信息维护'!$E$41*'0信息维护'!$U$31)+IF('0信息维护'!$I$124=0,0,H368/('0信息维护'!$I$124)*'0信息维护'!$E$41*'0信息维护'!$T$31)+IF('0信息维护'!$I$125=0,0,I368/'0信息维护'!$I$125*'0信息维护'!$I$41)</f>
        <v>0</v>
      </c>
      <c r="K368" s="30"/>
    </row>
    <row r="369" spans="1:11">
      <c r="A369" s="17">
        <v>53</v>
      </c>
      <c r="B369" s="17" t="str">
        <f ca="1">OFFSET('1课程考核方式及成绩组成'!$D$10,(ROW(B369)-5)/7,)</f>
        <v>190302017</v>
      </c>
      <c r="C369" s="17" t="str">
        <f ca="1">OFFSET('1课程考核方式及成绩组成'!$E$10,(ROW(C369)-5)/7,)</f>
        <v>王浩然</v>
      </c>
      <c r="D369" s="18" t="str">
        <f>'0信息维护'!A$25</f>
        <v>课程目标1</v>
      </c>
      <c r="E369" s="19">
        <f ca="1">OFFSET('1课程考核方式及成绩组成'!$F$10,(ROW(E369)-5)/7,MOD((ROW(E369)-5),7))</f>
        <v>40</v>
      </c>
      <c r="F369" s="19">
        <f ca="1">OFFSET('1课程考核方式及成绩组成'!$N$10,(ROW(F369)-5)/7,MOD((ROW(F369)-5),7))</f>
        <v>0</v>
      </c>
      <c r="G369" s="19">
        <f ca="1">OFFSET('1课程考核方式及成绩组成'!$V$10,(ROW(G369)-5)/7,MOD((ROW(G369)-5),7))</f>
        <v>0</v>
      </c>
      <c r="H369" s="19">
        <f ca="1">OFFSET('1课程考核方式及成绩组成'!$AD$10,(ROW(H369)-5)/7,MOD((ROW(H369)-5),7))</f>
        <v>0</v>
      </c>
      <c r="I369" s="19">
        <f ca="1">OFFSET('1课程考核方式及成绩组成'!$AL$10,(ROW(I369)-5)/7,MOD((ROW(I369)-5),7))</f>
        <v>34</v>
      </c>
      <c r="J369" s="25">
        <f ca="1">IF('0信息维护'!$I$85=0,0,E369/('0信息维护'!$I$85)*'0信息维护'!$E$35*'0信息维护'!$S$25)+IF('0信息维护'!$I$86=0,0,F369/('0信息维护'!$I$86)*'0信息维护'!$E$35*'0信息维护'!$T$25)+IF('0信息维护'!$I$87=0,0,G369/('0信息维护'!$I$87)*'0信息维护'!$E$35*'0信息维护'!$U$25)+IF('0信息维护'!$I$88=0,0,H369/('0信息维护'!$I$88)*'0信息维护'!$E$35*'0信息维护'!$V$25)+IF('0信息维护'!$I$89=0,0,I369/'0信息维护'!$I$89*'0信息维护'!$I$35)</f>
        <v>0.972222222222222</v>
      </c>
      <c r="K369" s="26">
        <f ca="1">J369*'0信息维护'!$D$132+J370*'0信息维护'!$D$133+J371*'0信息维护'!$D$134+J372*'0信息维护'!$D$135+J373*'0信息维护'!$D$136+J374*'0信息维护'!$D$137+J375*'0信息维护'!$D$138</f>
        <v>0.780833333333333</v>
      </c>
    </row>
    <row r="370" spans="1:14">
      <c r="A370" s="20"/>
      <c r="B370" s="20"/>
      <c r="C370" s="20"/>
      <c r="D370" s="18" t="str">
        <f>'0信息维护'!A$26</f>
        <v>课程目标2</v>
      </c>
      <c r="E370" s="19">
        <f ca="1">OFFSET('1课程考核方式及成绩组成'!$F$10,(ROW(E370)-5)/7,MOD((ROW(E370)-5),7))</f>
        <v>60</v>
      </c>
      <c r="F370" s="19">
        <f ca="1">OFFSET('1课程考核方式及成绩组成'!$N$10,(ROW(F370)-5)/7,MOD((ROW(F370)-5),7))</f>
        <v>0</v>
      </c>
      <c r="G370" s="19">
        <f ca="1">OFFSET('1课程考核方式及成绩组成'!$V$10,(ROW(G370)-5)/7,MOD((ROW(G370)-5),7))</f>
        <v>0</v>
      </c>
      <c r="H370" s="19">
        <f ca="1">OFFSET('1课程考核方式及成绩组成'!$AD$10,(ROW(H370)-5)/7,MOD((ROW(H370)-5),7))</f>
        <v>0</v>
      </c>
      <c r="I370" s="19">
        <f ca="1">OFFSET('1课程考核方式及成绩组成'!$AL$10,(ROW(I370)-5)/7,MOD((ROW(I370)-5),7))</f>
        <v>21</v>
      </c>
      <c r="J370" s="25">
        <f ca="1">IF('0信息维护'!$I$91=0,0,E370/('0信息维护'!$I$91)*'0信息维护'!$S$26*'0信息维护'!$E$36)+IF('0信息维护'!$I$92=0,0,F370/('0信息维护'!$I$92)*'0信息维护'!$T$26*'0信息维护'!$E$36)+IF('0信息维护'!$I$93=0,0,G370/('0信息维护'!$I$93)*'0信息维护'!$U$26*'0信息维护'!$E$36)+IF('0信息维护'!$I$94=0,0,H370/('0信息维护'!$I$94)*'0信息维护'!$V$26*'0信息维护'!$E$36)+IF('0信息维护'!$I$95=0,0,I370/'0信息维护'!$I$95*'0信息维护'!$I$36)</f>
        <v>0.85</v>
      </c>
      <c r="K370" s="27"/>
      <c r="N370" s="29"/>
    </row>
    <row r="371" spans="1:11">
      <c r="A371" s="20"/>
      <c r="B371" s="20"/>
      <c r="C371" s="20"/>
      <c r="D371" s="18" t="str">
        <f>'0信息维护'!A$27</f>
        <v>课程目标3</v>
      </c>
      <c r="E371" s="19">
        <f ca="1">OFFSET('1课程考核方式及成绩组成'!$F$10,(ROW(E371)-5)/7,MOD((ROW(E371)-5),7))</f>
        <v>0</v>
      </c>
      <c r="F371" s="19">
        <f ca="1">OFFSET('1课程考核方式及成绩组成'!$N$10,(ROW(F371)-5)/7,MOD((ROW(F371)-5),7))</f>
        <v>0</v>
      </c>
      <c r="G371" s="19">
        <f ca="1">OFFSET('1课程考核方式及成绩组成'!$V$10,(ROW(G371)-5)/7,MOD((ROW(G371)-5),7))</f>
        <v>0</v>
      </c>
      <c r="H371" s="19">
        <f ca="1">OFFSET('1课程考核方式及成绩组成'!$AD$10,(ROW(H371)-5)/7,MOD((ROW(H371)-5),7))</f>
        <v>0</v>
      </c>
      <c r="I371" s="19">
        <f ca="1">OFFSET('1课程考核方式及成绩组成'!$AL$10,(ROW(I371)-5)/7,MOD((ROW(I371)-5),7))</f>
        <v>17</v>
      </c>
      <c r="J371" s="25">
        <f ca="1">IF('0信息维护'!$I$97=0,0,E371/('0信息维护'!$I$97)*'0信息维护'!$E$37*'0信息维护'!$S$27)+IF('0信息维护'!$I$98=0,0,F371/('0信息维护'!$I$98)*'0信息维护'!$E$37*'0信息维护'!$T$27)+IF('0信息维护'!$I$99=0,0,G371/('0信息维护'!$I$99)*'0信息维护'!$E$37*'0信息维护'!$U$27)+IF('0信息维护'!$I$100=0,0,H371/('0信息维护'!$I$100)*'0信息维护'!$E$37*'0信息维护'!$V$27)+IF('0信息维护'!$I$101=0,0,I371/'0信息维护'!$I$101*'0信息维护'!$I$37)</f>
        <v>0.5</v>
      </c>
      <c r="K371" s="27"/>
    </row>
    <row r="372" spans="1:11">
      <c r="A372" s="20"/>
      <c r="B372" s="20"/>
      <c r="C372" s="20"/>
      <c r="D372" s="18" t="str">
        <f>'0信息维护'!A$28</f>
        <v>课程目标4</v>
      </c>
      <c r="E372" s="19">
        <f ca="1">OFFSET('1课程考核方式及成绩组成'!$F$10,(ROW(E372)-5)/7,MOD((ROW(E372)-5),7))</f>
        <v>0</v>
      </c>
      <c r="F372" s="19">
        <f ca="1">OFFSET('1课程考核方式及成绩组成'!$N$10,(ROW(F372)-5)/7,MOD((ROW(F372)-5),7))</f>
        <v>85</v>
      </c>
      <c r="G372" s="19">
        <f ca="1">OFFSET('1课程考核方式及成绩组成'!$V$10,(ROW(G372)-5)/7,MOD((ROW(G372)-5),7))</f>
        <v>0</v>
      </c>
      <c r="H372" s="19">
        <f ca="1">OFFSET('1课程考核方式及成绩组成'!$AD$10,(ROW(H372)-5)/7,MOD((ROW(H372)-5),7))</f>
        <v>0</v>
      </c>
      <c r="I372" s="19">
        <f ca="1">OFFSET('1课程考核方式及成绩组成'!$AL$10,(ROW(I372)-5)/7,MOD((ROW(I372)-5),7))</f>
        <v>0</v>
      </c>
      <c r="J372" s="25">
        <f ca="1">IF('0信息维护'!$I$103=0,0,E372/('0信息维护'!$I$103)*'0信息维护'!$E$38*'0信息维护'!$S$28)+IF('0信息维护'!$I$104=0,0,F372/('0信息维护'!$I$104)*'0信息维护'!$E$38*'0信息维护'!$T$28)+IF('0信息维护'!$I$105=0,0,G372/('0信息维护'!$I$105)*'0信息维护'!$E$38*'0信息维护'!$U$28)+IF('0信息维护'!$I$106=0,0,H372/('0信息维护'!$I$106)*'0信息维护'!$E$38*'0信息维护'!$V$28)+IF('0信息维护'!$I$107=0,0,I372/'0信息维护'!$I$107*'0信息维护'!$I$38)</f>
        <v>0.85</v>
      </c>
      <c r="K372" s="27"/>
    </row>
    <row r="373" spans="1:11">
      <c r="A373" s="20"/>
      <c r="B373" s="20"/>
      <c r="C373" s="20"/>
      <c r="D373" s="18" t="str">
        <f>'0信息维护'!A$29</f>
        <v>课程目标5</v>
      </c>
      <c r="E373" s="19">
        <f ca="1">OFFSET('1课程考核方式及成绩组成'!$F$10,(ROW(E373)-5)/7,MOD((ROW(E373)-5),7))</f>
        <v>0</v>
      </c>
      <c r="F373" s="19">
        <f ca="1">OFFSET('1课程考核方式及成绩组成'!$N$10,(ROW(F373)-5)/7,MOD((ROW(F373)-5),7))</f>
        <v>0</v>
      </c>
      <c r="G373" s="19">
        <f ca="1">OFFSET('1课程考核方式及成绩组成'!$V$10,(ROW(G373)-5)/7,MOD((ROW(G373)-5),7))</f>
        <v>0</v>
      </c>
      <c r="H373" s="19">
        <f ca="1">OFFSET('1课程考核方式及成绩组成'!$AD$10,(ROW(H373)-5)/7,MOD((ROW(H373)-5),7))</f>
        <v>0</v>
      </c>
      <c r="I373" s="19">
        <f ca="1">OFFSET('1课程考核方式及成绩组成'!$AL$10,(ROW(I373)-5)/7,MOD((ROW(I373)-5),7))</f>
        <v>0</v>
      </c>
      <c r="J373" s="25">
        <f ca="1">IF('0信息维护'!$I$109=0,0,E373/('0信息维护'!$I$109)*'0信息维护'!$E$39*'0信息维护'!$S$29)+IF('0信息维护'!$I$110=0,0,F373/('0信息维护'!$I$110)*'0信息维护'!$E$39*'0信息维护'!$T$29)+IF('0信息维护'!$I$111=0,0,G373/('0信息维护'!$I$111)*'0信息维护'!$E$39*'0信息维护'!$U$29)+IF('0信息维护'!$I$112=0,0,H373/('0信息维护'!$I$112)*'0信息维护'!$E$39*'0信息维护'!$V$29)+IF('0信息维护'!$I$113=0,0,I373/'0信息维护'!$I$113*'0信息维护'!$I$39)</f>
        <v>0</v>
      </c>
      <c r="K373" s="27"/>
    </row>
    <row r="374" spans="1:11">
      <c r="A374" s="20"/>
      <c r="B374" s="20"/>
      <c r="C374" s="20"/>
      <c r="D374" s="18" t="str">
        <f>'0信息维护'!A$30</f>
        <v>课程目标6</v>
      </c>
      <c r="E374" s="19">
        <f ca="1">OFFSET('1课程考核方式及成绩组成'!$F$10,(ROW(E374)-5)/7,MOD((ROW(E374)-5),7))</f>
        <v>0</v>
      </c>
      <c r="F374" s="19">
        <f ca="1">OFFSET('1课程考核方式及成绩组成'!$N$10,(ROW(F374)-5)/7,MOD((ROW(F374)-5),7))</f>
        <v>0</v>
      </c>
      <c r="G374" s="19">
        <f ca="1">OFFSET('1课程考核方式及成绩组成'!$V$10,(ROW(G374)-5)/7,MOD((ROW(G374)-5),7))</f>
        <v>0</v>
      </c>
      <c r="H374" s="19">
        <f ca="1">OFFSET('1课程考核方式及成绩组成'!$AD$10,(ROW(H374)-5)/7,MOD((ROW(H374)-5),7))</f>
        <v>0</v>
      </c>
      <c r="I374" s="19">
        <f ca="1">OFFSET('1课程考核方式及成绩组成'!$AL$10,(ROW(I374)-5)/7,MOD((ROW(I374)-5),7))</f>
        <v>0</v>
      </c>
      <c r="J374" s="25">
        <f ca="1">IF('0信息维护'!$I$115=0,0,E374/('0信息维护'!$I$115)*'0信息维护'!$E$40*'0信息维护'!$S$30)+IF('0信息维护'!$I$116=0,0,F374/('0信息维护'!$I$116)*'0信息维护'!$E$40*'0信息维护'!$T$30)+IF('0信息维护'!$I$117=0,0,G374/('0信息维护'!$I$117)*'0信息维护'!$E$40*'0信息维护'!$U$30)+IF('0信息维护'!$I$118=0,0,H374/('0信息维护'!$I$118)*'0信息维护'!$E$40*'0信息维护'!$V$30)+IF('0信息维护'!$I$119=0,0,I374/'0信息维护'!$I$119*'0信息维护'!$I$40)</f>
        <v>0</v>
      </c>
      <c r="K374" s="27"/>
    </row>
    <row r="375" spans="1:11">
      <c r="A375" s="21"/>
      <c r="B375" s="21"/>
      <c r="C375" s="21"/>
      <c r="D375" s="18" t="str">
        <f>'0信息维护'!A$31</f>
        <v>课程目标7</v>
      </c>
      <c r="E375" s="19">
        <f ca="1">OFFSET('1课程考核方式及成绩组成'!$F$10,(ROW(E375)-5)/7,MOD((ROW(E375)-5),7))</f>
        <v>0</v>
      </c>
      <c r="F375" s="19">
        <f ca="1">OFFSET('1课程考核方式及成绩组成'!$N$10,(ROW(F375)-5)/7,MOD((ROW(F375)-5),7))</f>
        <v>0</v>
      </c>
      <c r="G375" s="19">
        <f ca="1">OFFSET('1课程考核方式及成绩组成'!$V$10,(ROW(G375)-5)/7,MOD((ROW(G375)-5),7))</f>
        <v>0</v>
      </c>
      <c r="H375" s="19">
        <f ca="1">OFFSET('1课程考核方式及成绩组成'!$AD$10,(ROW(H375)-5)/7,MOD((ROW(H375)-5),7))</f>
        <v>0</v>
      </c>
      <c r="I375" s="19">
        <f ca="1">OFFSET('1课程考核方式及成绩组成'!$AL$10,(ROW(I375)-5)/7,MOD((ROW(I375)-5),7))</f>
        <v>0</v>
      </c>
      <c r="J375" s="25">
        <f ca="1">IF('0信息维护'!$I$121=0,0,E375/('0信息维护'!$I$121)*'0信息维护'!$E$41*'0信息维护'!$S$31)+IF('0信息维护'!$I$122=0,0,F375/('0信息维护'!$I$122)*'0信息维护'!$E$41*'0信息维护'!$T$31)+IF('0信息维护'!$I$123=0,0,G375/('0信息维护'!$I$123)*'0信息维护'!$E$41*'0信息维护'!$U$31)+IF('0信息维护'!$I$124=0,0,H375/('0信息维护'!$I$124)*'0信息维护'!$E$41*'0信息维护'!$T$31)+IF('0信息维护'!$I$125=0,0,I375/'0信息维护'!$I$125*'0信息维护'!$I$41)</f>
        <v>0</v>
      </c>
      <c r="K375" s="30"/>
    </row>
    <row r="376" spans="1:11">
      <c r="A376" s="17">
        <v>54</v>
      </c>
      <c r="B376" s="17" t="str">
        <f ca="1">OFFSET('1课程考核方式及成绩组成'!$D$10,(ROW(B376)-5)/7,)</f>
        <v>190302018</v>
      </c>
      <c r="C376" s="17" t="str">
        <f ca="1">OFFSET('1课程考核方式及成绩组成'!$E$10,(ROW(C376)-5)/7,)</f>
        <v>黄文泉</v>
      </c>
      <c r="D376" s="18" t="str">
        <f>'0信息维护'!A$25</f>
        <v>课程目标1</v>
      </c>
      <c r="E376" s="19">
        <f ca="1">OFFSET('1课程考核方式及成绩组成'!$F$10,(ROW(E376)-5)/7,MOD((ROW(E376)-5),7))</f>
        <v>40</v>
      </c>
      <c r="F376" s="19">
        <f ca="1">OFFSET('1课程考核方式及成绩组成'!$N$10,(ROW(F376)-5)/7,MOD((ROW(F376)-5),7))</f>
        <v>0</v>
      </c>
      <c r="G376" s="19">
        <f ca="1">OFFSET('1课程考核方式及成绩组成'!$V$10,(ROW(G376)-5)/7,MOD((ROW(G376)-5),7))</f>
        <v>0</v>
      </c>
      <c r="H376" s="19">
        <f ca="1">OFFSET('1课程考核方式及成绩组成'!$AD$10,(ROW(H376)-5)/7,MOD((ROW(H376)-5),7))</f>
        <v>0</v>
      </c>
      <c r="I376" s="19">
        <f ca="1">OFFSET('1课程考核方式及成绩组成'!$AL$10,(ROW(I376)-5)/7,MOD((ROW(I376)-5),7))</f>
        <v>24</v>
      </c>
      <c r="J376" s="25">
        <f ca="1">IF('0信息维护'!$I$85=0,0,E376/('0信息维护'!$I$85)*'0信息维护'!$E$35*'0信息维护'!$S$25)+IF('0信息维护'!$I$86=0,0,F376/('0信息维护'!$I$86)*'0信息维护'!$E$35*'0信息维护'!$T$25)+IF('0信息维护'!$I$87=0,0,G376/('0信息维护'!$I$87)*'0信息维护'!$E$35*'0信息维护'!$U$25)+IF('0信息维护'!$I$88=0,0,H376/('0信息维护'!$I$88)*'0信息维护'!$E$35*'0信息维护'!$V$25)+IF('0信息维护'!$I$89=0,0,I376/'0信息维护'!$I$89*'0信息维护'!$I$35)</f>
        <v>0.833333333333333</v>
      </c>
      <c r="K376" s="26">
        <f ca="1">J376*'0信息维护'!$D$132+J377*'0信息维护'!$D$133+J378*'0信息维护'!$D$134+J379*'0信息维护'!$D$135+J380*'0信息维护'!$D$136+J381*'0信息维护'!$D$137+J382*'0信息维护'!$D$138</f>
        <v>0.737647058823529</v>
      </c>
    </row>
    <row r="377" spans="1:14">
      <c r="A377" s="20"/>
      <c r="B377" s="20"/>
      <c r="C377" s="20"/>
      <c r="D377" s="18" t="str">
        <f>'0信息维护'!A$26</f>
        <v>课程目标2</v>
      </c>
      <c r="E377" s="19">
        <f ca="1">OFFSET('1课程考核方式及成绩组成'!$F$10,(ROW(E377)-5)/7,MOD((ROW(E377)-5),7))</f>
        <v>60</v>
      </c>
      <c r="F377" s="19">
        <f ca="1">OFFSET('1课程考核方式及成绩组成'!$N$10,(ROW(F377)-5)/7,MOD((ROW(F377)-5),7))</f>
        <v>0</v>
      </c>
      <c r="G377" s="19">
        <f ca="1">OFFSET('1课程考核方式及成绩组成'!$V$10,(ROW(G377)-5)/7,MOD((ROW(G377)-5),7))</f>
        <v>0</v>
      </c>
      <c r="H377" s="19">
        <f ca="1">OFFSET('1课程考核方式及成绩组成'!$AD$10,(ROW(H377)-5)/7,MOD((ROW(H377)-5),7))</f>
        <v>0</v>
      </c>
      <c r="I377" s="19">
        <f ca="1">OFFSET('1课程考核方式及成绩组成'!$AL$10,(ROW(I377)-5)/7,MOD((ROW(I377)-5),7))</f>
        <v>21</v>
      </c>
      <c r="J377" s="25">
        <f ca="1">IF('0信息维护'!$I$91=0,0,E377/('0信息维护'!$I$91)*'0信息维护'!$S$26*'0信息维护'!$E$36)+IF('0信息维护'!$I$92=0,0,F377/('0信息维护'!$I$92)*'0信息维护'!$T$26*'0信息维护'!$E$36)+IF('0信息维护'!$I$93=0,0,G377/('0信息维护'!$I$93)*'0信息维护'!$U$26*'0信息维护'!$E$36)+IF('0信息维护'!$I$94=0,0,H377/('0信息维护'!$I$94)*'0信息维护'!$V$26*'0信息维护'!$E$36)+IF('0信息维护'!$I$95=0,0,I377/'0信息维护'!$I$95*'0信息维护'!$I$36)</f>
        <v>0.85</v>
      </c>
      <c r="K377" s="27"/>
      <c r="N377" s="29"/>
    </row>
    <row r="378" spans="1:11">
      <c r="A378" s="20"/>
      <c r="B378" s="20"/>
      <c r="C378" s="20"/>
      <c r="D378" s="18" t="str">
        <f>'0信息维护'!A$27</f>
        <v>课程目标3</v>
      </c>
      <c r="E378" s="19">
        <f ca="1">OFFSET('1课程考核方式及成绩组成'!$F$10,(ROW(E378)-5)/7,MOD((ROW(E378)-5),7))</f>
        <v>0</v>
      </c>
      <c r="F378" s="19">
        <f ca="1">OFFSET('1课程考核方式及成绩组成'!$N$10,(ROW(F378)-5)/7,MOD((ROW(F378)-5),7))</f>
        <v>0</v>
      </c>
      <c r="G378" s="19">
        <f ca="1">OFFSET('1课程考核方式及成绩组成'!$V$10,(ROW(G378)-5)/7,MOD((ROW(G378)-5),7))</f>
        <v>0</v>
      </c>
      <c r="H378" s="19">
        <f ca="1">OFFSET('1课程考核方式及成绩组成'!$AD$10,(ROW(H378)-5)/7,MOD((ROW(H378)-5),7))</f>
        <v>0</v>
      </c>
      <c r="I378" s="19">
        <f ca="1">OFFSET('1课程考核方式及成绩组成'!$AL$10,(ROW(I378)-5)/7,MOD((ROW(I378)-5),7))</f>
        <v>16</v>
      </c>
      <c r="J378" s="25">
        <f ca="1">IF('0信息维护'!$I$97=0,0,E378/('0信息维护'!$I$97)*'0信息维护'!$E$37*'0信息维护'!$S$27)+IF('0信息维护'!$I$98=0,0,F378/('0信息维护'!$I$98)*'0信息维护'!$E$37*'0信息维护'!$T$27)+IF('0信息维护'!$I$99=0,0,G378/('0信息维护'!$I$99)*'0信息维护'!$E$37*'0信息维护'!$U$27)+IF('0信息维护'!$I$100=0,0,H378/('0信息维护'!$I$100)*'0信息维护'!$E$37*'0信息维护'!$V$27)+IF('0信息维护'!$I$101=0,0,I378/'0信息维护'!$I$101*'0信息维护'!$I$37)</f>
        <v>0.470588235294118</v>
      </c>
      <c r="K378" s="27"/>
    </row>
    <row r="379" spans="1:11">
      <c r="A379" s="20"/>
      <c r="B379" s="20"/>
      <c r="C379" s="20"/>
      <c r="D379" s="18" t="str">
        <f>'0信息维护'!A$28</f>
        <v>课程目标4</v>
      </c>
      <c r="E379" s="19">
        <f ca="1">OFFSET('1课程考核方式及成绩组成'!$F$10,(ROW(E379)-5)/7,MOD((ROW(E379)-5),7))</f>
        <v>0</v>
      </c>
      <c r="F379" s="19">
        <f ca="1">OFFSET('1课程考核方式及成绩组成'!$N$10,(ROW(F379)-5)/7,MOD((ROW(F379)-5),7))</f>
        <v>80</v>
      </c>
      <c r="G379" s="19">
        <f ca="1">OFFSET('1课程考核方式及成绩组成'!$V$10,(ROW(G379)-5)/7,MOD((ROW(G379)-5),7))</f>
        <v>0</v>
      </c>
      <c r="H379" s="19">
        <f ca="1">OFFSET('1课程考核方式及成绩组成'!$AD$10,(ROW(H379)-5)/7,MOD((ROW(H379)-5),7))</f>
        <v>0</v>
      </c>
      <c r="I379" s="19">
        <f ca="1">OFFSET('1课程考核方式及成绩组成'!$AL$10,(ROW(I379)-5)/7,MOD((ROW(I379)-5),7))</f>
        <v>0</v>
      </c>
      <c r="J379" s="25">
        <f ca="1">IF('0信息维护'!$I$103=0,0,E379/('0信息维护'!$I$103)*'0信息维护'!$E$38*'0信息维护'!$S$28)+IF('0信息维护'!$I$104=0,0,F379/('0信息维护'!$I$104)*'0信息维护'!$E$38*'0信息维护'!$T$28)+IF('0信息维护'!$I$105=0,0,G379/('0信息维护'!$I$105)*'0信息维护'!$E$38*'0信息维护'!$U$28)+IF('0信息维护'!$I$106=0,0,H379/('0信息维护'!$I$106)*'0信息维护'!$E$38*'0信息维护'!$V$28)+IF('0信息维护'!$I$107=0,0,I379/'0信息维护'!$I$107*'0信息维护'!$I$38)</f>
        <v>0.8</v>
      </c>
      <c r="K379" s="27"/>
    </row>
    <row r="380" spans="1:11">
      <c r="A380" s="20"/>
      <c r="B380" s="20"/>
      <c r="C380" s="20"/>
      <c r="D380" s="18" t="str">
        <f>'0信息维护'!A$29</f>
        <v>课程目标5</v>
      </c>
      <c r="E380" s="19">
        <f ca="1">OFFSET('1课程考核方式及成绩组成'!$F$10,(ROW(E380)-5)/7,MOD((ROW(E380)-5),7))</f>
        <v>0</v>
      </c>
      <c r="F380" s="19">
        <f ca="1">OFFSET('1课程考核方式及成绩组成'!$N$10,(ROW(F380)-5)/7,MOD((ROW(F380)-5),7))</f>
        <v>0</v>
      </c>
      <c r="G380" s="19">
        <f ca="1">OFFSET('1课程考核方式及成绩组成'!$V$10,(ROW(G380)-5)/7,MOD((ROW(G380)-5),7))</f>
        <v>0</v>
      </c>
      <c r="H380" s="19">
        <f ca="1">OFFSET('1课程考核方式及成绩组成'!$AD$10,(ROW(H380)-5)/7,MOD((ROW(H380)-5),7))</f>
        <v>0</v>
      </c>
      <c r="I380" s="19">
        <f ca="1">OFFSET('1课程考核方式及成绩组成'!$AL$10,(ROW(I380)-5)/7,MOD((ROW(I380)-5),7))</f>
        <v>0</v>
      </c>
      <c r="J380" s="25">
        <f ca="1">IF('0信息维护'!$I$109=0,0,E380/('0信息维护'!$I$109)*'0信息维护'!$E$39*'0信息维护'!$S$29)+IF('0信息维护'!$I$110=0,0,F380/('0信息维护'!$I$110)*'0信息维护'!$E$39*'0信息维护'!$T$29)+IF('0信息维护'!$I$111=0,0,G380/('0信息维护'!$I$111)*'0信息维护'!$E$39*'0信息维护'!$U$29)+IF('0信息维护'!$I$112=0,0,H380/('0信息维护'!$I$112)*'0信息维护'!$E$39*'0信息维护'!$V$29)+IF('0信息维护'!$I$113=0,0,I380/'0信息维护'!$I$113*'0信息维护'!$I$39)</f>
        <v>0</v>
      </c>
      <c r="K380" s="27"/>
    </row>
    <row r="381" spans="1:11">
      <c r="A381" s="20"/>
      <c r="B381" s="20"/>
      <c r="C381" s="20"/>
      <c r="D381" s="18" t="str">
        <f>'0信息维护'!A$30</f>
        <v>课程目标6</v>
      </c>
      <c r="E381" s="19">
        <f ca="1">OFFSET('1课程考核方式及成绩组成'!$F$10,(ROW(E381)-5)/7,MOD((ROW(E381)-5),7))</f>
        <v>0</v>
      </c>
      <c r="F381" s="19">
        <f ca="1">OFFSET('1课程考核方式及成绩组成'!$N$10,(ROW(F381)-5)/7,MOD((ROW(F381)-5),7))</f>
        <v>0</v>
      </c>
      <c r="G381" s="19">
        <f ca="1">OFFSET('1课程考核方式及成绩组成'!$V$10,(ROW(G381)-5)/7,MOD((ROW(G381)-5),7))</f>
        <v>0</v>
      </c>
      <c r="H381" s="19">
        <f ca="1">OFFSET('1课程考核方式及成绩组成'!$AD$10,(ROW(H381)-5)/7,MOD((ROW(H381)-5),7))</f>
        <v>0</v>
      </c>
      <c r="I381" s="19">
        <f ca="1">OFFSET('1课程考核方式及成绩组成'!$AL$10,(ROW(I381)-5)/7,MOD((ROW(I381)-5),7))</f>
        <v>0</v>
      </c>
      <c r="J381" s="25">
        <f ca="1">IF('0信息维护'!$I$115=0,0,E381/('0信息维护'!$I$115)*'0信息维护'!$E$40*'0信息维护'!$S$30)+IF('0信息维护'!$I$116=0,0,F381/('0信息维护'!$I$116)*'0信息维护'!$E$40*'0信息维护'!$T$30)+IF('0信息维护'!$I$117=0,0,G381/('0信息维护'!$I$117)*'0信息维护'!$E$40*'0信息维护'!$U$30)+IF('0信息维护'!$I$118=0,0,H381/('0信息维护'!$I$118)*'0信息维护'!$E$40*'0信息维护'!$V$30)+IF('0信息维护'!$I$119=0,0,I381/'0信息维护'!$I$119*'0信息维护'!$I$40)</f>
        <v>0</v>
      </c>
      <c r="K381" s="27"/>
    </row>
    <row r="382" spans="1:11">
      <c r="A382" s="21"/>
      <c r="B382" s="21"/>
      <c r="C382" s="21"/>
      <c r="D382" s="18" t="str">
        <f>'0信息维护'!A$31</f>
        <v>课程目标7</v>
      </c>
      <c r="E382" s="19">
        <f ca="1">OFFSET('1课程考核方式及成绩组成'!$F$10,(ROW(E382)-5)/7,MOD((ROW(E382)-5),7))</f>
        <v>0</v>
      </c>
      <c r="F382" s="19">
        <f ca="1">OFFSET('1课程考核方式及成绩组成'!$N$10,(ROW(F382)-5)/7,MOD((ROW(F382)-5),7))</f>
        <v>0</v>
      </c>
      <c r="G382" s="19">
        <f ca="1">OFFSET('1课程考核方式及成绩组成'!$V$10,(ROW(G382)-5)/7,MOD((ROW(G382)-5),7))</f>
        <v>0</v>
      </c>
      <c r="H382" s="19">
        <f ca="1">OFFSET('1课程考核方式及成绩组成'!$AD$10,(ROW(H382)-5)/7,MOD((ROW(H382)-5),7))</f>
        <v>0</v>
      </c>
      <c r="I382" s="19">
        <f ca="1">OFFSET('1课程考核方式及成绩组成'!$AL$10,(ROW(I382)-5)/7,MOD((ROW(I382)-5),7))</f>
        <v>0</v>
      </c>
      <c r="J382" s="25">
        <f ca="1">IF('0信息维护'!$I$121=0,0,E382/('0信息维护'!$I$121)*'0信息维护'!$E$41*'0信息维护'!$S$31)+IF('0信息维护'!$I$122=0,0,F382/('0信息维护'!$I$122)*'0信息维护'!$E$41*'0信息维护'!$T$31)+IF('0信息维护'!$I$123=0,0,G382/('0信息维护'!$I$123)*'0信息维护'!$E$41*'0信息维护'!$U$31)+IF('0信息维护'!$I$124=0,0,H382/('0信息维护'!$I$124)*'0信息维护'!$E$41*'0信息维护'!$T$31)+IF('0信息维护'!$I$125=0,0,I382/'0信息维护'!$I$125*'0信息维护'!$I$41)</f>
        <v>0</v>
      </c>
      <c r="K382" s="30"/>
    </row>
    <row r="383" spans="1:11">
      <c r="A383" s="17">
        <v>55</v>
      </c>
      <c r="B383" s="17" t="str">
        <f ca="1">OFFSET('1课程考核方式及成绩组成'!$D$10,(ROW(B383)-5)/7,)</f>
        <v>190302019</v>
      </c>
      <c r="C383" s="17" t="str">
        <f ca="1">OFFSET('1课程考核方式及成绩组成'!$E$10,(ROW(C383)-5)/7,)</f>
        <v>李利婷</v>
      </c>
      <c r="D383" s="18" t="str">
        <f>'0信息维护'!A$25</f>
        <v>课程目标1</v>
      </c>
      <c r="E383" s="19">
        <f ca="1">OFFSET('1课程考核方式及成绩组成'!$F$10,(ROW(E383)-5)/7,MOD((ROW(E383)-5),7))</f>
        <v>40</v>
      </c>
      <c r="F383" s="19">
        <f ca="1">OFFSET('1课程考核方式及成绩组成'!$N$10,(ROW(F383)-5)/7,MOD((ROW(F383)-5),7))</f>
        <v>0</v>
      </c>
      <c r="G383" s="19">
        <f ca="1">OFFSET('1课程考核方式及成绩组成'!$V$10,(ROW(G383)-5)/7,MOD((ROW(G383)-5),7))</f>
        <v>0</v>
      </c>
      <c r="H383" s="19">
        <f ca="1">OFFSET('1课程考核方式及成绩组成'!$AD$10,(ROW(H383)-5)/7,MOD((ROW(H383)-5),7))</f>
        <v>0</v>
      </c>
      <c r="I383" s="19">
        <f ca="1">OFFSET('1课程考核方式及成绩组成'!$AL$10,(ROW(I383)-5)/7,MOD((ROW(I383)-5),7))</f>
        <v>30</v>
      </c>
      <c r="J383" s="25">
        <f ca="1">IF('0信息维护'!$I$85=0,0,E383/('0信息维护'!$I$85)*'0信息维护'!$E$35*'0信息维护'!$S$25)+IF('0信息维护'!$I$86=0,0,F383/('0信息维护'!$I$86)*'0信息维护'!$E$35*'0信息维护'!$T$25)+IF('0信息维护'!$I$87=0,0,G383/('0信息维护'!$I$87)*'0信息维护'!$E$35*'0信息维护'!$U$25)+IF('0信息维护'!$I$88=0,0,H383/('0信息维护'!$I$88)*'0信息维护'!$E$35*'0信息维护'!$V$25)+IF('0信息维护'!$I$89=0,0,I383/'0信息维护'!$I$89*'0信息维护'!$I$35)</f>
        <v>0.916666666666667</v>
      </c>
      <c r="K383" s="26">
        <f ca="1">J383*'0信息维护'!$D$132+J384*'0信息维护'!$D$133+J385*'0信息维护'!$D$134+J386*'0信息维护'!$D$135+J387*'0信息维护'!$D$136+J388*'0信息维护'!$D$137+J389*'0信息维护'!$D$138</f>
        <v>0.765852941176471</v>
      </c>
    </row>
    <row r="384" spans="1:14">
      <c r="A384" s="20"/>
      <c r="B384" s="20"/>
      <c r="C384" s="20"/>
      <c r="D384" s="18" t="str">
        <f>'0信息维护'!A$26</f>
        <v>课程目标2</v>
      </c>
      <c r="E384" s="19">
        <f ca="1">OFFSET('1课程考核方式及成绩组成'!$F$10,(ROW(E384)-5)/7,MOD((ROW(E384)-5),7))</f>
        <v>60</v>
      </c>
      <c r="F384" s="19">
        <f ca="1">OFFSET('1课程考核方式及成绩组成'!$N$10,(ROW(F384)-5)/7,MOD((ROW(F384)-5),7))</f>
        <v>0</v>
      </c>
      <c r="G384" s="19">
        <f ca="1">OFFSET('1课程考核方式及成绩组成'!$V$10,(ROW(G384)-5)/7,MOD((ROW(G384)-5),7))</f>
        <v>0</v>
      </c>
      <c r="H384" s="19">
        <f ca="1">OFFSET('1课程考核方式及成绩组成'!$AD$10,(ROW(H384)-5)/7,MOD((ROW(H384)-5),7))</f>
        <v>0</v>
      </c>
      <c r="I384" s="19">
        <f ca="1">OFFSET('1课程考核方式及成绩组成'!$AL$10,(ROW(I384)-5)/7,MOD((ROW(I384)-5),7))</f>
        <v>20</v>
      </c>
      <c r="J384" s="25">
        <f ca="1">IF('0信息维护'!$I$91=0,0,E384/('0信息维护'!$I$91)*'0信息维护'!$S$26*'0信息维护'!$E$36)+IF('0信息维护'!$I$92=0,0,F384/('0信息维护'!$I$92)*'0信息维护'!$T$26*'0信息维护'!$E$36)+IF('0信息维护'!$I$93=0,0,G384/('0信息维护'!$I$93)*'0信息维护'!$U$26*'0信息维护'!$E$36)+IF('0信息维护'!$I$94=0,0,H384/('0信息维护'!$I$94)*'0信息维护'!$V$26*'0信息维护'!$E$36)+IF('0信息维护'!$I$95=0,0,I384/'0信息维护'!$I$95*'0信息维护'!$I$36)</f>
        <v>0.833333333333333</v>
      </c>
      <c r="K384" s="27"/>
      <c r="N384" s="29"/>
    </row>
    <row r="385" spans="1:11">
      <c r="A385" s="20"/>
      <c r="B385" s="20"/>
      <c r="C385" s="20"/>
      <c r="D385" s="18" t="str">
        <f>'0信息维护'!A$27</f>
        <v>课程目标3</v>
      </c>
      <c r="E385" s="19">
        <f ca="1">OFFSET('1课程考核方式及成绩组成'!$F$10,(ROW(E385)-5)/7,MOD((ROW(E385)-5),7))</f>
        <v>0</v>
      </c>
      <c r="F385" s="19">
        <f ca="1">OFFSET('1课程考核方式及成绩组成'!$N$10,(ROW(F385)-5)/7,MOD((ROW(F385)-5),7))</f>
        <v>0</v>
      </c>
      <c r="G385" s="19">
        <f ca="1">OFFSET('1课程考核方式及成绩组成'!$V$10,(ROW(G385)-5)/7,MOD((ROW(G385)-5),7))</f>
        <v>0</v>
      </c>
      <c r="H385" s="19">
        <f ca="1">OFFSET('1课程考核方式及成绩组成'!$AD$10,(ROW(H385)-5)/7,MOD((ROW(H385)-5),7))</f>
        <v>0</v>
      </c>
      <c r="I385" s="19">
        <f ca="1">OFFSET('1课程考核方式及成绩组成'!$AL$10,(ROW(I385)-5)/7,MOD((ROW(I385)-5),7))</f>
        <v>18</v>
      </c>
      <c r="J385" s="25">
        <f ca="1">IF('0信息维护'!$I$97=0,0,E385/('0信息维护'!$I$97)*'0信息维护'!$E$37*'0信息维护'!$S$27)+IF('0信息维护'!$I$98=0,0,F385/('0信息维护'!$I$98)*'0信息维护'!$E$37*'0信息维护'!$T$27)+IF('0信息维护'!$I$99=0,0,G385/('0信息维护'!$I$99)*'0信息维护'!$E$37*'0信息维护'!$U$27)+IF('0信息维护'!$I$100=0,0,H385/('0信息维护'!$I$100)*'0信息维护'!$E$37*'0信息维护'!$V$27)+IF('0信息维护'!$I$101=0,0,I385/'0信息维护'!$I$101*'0信息维护'!$I$37)</f>
        <v>0.529411764705882</v>
      </c>
      <c r="K385" s="27"/>
    </row>
    <row r="386" spans="1:11">
      <c r="A386" s="20"/>
      <c r="B386" s="20"/>
      <c r="C386" s="20"/>
      <c r="D386" s="18" t="str">
        <f>'0信息维护'!A$28</f>
        <v>课程目标4</v>
      </c>
      <c r="E386" s="19">
        <f ca="1">OFFSET('1课程考核方式及成绩组成'!$F$10,(ROW(E386)-5)/7,MOD((ROW(E386)-5),7))</f>
        <v>0</v>
      </c>
      <c r="F386" s="19">
        <f ca="1">OFFSET('1课程考核方式及成绩组成'!$N$10,(ROW(F386)-5)/7,MOD((ROW(F386)-5),7))</f>
        <v>82</v>
      </c>
      <c r="G386" s="19">
        <f ca="1">OFFSET('1课程考核方式及成绩组成'!$V$10,(ROW(G386)-5)/7,MOD((ROW(G386)-5),7))</f>
        <v>0</v>
      </c>
      <c r="H386" s="19">
        <f ca="1">OFFSET('1课程考核方式及成绩组成'!$AD$10,(ROW(H386)-5)/7,MOD((ROW(H386)-5),7))</f>
        <v>0</v>
      </c>
      <c r="I386" s="19">
        <f ca="1">OFFSET('1课程考核方式及成绩组成'!$AL$10,(ROW(I386)-5)/7,MOD((ROW(I386)-5),7))</f>
        <v>0</v>
      </c>
      <c r="J386" s="25">
        <f ca="1">IF('0信息维护'!$I$103=0,0,E386/('0信息维护'!$I$103)*'0信息维护'!$E$38*'0信息维护'!$S$28)+IF('0信息维护'!$I$104=0,0,F386/('0信息维护'!$I$104)*'0信息维护'!$E$38*'0信息维护'!$T$28)+IF('0信息维护'!$I$105=0,0,G386/('0信息维护'!$I$105)*'0信息维护'!$E$38*'0信息维护'!$U$28)+IF('0信息维护'!$I$106=0,0,H386/('0信息维护'!$I$106)*'0信息维护'!$E$38*'0信息维护'!$V$28)+IF('0信息维护'!$I$107=0,0,I386/'0信息维护'!$I$107*'0信息维护'!$I$38)</f>
        <v>0.82</v>
      </c>
      <c r="K386" s="27"/>
    </row>
    <row r="387" spans="1:11">
      <c r="A387" s="20"/>
      <c r="B387" s="20"/>
      <c r="C387" s="20"/>
      <c r="D387" s="18" t="str">
        <f>'0信息维护'!A$29</f>
        <v>课程目标5</v>
      </c>
      <c r="E387" s="19">
        <f ca="1">OFFSET('1课程考核方式及成绩组成'!$F$10,(ROW(E387)-5)/7,MOD((ROW(E387)-5),7))</f>
        <v>0</v>
      </c>
      <c r="F387" s="19">
        <f ca="1">OFFSET('1课程考核方式及成绩组成'!$N$10,(ROW(F387)-5)/7,MOD((ROW(F387)-5),7))</f>
        <v>0</v>
      </c>
      <c r="G387" s="19">
        <f ca="1">OFFSET('1课程考核方式及成绩组成'!$V$10,(ROW(G387)-5)/7,MOD((ROW(G387)-5),7))</f>
        <v>0</v>
      </c>
      <c r="H387" s="19">
        <f ca="1">OFFSET('1课程考核方式及成绩组成'!$AD$10,(ROW(H387)-5)/7,MOD((ROW(H387)-5),7))</f>
        <v>0</v>
      </c>
      <c r="I387" s="19">
        <f ca="1">OFFSET('1课程考核方式及成绩组成'!$AL$10,(ROW(I387)-5)/7,MOD((ROW(I387)-5),7))</f>
        <v>0</v>
      </c>
      <c r="J387" s="25">
        <f ca="1">IF('0信息维护'!$I$109=0,0,E387/('0信息维护'!$I$109)*'0信息维护'!$E$39*'0信息维护'!$S$29)+IF('0信息维护'!$I$110=0,0,F387/('0信息维护'!$I$110)*'0信息维护'!$E$39*'0信息维护'!$T$29)+IF('0信息维护'!$I$111=0,0,G387/('0信息维护'!$I$111)*'0信息维护'!$E$39*'0信息维护'!$U$29)+IF('0信息维护'!$I$112=0,0,H387/('0信息维护'!$I$112)*'0信息维护'!$E$39*'0信息维护'!$V$29)+IF('0信息维护'!$I$113=0,0,I387/'0信息维护'!$I$113*'0信息维护'!$I$39)</f>
        <v>0</v>
      </c>
      <c r="K387" s="27"/>
    </row>
    <row r="388" spans="1:11">
      <c r="A388" s="20"/>
      <c r="B388" s="20"/>
      <c r="C388" s="20"/>
      <c r="D388" s="18" t="str">
        <f>'0信息维护'!A$30</f>
        <v>课程目标6</v>
      </c>
      <c r="E388" s="19">
        <f ca="1">OFFSET('1课程考核方式及成绩组成'!$F$10,(ROW(E388)-5)/7,MOD((ROW(E388)-5),7))</f>
        <v>0</v>
      </c>
      <c r="F388" s="19">
        <f ca="1">OFFSET('1课程考核方式及成绩组成'!$N$10,(ROW(F388)-5)/7,MOD((ROW(F388)-5),7))</f>
        <v>0</v>
      </c>
      <c r="G388" s="19">
        <f ca="1">OFFSET('1课程考核方式及成绩组成'!$V$10,(ROW(G388)-5)/7,MOD((ROW(G388)-5),7))</f>
        <v>0</v>
      </c>
      <c r="H388" s="19">
        <f ca="1">OFFSET('1课程考核方式及成绩组成'!$AD$10,(ROW(H388)-5)/7,MOD((ROW(H388)-5),7))</f>
        <v>0</v>
      </c>
      <c r="I388" s="19">
        <f ca="1">OFFSET('1课程考核方式及成绩组成'!$AL$10,(ROW(I388)-5)/7,MOD((ROW(I388)-5),7))</f>
        <v>0</v>
      </c>
      <c r="J388" s="25">
        <f ca="1">IF('0信息维护'!$I$115=0,0,E388/('0信息维护'!$I$115)*'0信息维护'!$E$40*'0信息维护'!$S$30)+IF('0信息维护'!$I$116=0,0,F388/('0信息维护'!$I$116)*'0信息维护'!$E$40*'0信息维护'!$T$30)+IF('0信息维护'!$I$117=0,0,G388/('0信息维护'!$I$117)*'0信息维护'!$E$40*'0信息维护'!$U$30)+IF('0信息维护'!$I$118=0,0,H388/('0信息维护'!$I$118)*'0信息维护'!$E$40*'0信息维护'!$V$30)+IF('0信息维护'!$I$119=0,0,I388/'0信息维护'!$I$119*'0信息维护'!$I$40)</f>
        <v>0</v>
      </c>
      <c r="K388" s="27"/>
    </row>
    <row r="389" spans="1:11">
      <c r="A389" s="21"/>
      <c r="B389" s="21"/>
      <c r="C389" s="21"/>
      <c r="D389" s="18" t="str">
        <f>'0信息维护'!A$31</f>
        <v>课程目标7</v>
      </c>
      <c r="E389" s="19">
        <f ca="1">OFFSET('1课程考核方式及成绩组成'!$F$10,(ROW(E389)-5)/7,MOD((ROW(E389)-5),7))</f>
        <v>0</v>
      </c>
      <c r="F389" s="19">
        <f ca="1">OFFSET('1课程考核方式及成绩组成'!$N$10,(ROW(F389)-5)/7,MOD((ROW(F389)-5),7))</f>
        <v>0</v>
      </c>
      <c r="G389" s="19">
        <f ca="1">OFFSET('1课程考核方式及成绩组成'!$V$10,(ROW(G389)-5)/7,MOD((ROW(G389)-5),7))</f>
        <v>0</v>
      </c>
      <c r="H389" s="19">
        <f ca="1">OFFSET('1课程考核方式及成绩组成'!$AD$10,(ROW(H389)-5)/7,MOD((ROW(H389)-5),7))</f>
        <v>0</v>
      </c>
      <c r="I389" s="19">
        <f ca="1">OFFSET('1课程考核方式及成绩组成'!$AL$10,(ROW(I389)-5)/7,MOD((ROW(I389)-5),7))</f>
        <v>0</v>
      </c>
      <c r="J389" s="25">
        <f ca="1">IF('0信息维护'!$I$121=0,0,E389/('0信息维护'!$I$121)*'0信息维护'!$E$41*'0信息维护'!$S$31)+IF('0信息维护'!$I$122=0,0,F389/('0信息维护'!$I$122)*'0信息维护'!$E$41*'0信息维护'!$T$31)+IF('0信息维护'!$I$123=0,0,G389/('0信息维护'!$I$123)*'0信息维护'!$E$41*'0信息维护'!$U$31)+IF('0信息维护'!$I$124=0,0,H389/('0信息维护'!$I$124)*'0信息维护'!$E$41*'0信息维护'!$T$31)+IF('0信息维护'!$I$125=0,0,I389/'0信息维护'!$I$125*'0信息维护'!$I$41)</f>
        <v>0</v>
      </c>
      <c r="K389" s="30"/>
    </row>
    <row r="390" spans="1:11">
      <c r="A390" s="17">
        <v>56</v>
      </c>
      <c r="B390" s="17" t="str">
        <f ca="1">OFFSET('1课程考核方式及成绩组成'!$D$10,(ROW(B390)-5)/7,)</f>
        <v>190302020</v>
      </c>
      <c r="C390" s="17" t="str">
        <f ca="1">OFFSET('1课程考核方式及成绩组成'!$E$10,(ROW(C390)-5)/7,)</f>
        <v>邓家豪</v>
      </c>
      <c r="D390" s="18" t="str">
        <f>'0信息维护'!A$25</f>
        <v>课程目标1</v>
      </c>
      <c r="E390" s="19">
        <f ca="1">OFFSET('1课程考核方式及成绩组成'!$F$10,(ROW(E390)-5)/7,MOD((ROW(E390)-5),7))</f>
        <v>40</v>
      </c>
      <c r="F390" s="19">
        <f ca="1">OFFSET('1课程考核方式及成绩组成'!$N$10,(ROW(F390)-5)/7,MOD((ROW(F390)-5),7))</f>
        <v>0</v>
      </c>
      <c r="G390" s="19">
        <f ca="1">OFFSET('1课程考核方式及成绩组成'!$V$10,(ROW(G390)-5)/7,MOD((ROW(G390)-5),7))</f>
        <v>0</v>
      </c>
      <c r="H390" s="19">
        <f ca="1">OFFSET('1课程考核方式及成绩组成'!$AD$10,(ROW(H390)-5)/7,MOD((ROW(H390)-5),7))</f>
        <v>0</v>
      </c>
      <c r="I390" s="19">
        <f ca="1">OFFSET('1课程考核方式及成绩组成'!$AL$10,(ROW(I390)-5)/7,MOD((ROW(I390)-5),7))</f>
        <v>29</v>
      </c>
      <c r="J390" s="25">
        <f ca="1">IF('0信息维护'!$I$85=0,0,E390/('0信息维护'!$I$85)*'0信息维护'!$E$35*'0信息维护'!$S$25)+IF('0信息维护'!$I$86=0,0,F390/('0信息维护'!$I$86)*'0信息维护'!$E$35*'0信息维护'!$T$25)+IF('0信息维护'!$I$87=0,0,G390/('0信息维护'!$I$87)*'0信息维护'!$E$35*'0信息维护'!$U$25)+IF('0信息维护'!$I$88=0,0,H390/('0信息维护'!$I$88)*'0信息维护'!$E$35*'0信息维护'!$V$25)+IF('0信息维护'!$I$89=0,0,I390/'0信息维护'!$I$89*'0信息维护'!$I$35)</f>
        <v>0.902777777777778</v>
      </c>
      <c r="K390" s="26">
        <f ca="1">J390*'0信息维护'!$D$132+J391*'0信息维护'!$D$133+J392*'0信息维护'!$D$134+J393*'0信息维护'!$D$135+J394*'0信息维护'!$D$136+J395*'0信息维护'!$D$137+J396*'0信息维护'!$D$138</f>
        <v>0.749416666666667</v>
      </c>
    </row>
    <row r="391" spans="1:14">
      <c r="A391" s="20"/>
      <c r="B391" s="20"/>
      <c r="C391" s="20"/>
      <c r="D391" s="18" t="str">
        <f>'0信息维护'!A$26</f>
        <v>课程目标2</v>
      </c>
      <c r="E391" s="19">
        <f ca="1">OFFSET('1课程考核方式及成绩组成'!$F$10,(ROW(E391)-5)/7,MOD((ROW(E391)-5),7))</f>
        <v>60</v>
      </c>
      <c r="F391" s="19">
        <f ca="1">OFFSET('1课程考核方式及成绩组成'!$N$10,(ROW(F391)-5)/7,MOD((ROW(F391)-5),7))</f>
        <v>0</v>
      </c>
      <c r="G391" s="19">
        <f ca="1">OFFSET('1课程考核方式及成绩组成'!$V$10,(ROW(G391)-5)/7,MOD((ROW(G391)-5),7))</f>
        <v>0</v>
      </c>
      <c r="H391" s="19">
        <f ca="1">OFFSET('1课程考核方式及成绩组成'!$AD$10,(ROW(H391)-5)/7,MOD((ROW(H391)-5),7))</f>
        <v>0</v>
      </c>
      <c r="I391" s="19">
        <f ca="1">OFFSET('1课程考核方式及成绩组成'!$AL$10,(ROW(I391)-5)/7,MOD((ROW(I391)-5),7))</f>
        <v>15</v>
      </c>
      <c r="J391" s="25">
        <f ca="1">IF('0信息维护'!$I$91=0,0,E391/('0信息维护'!$I$91)*'0信息维护'!$S$26*'0信息维护'!$E$36)+IF('0信息维护'!$I$92=0,0,F391/('0信息维护'!$I$92)*'0信息维护'!$T$26*'0信息维护'!$E$36)+IF('0信息维护'!$I$93=0,0,G391/('0信息维护'!$I$93)*'0信息维护'!$U$26*'0信息维护'!$E$36)+IF('0信息维护'!$I$94=0,0,H391/('0信息维护'!$I$94)*'0信息维护'!$V$26*'0信息维护'!$E$36)+IF('0信息维护'!$I$95=0,0,I391/'0信息维护'!$I$95*'0信息维护'!$I$36)</f>
        <v>0.75</v>
      </c>
      <c r="K391" s="27"/>
      <c r="N391" s="29"/>
    </row>
    <row r="392" spans="1:11">
      <c r="A392" s="20"/>
      <c r="B392" s="20"/>
      <c r="C392" s="20"/>
      <c r="D392" s="18" t="str">
        <f>'0信息维护'!A$27</f>
        <v>课程目标3</v>
      </c>
      <c r="E392" s="19">
        <f ca="1">OFFSET('1课程考核方式及成绩组成'!$F$10,(ROW(E392)-5)/7,MOD((ROW(E392)-5),7))</f>
        <v>0</v>
      </c>
      <c r="F392" s="19">
        <f ca="1">OFFSET('1课程考核方式及成绩组成'!$N$10,(ROW(F392)-5)/7,MOD((ROW(F392)-5),7))</f>
        <v>0</v>
      </c>
      <c r="G392" s="19">
        <f ca="1">OFFSET('1课程考核方式及成绩组成'!$V$10,(ROW(G392)-5)/7,MOD((ROW(G392)-5),7))</f>
        <v>0</v>
      </c>
      <c r="H392" s="19">
        <f ca="1">OFFSET('1课程考核方式及成绩组成'!$AD$10,(ROW(H392)-5)/7,MOD((ROW(H392)-5),7))</f>
        <v>0</v>
      </c>
      <c r="I392" s="19">
        <f ca="1">OFFSET('1课程考核方式及成绩组成'!$AL$10,(ROW(I392)-5)/7,MOD((ROW(I392)-5),7))</f>
        <v>17</v>
      </c>
      <c r="J392" s="25">
        <f ca="1">IF('0信息维护'!$I$97=0,0,E392/('0信息维护'!$I$97)*'0信息维护'!$E$37*'0信息维护'!$S$27)+IF('0信息维护'!$I$98=0,0,F392/('0信息维护'!$I$98)*'0信息维护'!$E$37*'0信息维护'!$T$27)+IF('0信息维护'!$I$99=0,0,G392/('0信息维护'!$I$99)*'0信息维护'!$E$37*'0信息维护'!$U$27)+IF('0信息维护'!$I$100=0,0,H392/('0信息维护'!$I$100)*'0信息维护'!$E$37*'0信息维护'!$V$27)+IF('0信息维护'!$I$101=0,0,I392/'0信息维护'!$I$101*'0信息维护'!$I$37)</f>
        <v>0.5</v>
      </c>
      <c r="K392" s="27"/>
    </row>
    <row r="393" spans="1:11">
      <c r="A393" s="20"/>
      <c r="B393" s="20"/>
      <c r="C393" s="20"/>
      <c r="D393" s="18" t="str">
        <f>'0信息维护'!A$28</f>
        <v>课程目标4</v>
      </c>
      <c r="E393" s="19">
        <f ca="1">OFFSET('1课程考核方式及成绩组成'!$F$10,(ROW(E393)-5)/7,MOD((ROW(E393)-5),7))</f>
        <v>0</v>
      </c>
      <c r="F393" s="19">
        <f ca="1">OFFSET('1课程考核方式及成绩组成'!$N$10,(ROW(F393)-5)/7,MOD((ROW(F393)-5),7))</f>
        <v>88</v>
      </c>
      <c r="G393" s="19">
        <f ca="1">OFFSET('1课程考核方式及成绩组成'!$V$10,(ROW(G393)-5)/7,MOD((ROW(G393)-5),7))</f>
        <v>0</v>
      </c>
      <c r="H393" s="19">
        <f ca="1">OFFSET('1课程考核方式及成绩组成'!$AD$10,(ROW(H393)-5)/7,MOD((ROW(H393)-5),7))</f>
        <v>0</v>
      </c>
      <c r="I393" s="19">
        <f ca="1">OFFSET('1课程考核方式及成绩组成'!$AL$10,(ROW(I393)-5)/7,MOD((ROW(I393)-5),7))</f>
        <v>0</v>
      </c>
      <c r="J393" s="25">
        <f ca="1">IF('0信息维护'!$I$103=0,0,E393/('0信息维护'!$I$103)*'0信息维护'!$E$38*'0信息维护'!$S$28)+IF('0信息维护'!$I$104=0,0,F393/('0信息维护'!$I$104)*'0信息维护'!$E$38*'0信息维护'!$T$28)+IF('0信息维护'!$I$105=0,0,G393/('0信息维护'!$I$105)*'0信息维护'!$E$38*'0信息维护'!$U$28)+IF('0信息维护'!$I$106=0,0,H393/('0信息维护'!$I$106)*'0信息维护'!$E$38*'0信息维护'!$V$28)+IF('0信息维护'!$I$107=0,0,I393/'0信息维护'!$I$107*'0信息维护'!$I$38)</f>
        <v>0.88</v>
      </c>
      <c r="K393" s="27"/>
    </row>
    <row r="394" spans="1:11">
      <c r="A394" s="20"/>
      <c r="B394" s="20"/>
      <c r="C394" s="20"/>
      <c r="D394" s="18" t="str">
        <f>'0信息维护'!A$29</f>
        <v>课程目标5</v>
      </c>
      <c r="E394" s="19">
        <f ca="1">OFFSET('1课程考核方式及成绩组成'!$F$10,(ROW(E394)-5)/7,MOD((ROW(E394)-5),7))</f>
        <v>0</v>
      </c>
      <c r="F394" s="19">
        <f ca="1">OFFSET('1课程考核方式及成绩组成'!$N$10,(ROW(F394)-5)/7,MOD((ROW(F394)-5),7))</f>
        <v>0</v>
      </c>
      <c r="G394" s="19">
        <f ca="1">OFFSET('1课程考核方式及成绩组成'!$V$10,(ROW(G394)-5)/7,MOD((ROW(G394)-5),7))</f>
        <v>0</v>
      </c>
      <c r="H394" s="19">
        <f ca="1">OFFSET('1课程考核方式及成绩组成'!$AD$10,(ROW(H394)-5)/7,MOD((ROW(H394)-5),7))</f>
        <v>0</v>
      </c>
      <c r="I394" s="19">
        <f ca="1">OFFSET('1课程考核方式及成绩组成'!$AL$10,(ROW(I394)-5)/7,MOD((ROW(I394)-5),7))</f>
        <v>0</v>
      </c>
      <c r="J394" s="25">
        <f ca="1">IF('0信息维护'!$I$109=0,0,E394/('0信息维护'!$I$109)*'0信息维护'!$E$39*'0信息维护'!$S$29)+IF('0信息维护'!$I$110=0,0,F394/('0信息维护'!$I$110)*'0信息维护'!$E$39*'0信息维护'!$T$29)+IF('0信息维护'!$I$111=0,0,G394/('0信息维护'!$I$111)*'0信息维护'!$E$39*'0信息维护'!$U$29)+IF('0信息维护'!$I$112=0,0,H394/('0信息维护'!$I$112)*'0信息维护'!$E$39*'0信息维护'!$V$29)+IF('0信息维护'!$I$113=0,0,I394/'0信息维护'!$I$113*'0信息维护'!$I$39)</f>
        <v>0</v>
      </c>
      <c r="K394" s="27"/>
    </row>
    <row r="395" spans="1:11">
      <c r="A395" s="20"/>
      <c r="B395" s="20"/>
      <c r="C395" s="20"/>
      <c r="D395" s="18" t="str">
        <f>'0信息维护'!A$30</f>
        <v>课程目标6</v>
      </c>
      <c r="E395" s="19">
        <f ca="1">OFFSET('1课程考核方式及成绩组成'!$F$10,(ROW(E395)-5)/7,MOD((ROW(E395)-5),7))</f>
        <v>0</v>
      </c>
      <c r="F395" s="19">
        <f ca="1">OFFSET('1课程考核方式及成绩组成'!$N$10,(ROW(F395)-5)/7,MOD((ROW(F395)-5),7))</f>
        <v>0</v>
      </c>
      <c r="G395" s="19">
        <f ca="1">OFFSET('1课程考核方式及成绩组成'!$V$10,(ROW(G395)-5)/7,MOD((ROW(G395)-5),7))</f>
        <v>0</v>
      </c>
      <c r="H395" s="19">
        <f ca="1">OFFSET('1课程考核方式及成绩组成'!$AD$10,(ROW(H395)-5)/7,MOD((ROW(H395)-5),7))</f>
        <v>0</v>
      </c>
      <c r="I395" s="19">
        <f ca="1">OFFSET('1课程考核方式及成绩组成'!$AL$10,(ROW(I395)-5)/7,MOD((ROW(I395)-5),7))</f>
        <v>0</v>
      </c>
      <c r="J395" s="25">
        <f ca="1">IF('0信息维护'!$I$115=0,0,E395/('0信息维护'!$I$115)*'0信息维护'!$E$40*'0信息维护'!$S$30)+IF('0信息维护'!$I$116=0,0,F395/('0信息维护'!$I$116)*'0信息维护'!$E$40*'0信息维护'!$T$30)+IF('0信息维护'!$I$117=0,0,G395/('0信息维护'!$I$117)*'0信息维护'!$E$40*'0信息维护'!$U$30)+IF('0信息维护'!$I$118=0,0,H395/('0信息维护'!$I$118)*'0信息维护'!$E$40*'0信息维护'!$V$30)+IF('0信息维护'!$I$119=0,0,I395/'0信息维护'!$I$119*'0信息维护'!$I$40)</f>
        <v>0</v>
      </c>
      <c r="K395" s="27"/>
    </row>
    <row r="396" spans="1:11">
      <c r="A396" s="21"/>
      <c r="B396" s="21"/>
      <c r="C396" s="21"/>
      <c r="D396" s="18" t="str">
        <f>'0信息维护'!A$31</f>
        <v>课程目标7</v>
      </c>
      <c r="E396" s="19">
        <f ca="1">OFFSET('1课程考核方式及成绩组成'!$F$10,(ROW(E396)-5)/7,MOD((ROW(E396)-5),7))</f>
        <v>0</v>
      </c>
      <c r="F396" s="19">
        <f ca="1">OFFSET('1课程考核方式及成绩组成'!$N$10,(ROW(F396)-5)/7,MOD((ROW(F396)-5),7))</f>
        <v>0</v>
      </c>
      <c r="G396" s="19">
        <f ca="1">OFFSET('1课程考核方式及成绩组成'!$V$10,(ROW(G396)-5)/7,MOD((ROW(G396)-5),7))</f>
        <v>0</v>
      </c>
      <c r="H396" s="19">
        <f ca="1">OFFSET('1课程考核方式及成绩组成'!$AD$10,(ROW(H396)-5)/7,MOD((ROW(H396)-5),7))</f>
        <v>0</v>
      </c>
      <c r="I396" s="19">
        <f ca="1">OFFSET('1课程考核方式及成绩组成'!$AL$10,(ROW(I396)-5)/7,MOD((ROW(I396)-5),7))</f>
        <v>0</v>
      </c>
      <c r="J396" s="25">
        <f ca="1">IF('0信息维护'!$I$121=0,0,E396/('0信息维护'!$I$121)*'0信息维护'!$E$41*'0信息维护'!$S$31)+IF('0信息维护'!$I$122=0,0,F396/('0信息维护'!$I$122)*'0信息维护'!$E$41*'0信息维护'!$T$31)+IF('0信息维护'!$I$123=0,0,G396/('0信息维护'!$I$123)*'0信息维护'!$E$41*'0信息维护'!$U$31)+IF('0信息维护'!$I$124=0,0,H396/('0信息维护'!$I$124)*'0信息维护'!$E$41*'0信息维护'!$T$31)+IF('0信息维护'!$I$125=0,0,I396/'0信息维护'!$I$125*'0信息维护'!$I$41)</f>
        <v>0</v>
      </c>
      <c r="K396" s="30"/>
    </row>
    <row r="397" spans="1:11">
      <c r="A397" s="17">
        <v>57</v>
      </c>
      <c r="B397" s="17" t="str">
        <f ca="1">OFFSET('1课程考核方式及成绩组成'!$D$10,(ROW(B397)-5)/7,)</f>
        <v>190302021</v>
      </c>
      <c r="C397" s="17" t="str">
        <f ca="1">OFFSET('1课程考核方式及成绩组成'!$E$10,(ROW(C397)-5)/7,)</f>
        <v>杨以坤</v>
      </c>
      <c r="D397" s="18" t="str">
        <f>'0信息维护'!A$25</f>
        <v>课程目标1</v>
      </c>
      <c r="E397" s="19">
        <f ca="1">OFFSET('1课程考核方式及成绩组成'!$F$10,(ROW(E397)-5)/7,MOD((ROW(E397)-5),7))</f>
        <v>40</v>
      </c>
      <c r="F397" s="19">
        <f ca="1">OFFSET('1课程考核方式及成绩组成'!$N$10,(ROW(F397)-5)/7,MOD((ROW(F397)-5),7))</f>
        <v>0</v>
      </c>
      <c r="G397" s="19">
        <f ca="1">OFFSET('1课程考核方式及成绩组成'!$V$10,(ROW(G397)-5)/7,MOD((ROW(G397)-5),7))</f>
        <v>0</v>
      </c>
      <c r="H397" s="19">
        <f ca="1">OFFSET('1课程考核方式及成绩组成'!$AD$10,(ROW(H397)-5)/7,MOD((ROW(H397)-5),7))</f>
        <v>0</v>
      </c>
      <c r="I397" s="19">
        <f ca="1">OFFSET('1课程考核方式及成绩组成'!$AL$10,(ROW(I397)-5)/7,MOD((ROW(I397)-5),7))</f>
        <v>28</v>
      </c>
      <c r="J397" s="25">
        <f ca="1">IF('0信息维护'!$I$85=0,0,E397/('0信息维护'!$I$85)*'0信息维护'!$E$35*'0信息维护'!$S$25)+IF('0信息维护'!$I$86=0,0,F397/('0信息维护'!$I$86)*'0信息维护'!$E$35*'0信息维护'!$T$25)+IF('0信息维护'!$I$87=0,0,G397/('0信息维护'!$I$87)*'0信息维护'!$E$35*'0信息维护'!$U$25)+IF('0信息维护'!$I$88=0,0,H397/('0信息维护'!$I$88)*'0信息维护'!$E$35*'0信息维护'!$V$25)+IF('0信息维护'!$I$89=0,0,I397/'0信息维护'!$I$89*'0信息维护'!$I$35)</f>
        <v>0.888888888888889</v>
      </c>
      <c r="K397" s="26">
        <f ca="1">J397*'0信息维护'!$D$132+J398*'0信息维护'!$D$133+J399*'0信息维护'!$D$134+J400*'0信息维护'!$D$135+J401*'0信息维护'!$D$136+J402*'0信息维护'!$D$137+J403*'0信息维护'!$D$138</f>
        <v>0.845509803921569</v>
      </c>
    </row>
    <row r="398" spans="1:14">
      <c r="A398" s="20"/>
      <c r="B398" s="20"/>
      <c r="C398" s="20"/>
      <c r="D398" s="18" t="str">
        <f>'0信息维护'!A$26</f>
        <v>课程目标2</v>
      </c>
      <c r="E398" s="19">
        <f ca="1">OFFSET('1课程考核方式及成绩组成'!$F$10,(ROW(E398)-5)/7,MOD((ROW(E398)-5),7))</f>
        <v>60</v>
      </c>
      <c r="F398" s="19">
        <f ca="1">OFFSET('1课程考核方式及成绩组成'!$N$10,(ROW(F398)-5)/7,MOD((ROW(F398)-5),7))</f>
        <v>0</v>
      </c>
      <c r="G398" s="19">
        <f ca="1">OFFSET('1课程考核方式及成绩组成'!$V$10,(ROW(G398)-5)/7,MOD((ROW(G398)-5),7))</f>
        <v>0</v>
      </c>
      <c r="H398" s="19">
        <f ca="1">OFFSET('1课程考核方式及成绩组成'!$AD$10,(ROW(H398)-5)/7,MOD((ROW(H398)-5),7))</f>
        <v>0</v>
      </c>
      <c r="I398" s="19">
        <f ca="1">OFFSET('1课程考核方式及成绩组成'!$AL$10,(ROW(I398)-5)/7,MOD((ROW(I398)-5),7))</f>
        <v>22</v>
      </c>
      <c r="J398" s="25">
        <f ca="1">IF('0信息维护'!$I$91=0,0,E398/('0信息维护'!$I$91)*'0信息维护'!$S$26*'0信息维护'!$E$36)+IF('0信息维护'!$I$92=0,0,F398/('0信息维护'!$I$92)*'0信息维护'!$T$26*'0信息维护'!$E$36)+IF('0信息维护'!$I$93=0,0,G398/('0信息维护'!$I$93)*'0信息维护'!$U$26*'0信息维护'!$E$36)+IF('0信息维护'!$I$94=0,0,H398/('0信息维护'!$I$94)*'0信息维护'!$V$26*'0信息维护'!$E$36)+IF('0信息维护'!$I$95=0,0,I398/'0信息维护'!$I$95*'0信息维护'!$I$36)</f>
        <v>0.866666666666667</v>
      </c>
      <c r="K398" s="27"/>
      <c r="N398" s="29"/>
    </row>
    <row r="399" spans="1:11">
      <c r="A399" s="20"/>
      <c r="B399" s="20"/>
      <c r="C399" s="20"/>
      <c r="D399" s="18" t="str">
        <f>'0信息维护'!A$27</f>
        <v>课程目标3</v>
      </c>
      <c r="E399" s="19">
        <f ca="1">OFFSET('1课程考核方式及成绩组成'!$F$10,(ROW(E399)-5)/7,MOD((ROW(E399)-5),7))</f>
        <v>0</v>
      </c>
      <c r="F399" s="19">
        <f ca="1">OFFSET('1课程考核方式及成绩组成'!$N$10,(ROW(F399)-5)/7,MOD((ROW(F399)-5),7))</f>
        <v>0</v>
      </c>
      <c r="G399" s="19">
        <f ca="1">OFFSET('1课程考核方式及成绩组成'!$V$10,(ROW(G399)-5)/7,MOD((ROW(G399)-5),7))</f>
        <v>0</v>
      </c>
      <c r="H399" s="19">
        <f ca="1">OFFSET('1课程考核方式及成绩组成'!$AD$10,(ROW(H399)-5)/7,MOD((ROW(H399)-5),7))</f>
        <v>0</v>
      </c>
      <c r="I399" s="19">
        <f ca="1">OFFSET('1课程考核方式及成绩组成'!$AL$10,(ROW(I399)-5)/7,MOD((ROW(I399)-5),7))</f>
        <v>26</v>
      </c>
      <c r="J399" s="25">
        <f ca="1">IF('0信息维护'!$I$97=0,0,E399/('0信息维护'!$I$97)*'0信息维护'!$E$37*'0信息维护'!$S$27)+IF('0信息维护'!$I$98=0,0,F399/('0信息维护'!$I$98)*'0信息维护'!$E$37*'0信息维护'!$T$27)+IF('0信息维护'!$I$99=0,0,G399/('0信息维护'!$I$99)*'0信息维护'!$E$37*'0信息维护'!$U$27)+IF('0信息维护'!$I$100=0,0,H399/('0信息维护'!$I$100)*'0信息维护'!$E$37*'0信息维护'!$V$27)+IF('0信息维护'!$I$101=0,0,I399/'0信息维护'!$I$101*'0信息维护'!$I$37)</f>
        <v>0.764705882352941</v>
      </c>
      <c r="K399" s="27"/>
    </row>
    <row r="400" spans="1:11">
      <c r="A400" s="20"/>
      <c r="B400" s="20"/>
      <c r="C400" s="20"/>
      <c r="D400" s="18" t="str">
        <f>'0信息维护'!A$28</f>
        <v>课程目标4</v>
      </c>
      <c r="E400" s="19">
        <f ca="1">OFFSET('1课程考核方式及成绩组成'!$F$10,(ROW(E400)-5)/7,MOD((ROW(E400)-5),7))</f>
        <v>0</v>
      </c>
      <c r="F400" s="19">
        <f ca="1">OFFSET('1课程考核方式及成绩组成'!$N$10,(ROW(F400)-5)/7,MOD((ROW(F400)-5),7))</f>
        <v>87</v>
      </c>
      <c r="G400" s="19">
        <f ca="1">OFFSET('1课程考核方式及成绩组成'!$V$10,(ROW(G400)-5)/7,MOD((ROW(G400)-5),7))</f>
        <v>0</v>
      </c>
      <c r="H400" s="19">
        <f ca="1">OFFSET('1课程考核方式及成绩组成'!$AD$10,(ROW(H400)-5)/7,MOD((ROW(H400)-5),7))</f>
        <v>0</v>
      </c>
      <c r="I400" s="19">
        <f ca="1">OFFSET('1课程考核方式及成绩组成'!$AL$10,(ROW(I400)-5)/7,MOD((ROW(I400)-5),7))</f>
        <v>0</v>
      </c>
      <c r="J400" s="25">
        <f ca="1">IF('0信息维护'!$I$103=0,0,E400/('0信息维护'!$I$103)*'0信息维护'!$E$38*'0信息维护'!$S$28)+IF('0信息维护'!$I$104=0,0,F400/('0信息维护'!$I$104)*'0信息维护'!$E$38*'0信息维护'!$T$28)+IF('0信息维护'!$I$105=0,0,G400/('0信息维护'!$I$105)*'0信息维护'!$E$38*'0信息维护'!$U$28)+IF('0信息维护'!$I$106=0,0,H400/('0信息维护'!$I$106)*'0信息维护'!$E$38*'0信息维护'!$V$28)+IF('0信息维护'!$I$107=0,0,I400/'0信息维护'!$I$107*'0信息维护'!$I$38)</f>
        <v>0.87</v>
      </c>
      <c r="K400" s="27"/>
    </row>
    <row r="401" spans="1:11">
      <c r="A401" s="20"/>
      <c r="B401" s="20"/>
      <c r="C401" s="20"/>
      <c r="D401" s="18" t="str">
        <f>'0信息维护'!A$29</f>
        <v>课程目标5</v>
      </c>
      <c r="E401" s="19">
        <f ca="1">OFFSET('1课程考核方式及成绩组成'!$F$10,(ROW(E401)-5)/7,MOD((ROW(E401)-5),7))</f>
        <v>0</v>
      </c>
      <c r="F401" s="19">
        <f ca="1">OFFSET('1课程考核方式及成绩组成'!$N$10,(ROW(F401)-5)/7,MOD((ROW(F401)-5),7))</f>
        <v>0</v>
      </c>
      <c r="G401" s="19">
        <f ca="1">OFFSET('1课程考核方式及成绩组成'!$V$10,(ROW(G401)-5)/7,MOD((ROW(G401)-5),7))</f>
        <v>0</v>
      </c>
      <c r="H401" s="19">
        <f ca="1">OFFSET('1课程考核方式及成绩组成'!$AD$10,(ROW(H401)-5)/7,MOD((ROW(H401)-5),7))</f>
        <v>0</v>
      </c>
      <c r="I401" s="19">
        <f ca="1">OFFSET('1课程考核方式及成绩组成'!$AL$10,(ROW(I401)-5)/7,MOD((ROW(I401)-5),7))</f>
        <v>0</v>
      </c>
      <c r="J401" s="25">
        <f ca="1">IF('0信息维护'!$I$109=0,0,E401/('0信息维护'!$I$109)*'0信息维护'!$E$39*'0信息维护'!$S$29)+IF('0信息维护'!$I$110=0,0,F401/('0信息维护'!$I$110)*'0信息维护'!$E$39*'0信息维护'!$T$29)+IF('0信息维护'!$I$111=0,0,G401/('0信息维护'!$I$111)*'0信息维护'!$E$39*'0信息维护'!$U$29)+IF('0信息维护'!$I$112=0,0,H401/('0信息维护'!$I$112)*'0信息维护'!$E$39*'0信息维护'!$V$29)+IF('0信息维护'!$I$113=0,0,I401/'0信息维护'!$I$113*'0信息维护'!$I$39)</f>
        <v>0</v>
      </c>
      <c r="K401" s="27"/>
    </row>
    <row r="402" spans="1:11">
      <c r="A402" s="20"/>
      <c r="B402" s="20"/>
      <c r="C402" s="20"/>
      <c r="D402" s="18" t="str">
        <f>'0信息维护'!A$30</f>
        <v>课程目标6</v>
      </c>
      <c r="E402" s="19">
        <f ca="1">OFFSET('1课程考核方式及成绩组成'!$F$10,(ROW(E402)-5)/7,MOD((ROW(E402)-5),7))</f>
        <v>0</v>
      </c>
      <c r="F402" s="19">
        <f ca="1">OFFSET('1课程考核方式及成绩组成'!$N$10,(ROW(F402)-5)/7,MOD((ROW(F402)-5),7))</f>
        <v>0</v>
      </c>
      <c r="G402" s="19">
        <f ca="1">OFFSET('1课程考核方式及成绩组成'!$V$10,(ROW(G402)-5)/7,MOD((ROW(G402)-5),7))</f>
        <v>0</v>
      </c>
      <c r="H402" s="19">
        <f ca="1">OFFSET('1课程考核方式及成绩组成'!$AD$10,(ROW(H402)-5)/7,MOD((ROW(H402)-5),7))</f>
        <v>0</v>
      </c>
      <c r="I402" s="19">
        <f ca="1">OFFSET('1课程考核方式及成绩组成'!$AL$10,(ROW(I402)-5)/7,MOD((ROW(I402)-5),7))</f>
        <v>0</v>
      </c>
      <c r="J402" s="25">
        <f ca="1">IF('0信息维护'!$I$115=0,0,E402/('0信息维护'!$I$115)*'0信息维护'!$E$40*'0信息维护'!$S$30)+IF('0信息维护'!$I$116=0,0,F402/('0信息维护'!$I$116)*'0信息维护'!$E$40*'0信息维护'!$T$30)+IF('0信息维护'!$I$117=0,0,G402/('0信息维护'!$I$117)*'0信息维护'!$E$40*'0信息维护'!$U$30)+IF('0信息维护'!$I$118=0,0,H402/('0信息维护'!$I$118)*'0信息维护'!$E$40*'0信息维护'!$V$30)+IF('0信息维护'!$I$119=0,0,I402/'0信息维护'!$I$119*'0信息维护'!$I$40)</f>
        <v>0</v>
      </c>
      <c r="K402" s="27"/>
    </row>
    <row r="403" spans="1:11">
      <c r="A403" s="21"/>
      <c r="B403" s="21"/>
      <c r="C403" s="21"/>
      <c r="D403" s="18" t="str">
        <f>'0信息维护'!A$31</f>
        <v>课程目标7</v>
      </c>
      <c r="E403" s="19">
        <f ca="1">OFFSET('1课程考核方式及成绩组成'!$F$10,(ROW(E403)-5)/7,MOD((ROW(E403)-5),7))</f>
        <v>0</v>
      </c>
      <c r="F403" s="19">
        <f ca="1">OFFSET('1课程考核方式及成绩组成'!$N$10,(ROW(F403)-5)/7,MOD((ROW(F403)-5),7))</f>
        <v>0</v>
      </c>
      <c r="G403" s="19">
        <f ca="1">OFFSET('1课程考核方式及成绩组成'!$V$10,(ROW(G403)-5)/7,MOD((ROW(G403)-5),7))</f>
        <v>0</v>
      </c>
      <c r="H403" s="19">
        <f ca="1">OFFSET('1课程考核方式及成绩组成'!$AD$10,(ROW(H403)-5)/7,MOD((ROW(H403)-5),7))</f>
        <v>0</v>
      </c>
      <c r="I403" s="19">
        <f ca="1">OFFSET('1课程考核方式及成绩组成'!$AL$10,(ROW(I403)-5)/7,MOD((ROW(I403)-5),7))</f>
        <v>0</v>
      </c>
      <c r="J403" s="25">
        <f ca="1">IF('0信息维护'!$I$121=0,0,E403/('0信息维护'!$I$121)*'0信息维护'!$E$41*'0信息维护'!$S$31)+IF('0信息维护'!$I$122=0,0,F403/('0信息维护'!$I$122)*'0信息维护'!$E$41*'0信息维护'!$T$31)+IF('0信息维护'!$I$123=0,0,G403/('0信息维护'!$I$123)*'0信息维护'!$E$41*'0信息维护'!$U$31)+IF('0信息维护'!$I$124=0,0,H403/('0信息维护'!$I$124)*'0信息维护'!$E$41*'0信息维护'!$T$31)+IF('0信息维护'!$I$125=0,0,I403/'0信息维护'!$I$125*'0信息维护'!$I$41)</f>
        <v>0</v>
      </c>
      <c r="K403" s="30"/>
    </row>
    <row r="404" spans="1:11">
      <c r="A404" s="17">
        <v>58</v>
      </c>
      <c r="B404" s="17" t="str">
        <f ca="1">OFFSET('1课程考核方式及成绩组成'!$D$10,(ROW(B404)-5)/7,)</f>
        <v>190302022</v>
      </c>
      <c r="C404" s="17" t="str">
        <f ca="1">OFFSET('1课程考核方式及成绩组成'!$E$10,(ROW(C404)-5)/7,)</f>
        <v>皮成鹏</v>
      </c>
      <c r="D404" s="18" t="str">
        <f>'0信息维护'!A$25</f>
        <v>课程目标1</v>
      </c>
      <c r="E404" s="19">
        <f ca="1">OFFSET('1课程考核方式及成绩组成'!$F$10,(ROW(E404)-5)/7,MOD((ROW(E404)-5),7))</f>
        <v>40</v>
      </c>
      <c r="F404" s="19">
        <f ca="1">OFFSET('1课程考核方式及成绩组成'!$N$10,(ROW(F404)-5)/7,MOD((ROW(F404)-5),7))</f>
        <v>0</v>
      </c>
      <c r="G404" s="19">
        <f ca="1">OFFSET('1课程考核方式及成绩组成'!$V$10,(ROW(G404)-5)/7,MOD((ROW(G404)-5),7))</f>
        <v>0</v>
      </c>
      <c r="H404" s="19">
        <f ca="1">OFFSET('1课程考核方式及成绩组成'!$AD$10,(ROW(H404)-5)/7,MOD((ROW(H404)-5),7))</f>
        <v>0</v>
      </c>
      <c r="I404" s="19">
        <f ca="1">OFFSET('1课程考核方式及成绩组成'!$AL$10,(ROW(I404)-5)/7,MOD((ROW(I404)-5),7))</f>
        <v>34</v>
      </c>
      <c r="J404" s="25">
        <f ca="1">IF('0信息维护'!$I$85=0,0,E404/('0信息维护'!$I$85)*'0信息维护'!$E$35*'0信息维护'!$S$25)+IF('0信息维护'!$I$86=0,0,F404/('0信息维护'!$I$86)*'0信息维护'!$E$35*'0信息维护'!$T$25)+IF('0信息维护'!$I$87=0,0,G404/('0信息维护'!$I$87)*'0信息维护'!$E$35*'0信息维护'!$U$25)+IF('0信息维护'!$I$88=0,0,H404/('0信息维护'!$I$88)*'0信息维护'!$E$35*'0信息维护'!$V$25)+IF('0信息维护'!$I$89=0,0,I404/'0信息维护'!$I$89*'0信息维护'!$I$35)</f>
        <v>0.972222222222222</v>
      </c>
      <c r="K404" s="26">
        <f ca="1">J404*'0信息维护'!$D$132+J405*'0信息维护'!$D$133+J406*'0信息维护'!$D$134+J407*'0信息维护'!$D$135+J408*'0信息维护'!$D$136+J409*'0信息维护'!$D$137+J410*'0信息维护'!$D$138</f>
        <v>0.832303921568627</v>
      </c>
    </row>
    <row r="405" spans="1:14">
      <c r="A405" s="20"/>
      <c r="B405" s="20"/>
      <c r="C405" s="20"/>
      <c r="D405" s="18" t="str">
        <f>'0信息维护'!A$26</f>
        <v>课程目标2</v>
      </c>
      <c r="E405" s="19">
        <f ca="1">OFFSET('1课程考核方式及成绩组成'!$F$10,(ROW(E405)-5)/7,MOD((ROW(E405)-5),7))</f>
        <v>60</v>
      </c>
      <c r="F405" s="19">
        <f ca="1">OFFSET('1课程考核方式及成绩组成'!$N$10,(ROW(F405)-5)/7,MOD((ROW(F405)-5),7))</f>
        <v>0</v>
      </c>
      <c r="G405" s="19">
        <f ca="1">OFFSET('1课程考核方式及成绩组成'!$V$10,(ROW(G405)-5)/7,MOD((ROW(G405)-5),7))</f>
        <v>0</v>
      </c>
      <c r="H405" s="19">
        <f ca="1">OFFSET('1课程考核方式及成绩组成'!$AD$10,(ROW(H405)-5)/7,MOD((ROW(H405)-5),7))</f>
        <v>0</v>
      </c>
      <c r="I405" s="19">
        <f ca="1">OFFSET('1课程考核方式及成绩组成'!$AL$10,(ROW(I405)-5)/7,MOD((ROW(I405)-5),7))</f>
        <v>24</v>
      </c>
      <c r="J405" s="25">
        <f ca="1">IF('0信息维护'!$I$91=0,0,E405/('0信息维护'!$I$91)*'0信息维护'!$S$26*'0信息维护'!$E$36)+IF('0信息维护'!$I$92=0,0,F405/('0信息维护'!$I$92)*'0信息维护'!$T$26*'0信息维护'!$E$36)+IF('0信息维护'!$I$93=0,0,G405/('0信息维护'!$I$93)*'0信息维护'!$U$26*'0信息维护'!$E$36)+IF('0信息维护'!$I$94=0,0,H405/('0信息维护'!$I$94)*'0信息维护'!$V$26*'0信息维护'!$E$36)+IF('0信息维护'!$I$95=0,0,I405/'0信息维护'!$I$95*'0信息维护'!$I$36)</f>
        <v>0.9</v>
      </c>
      <c r="K405" s="27"/>
      <c r="N405" s="29"/>
    </row>
    <row r="406" spans="1:11">
      <c r="A406" s="20"/>
      <c r="B406" s="20"/>
      <c r="C406" s="20"/>
      <c r="D406" s="18" t="str">
        <f>'0信息维护'!A$27</f>
        <v>课程目标3</v>
      </c>
      <c r="E406" s="19">
        <f ca="1">OFFSET('1课程考核方式及成绩组成'!$F$10,(ROW(E406)-5)/7,MOD((ROW(E406)-5),7))</f>
        <v>0</v>
      </c>
      <c r="F406" s="19">
        <f ca="1">OFFSET('1课程考核方式及成绩组成'!$N$10,(ROW(F406)-5)/7,MOD((ROW(F406)-5),7))</f>
        <v>0</v>
      </c>
      <c r="G406" s="19">
        <f ca="1">OFFSET('1课程考核方式及成绩组成'!$V$10,(ROW(G406)-5)/7,MOD((ROW(G406)-5),7))</f>
        <v>0</v>
      </c>
      <c r="H406" s="19">
        <f ca="1">OFFSET('1课程考核方式及成绩组成'!$AD$10,(ROW(H406)-5)/7,MOD((ROW(H406)-5),7))</f>
        <v>0</v>
      </c>
      <c r="I406" s="19">
        <f ca="1">OFFSET('1课程考核方式及成绩组成'!$AL$10,(ROW(I406)-5)/7,MOD((ROW(I406)-5),7))</f>
        <v>24</v>
      </c>
      <c r="J406" s="25">
        <f ca="1">IF('0信息维护'!$I$97=0,0,E406/('0信息维护'!$I$97)*'0信息维护'!$E$37*'0信息维护'!$S$27)+IF('0信息维护'!$I$98=0,0,F406/('0信息维护'!$I$98)*'0信息维护'!$E$37*'0信息维护'!$T$27)+IF('0信息维护'!$I$99=0,0,G406/('0信息维护'!$I$99)*'0信息维护'!$E$37*'0信息维护'!$U$27)+IF('0信息维护'!$I$100=0,0,H406/('0信息维护'!$I$100)*'0信息维护'!$E$37*'0信息维护'!$V$27)+IF('0信息维护'!$I$101=0,0,I406/'0信息维护'!$I$101*'0信息维护'!$I$37)</f>
        <v>0.705882352941177</v>
      </c>
      <c r="K406" s="27"/>
    </row>
    <row r="407" spans="1:11">
      <c r="A407" s="20"/>
      <c r="B407" s="20"/>
      <c r="C407" s="20"/>
      <c r="D407" s="18" t="str">
        <f>'0信息维护'!A$28</f>
        <v>课程目标4</v>
      </c>
      <c r="E407" s="19">
        <f ca="1">OFFSET('1课程考核方式及成绩组成'!$F$10,(ROW(E407)-5)/7,MOD((ROW(E407)-5),7))</f>
        <v>0</v>
      </c>
      <c r="F407" s="19">
        <f ca="1">OFFSET('1课程考核方式及成绩组成'!$N$10,(ROW(F407)-5)/7,MOD((ROW(F407)-5),7))</f>
        <v>80</v>
      </c>
      <c r="G407" s="19">
        <f ca="1">OFFSET('1课程考核方式及成绩组成'!$V$10,(ROW(G407)-5)/7,MOD((ROW(G407)-5),7))</f>
        <v>0</v>
      </c>
      <c r="H407" s="19">
        <f ca="1">OFFSET('1课程考核方式及成绩组成'!$AD$10,(ROW(H407)-5)/7,MOD((ROW(H407)-5),7))</f>
        <v>0</v>
      </c>
      <c r="I407" s="19">
        <f ca="1">OFFSET('1课程考核方式及成绩组成'!$AL$10,(ROW(I407)-5)/7,MOD((ROW(I407)-5),7))</f>
        <v>0</v>
      </c>
      <c r="J407" s="25">
        <f ca="1">IF('0信息维护'!$I$103=0,0,E407/('0信息维护'!$I$103)*'0信息维护'!$E$38*'0信息维护'!$S$28)+IF('0信息维护'!$I$104=0,0,F407/('0信息维护'!$I$104)*'0信息维护'!$E$38*'0信息维护'!$T$28)+IF('0信息维护'!$I$105=0,0,G407/('0信息维护'!$I$105)*'0信息维护'!$E$38*'0信息维护'!$U$28)+IF('0信息维护'!$I$106=0,0,H407/('0信息维护'!$I$106)*'0信息维护'!$E$38*'0信息维护'!$V$28)+IF('0信息维护'!$I$107=0,0,I407/'0信息维护'!$I$107*'0信息维护'!$I$38)</f>
        <v>0.8</v>
      </c>
      <c r="K407" s="27"/>
    </row>
    <row r="408" spans="1:11">
      <c r="A408" s="20"/>
      <c r="B408" s="20"/>
      <c r="C408" s="20"/>
      <c r="D408" s="18" t="str">
        <f>'0信息维护'!A$29</f>
        <v>课程目标5</v>
      </c>
      <c r="E408" s="19">
        <f ca="1">OFFSET('1课程考核方式及成绩组成'!$F$10,(ROW(E408)-5)/7,MOD((ROW(E408)-5),7))</f>
        <v>0</v>
      </c>
      <c r="F408" s="19">
        <f ca="1">OFFSET('1课程考核方式及成绩组成'!$N$10,(ROW(F408)-5)/7,MOD((ROW(F408)-5),7))</f>
        <v>0</v>
      </c>
      <c r="G408" s="19">
        <f ca="1">OFFSET('1课程考核方式及成绩组成'!$V$10,(ROW(G408)-5)/7,MOD((ROW(G408)-5),7))</f>
        <v>0</v>
      </c>
      <c r="H408" s="19">
        <f ca="1">OFFSET('1课程考核方式及成绩组成'!$AD$10,(ROW(H408)-5)/7,MOD((ROW(H408)-5),7))</f>
        <v>0</v>
      </c>
      <c r="I408" s="19">
        <f ca="1">OFFSET('1课程考核方式及成绩组成'!$AL$10,(ROW(I408)-5)/7,MOD((ROW(I408)-5),7))</f>
        <v>0</v>
      </c>
      <c r="J408" s="25">
        <f ca="1">IF('0信息维护'!$I$109=0,0,E408/('0信息维护'!$I$109)*'0信息维护'!$E$39*'0信息维护'!$S$29)+IF('0信息维护'!$I$110=0,0,F408/('0信息维护'!$I$110)*'0信息维护'!$E$39*'0信息维护'!$T$29)+IF('0信息维护'!$I$111=0,0,G408/('0信息维护'!$I$111)*'0信息维护'!$E$39*'0信息维护'!$U$29)+IF('0信息维护'!$I$112=0,0,H408/('0信息维护'!$I$112)*'0信息维护'!$E$39*'0信息维护'!$V$29)+IF('0信息维护'!$I$113=0,0,I408/'0信息维护'!$I$113*'0信息维护'!$I$39)</f>
        <v>0</v>
      </c>
      <c r="K408" s="27"/>
    </row>
    <row r="409" spans="1:11">
      <c r="A409" s="20"/>
      <c r="B409" s="20"/>
      <c r="C409" s="20"/>
      <c r="D409" s="18" t="str">
        <f>'0信息维护'!A$30</f>
        <v>课程目标6</v>
      </c>
      <c r="E409" s="19">
        <f ca="1">OFFSET('1课程考核方式及成绩组成'!$F$10,(ROW(E409)-5)/7,MOD((ROW(E409)-5),7))</f>
        <v>0</v>
      </c>
      <c r="F409" s="19">
        <f ca="1">OFFSET('1课程考核方式及成绩组成'!$N$10,(ROW(F409)-5)/7,MOD((ROW(F409)-5),7))</f>
        <v>0</v>
      </c>
      <c r="G409" s="19">
        <f ca="1">OFFSET('1课程考核方式及成绩组成'!$V$10,(ROW(G409)-5)/7,MOD((ROW(G409)-5),7))</f>
        <v>0</v>
      </c>
      <c r="H409" s="19">
        <f ca="1">OFFSET('1课程考核方式及成绩组成'!$AD$10,(ROW(H409)-5)/7,MOD((ROW(H409)-5),7))</f>
        <v>0</v>
      </c>
      <c r="I409" s="19">
        <f ca="1">OFFSET('1课程考核方式及成绩组成'!$AL$10,(ROW(I409)-5)/7,MOD((ROW(I409)-5),7))</f>
        <v>0</v>
      </c>
      <c r="J409" s="25">
        <f ca="1">IF('0信息维护'!$I$115=0,0,E409/('0信息维护'!$I$115)*'0信息维护'!$E$40*'0信息维护'!$S$30)+IF('0信息维护'!$I$116=0,0,F409/('0信息维护'!$I$116)*'0信息维护'!$E$40*'0信息维护'!$T$30)+IF('0信息维护'!$I$117=0,0,G409/('0信息维护'!$I$117)*'0信息维护'!$E$40*'0信息维护'!$U$30)+IF('0信息维护'!$I$118=0,0,H409/('0信息维护'!$I$118)*'0信息维护'!$E$40*'0信息维护'!$V$30)+IF('0信息维护'!$I$119=0,0,I409/'0信息维护'!$I$119*'0信息维护'!$I$40)</f>
        <v>0</v>
      </c>
      <c r="K409" s="27"/>
    </row>
    <row r="410" spans="1:11">
      <c r="A410" s="21"/>
      <c r="B410" s="21"/>
      <c r="C410" s="21"/>
      <c r="D410" s="18" t="str">
        <f>'0信息维护'!A$31</f>
        <v>课程目标7</v>
      </c>
      <c r="E410" s="19">
        <f ca="1">OFFSET('1课程考核方式及成绩组成'!$F$10,(ROW(E410)-5)/7,MOD((ROW(E410)-5),7))</f>
        <v>0</v>
      </c>
      <c r="F410" s="19">
        <f ca="1">OFFSET('1课程考核方式及成绩组成'!$N$10,(ROW(F410)-5)/7,MOD((ROW(F410)-5),7))</f>
        <v>0</v>
      </c>
      <c r="G410" s="19">
        <f ca="1">OFFSET('1课程考核方式及成绩组成'!$V$10,(ROW(G410)-5)/7,MOD((ROW(G410)-5),7))</f>
        <v>0</v>
      </c>
      <c r="H410" s="19">
        <f ca="1">OFFSET('1课程考核方式及成绩组成'!$AD$10,(ROW(H410)-5)/7,MOD((ROW(H410)-5),7))</f>
        <v>0</v>
      </c>
      <c r="I410" s="19">
        <f ca="1">OFFSET('1课程考核方式及成绩组成'!$AL$10,(ROW(I410)-5)/7,MOD((ROW(I410)-5),7))</f>
        <v>0</v>
      </c>
      <c r="J410" s="25">
        <f ca="1">IF('0信息维护'!$I$121=0,0,E410/('0信息维护'!$I$121)*'0信息维护'!$E$41*'0信息维护'!$S$31)+IF('0信息维护'!$I$122=0,0,F410/('0信息维护'!$I$122)*'0信息维护'!$E$41*'0信息维护'!$T$31)+IF('0信息维护'!$I$123=0,0,G410/('0信息维护'!$I$123)*'0信息维护'!$E$41*'0信息维护'!$U$31)+IF('0信息维护'!$I$124=0,0,H410/('0信息维护'!$I$124)*'0信息维护'!$E$41*'0信息维护'!$T$31)+IF('0信息维护'!$I$125=0,0,I410/'0信息维护'!$I$125*'0信息维护'!$I$41)</f>
        <v>0</v>
      </c>
      <c r="K410" s="30"/>
    </row>
    <row r="411" spans="1:11">
      <c r="A411" s="17">
        <v>59</v>
      </c>
      <c r="B411" s="17" t="str">
        <f ca="1">OFFSET('1课程考核方式及成绩组成'!$D$10,(ROW(B411)-5)/7,)</f>
        <v>190302023</v>
      </c>
      <c r="C411" s="17" t="str">
        <f ca="1">OFFSET('1课程考核方式及成绩组成'!$E$10,(ROW(C411)-5)/7,)</f>
        <v>张罗鑫</v>
      </c>
      <c r="D411" s="18" t="str">
        <f>'0信息维护'!A$25</f>
        <v>课程目标1</v>
      </c>
      <c r="E411" s="19">
        <f ca="1">OFFSET('1课程考核方式及成绩组成'!$F$10,(ROW(E411)-5)/7,MOD((ROW(E411)-5),7))</f>
        <v>40</v>
      </c>
      <c r="F411" s="19">
        <f ca="1">OFFSET('1课程考核方式及成绩组成'!$N$10,(ROW(F411)-5)/7,MOD((ROW(F411)-5),7))</f>
        <v>0</v>
      </c>
      <c r="G411" s="19">
        <f ca="1">OFFSET('1课程考核方式及成绩组成'!$V$10,(ROW(G411)-5)/7,MOD((ROW(G411)-5),7))</f>
        <v>0</v>
      </c>
      <c r="H411" s="19">
        <f ca="1">OFFSET('1课程考核方式及成绩组成'!$AD$10,(ROW(H411)-5)/7,MOD((ROW(H411)-5),7))</f>
        <v>0</v>
      </c>
      <c r="I411" s="19">
        <f ca="1">OFFSET('1课程考核方式及成绩组成'!$AL$10,(ROW(I411)-5)/7,MOD((ROW(I411)-5),7))</f>
        <v>32</v>
      </c>
      <c r="J411" s="25">
        <f ca="1">IF('0信息维护'!$I$85=0,0,E411/('0信息维护'!$I$85)*'0信息维护'!$E$35*'0信息维护'!$S$25)+IF('0信息维护'!$I$86=0,0,F411/('0信息维护'!$I$86)*'0信息维护'!$E$35*'0信息维护'!$T$25)+IF('0信息维护'!$I$87=0,0,G411/('0信息维护'!$I$87)*'0信息维护'!$E$35*'0信息维护'!$U$25)+IF('0信息维护'!$I$88=0,0,H411/('0信息维护'!$I$88)*'0信息维护'!$E$35*'0信息维护'!$V$25)+IF('0信息维护'!$I$89=0,0,I411/'0信息维护'!$I$89*'0信息维护'!$I$35)</f>
        <v>0.944444444444444</v>
      </c>
      <c r="K411" s="26">
        <f ca="1">J411*'0信息维护'!$D$132+J412*'0信息维护'!$D$133+J413*'0信息维护'!$D$134+J414*'0信息维护'!$D$135+J415*'0信息维护'!$D$136+J416*'0信息维护'!$D$137+J417*'0信息维护'!$D$138</f>
        <v>0.883843137254902</v>
      </c>
    </row>
    <row r="412" spans="1:14">
      <c r="A412" s="20"/>
      <c r="B412" s="20"/>
      <c r="C412" s="20"/>
      <c r="D412" s="18" t="str">
        <f>'0信息维护'!A$26</f>
        <v>课程目标2</v>
      </c>
      <c r="E412" s="19">
        <f ca="1">OFFSET('1课程考核方式及成绩组成'!$F$10,(ROW(E412)-5)/7,MOD((ROW(E412)-5),7))</f>
        <v>60</v>
      </c>
      <c r="F412" s="19">
        <f ca="1">OFFSET('1课程考核方式及成绩组成'!$N$10,(ROW(F412)-5)/7,MOD((ROW(F412)-5),7))</f>
        <v>0</v>
      </c>
      <c r="G412" s="19">
        <f ca="1">OFFSET('1课程考核方式及成绩组成'!$V$10,(ROW(G412)-5)/7,MOD((ROW(G412)-5),7))</f>
        <v>0</v>
      </c>
      <c r="H412" s="19">
        <f ca="1">OFFSET('1课程考核方式及成绩组成'!$AD$10,(ROW(H412)-5)/7,MOD((ROW(H412)-5),7))</f>
        <v>0</v>
      </c>
      <c r="I412" s="19">
        <f ca="1">OFFSET('1课程考核方式及成绩组成'!$AL$10,(ROW(I412)-5)/7,MOD((ROW(I412)-5),7))</f>
        <v>28</v>
      </c>
      <c r="J412" s="25">
        <f ca="1">IF('0信息维护'!$I$91=0,0,E412/('0信息维护'!$I$91)*'0信息维护'!$S$26*'0信息维护'!$E$36)+IF('0信息维护'!$I$92=0,0,F412/('0信息维护'!$I$92)*'0信息维护'!$T$26*'0信息维护'!$E$36)+IF('0信息维护'!$I$93=0,0,G412/('0信息维护'!$I$93)*'0信息维护'!$U$26*'0信息维护'!$E$36)+IF('0信息维护'!$I$94=0,0,H412/('0信息维护'!$I$94)*'0信息维护'!$V$26*'0信息维护'!$E$36)+IF('0信息维护'!$I$95=0,0,I412/'0信息维护'!$I$95*'0信息维护'!$I$36)</f>
        <v>0.966666666666667</v>
      </c>
      <c r="K412" s="27"/>
      <c r="N412" s="29"/>
    </row>
    <row r="413" spans="1:11">
      <c r="A413" s="20"/>
      <c r="B413" s="20"/>
      <c r="C413" s="20"/>
      <c r="D413" s="18" t="str">
        <f>'0信息维护'!A$27</f>
        <v>课程目标3</v>
      </c>
      <c r="E413" s="19">
        <f ca="1">OFFSET('1课程考核方式及成绩组成'!$F$10,(ROW(E413)-5)/7,MOD((ROW(E413)-5),7))</f>
        <v>0</v>
      </c>
      <c r="F413" s="19">
        <f ca="1">OFFSET('1课程考核方式及成绩组成'!$N$10,(ROW(F413)-5)/7,MOD((ROW(F413)-5),7))</f>
        <v>0</v>
      </c>
      <c r="G413" s="19">
        <f ca="1">OFFSET('1课程考核方式及成绩组成'!$V$10,(ROW(G413)-5)/7,MOD((ROW(G413)-5),7))</f>
        <v>0</v>
      </c>
      <c r="H413" s="19">
        <f ca="1">OFFSET('1课程考核方式及成绩组成'!$AD$10,(ROW(H413)-5)/7,MOD((ROW(H413)-5),7))</f>
        <v>0</v>
      </c>
      <c r="I413" s="19">
        <f ca="1">OFFSET('1课程考核方式及成绩组成'!$AL$10,(ROW(I413)-5)/7,MOD((ROW(I413)-5),7))</f>
        <v>26</v>
      </c>
      <c r="J413" s="25">
        <f ca="1">IF('0信息维护'!$I$97=0,0,E413/('0信息维护'!$I$97)*'0信息维护'!$E$37*'0信息维护'!$S$27)+IF('0信息维护'!$I$98=0,0,F413/('0信息维护'!$I$98)*'0信息维护'!$E$37*'0信息维护'!$T$27)+IF('0信息维护'!$I$99=0,0,G413/('0信息维护'!$I$99)*'0信息维护'!$E$37*'0信息维护'!$U$27)+IF('0信息维护'!$I$100=0,0,H413/('0信息维护'!$I$100)*'0信息维护'!$E$37*'0信息维护'!$V$27)+IF('0信息维护'!$I$101=0,0,I413/'0信息维护'!$I$101*'0信息维护'!$I$37)</f>
        <v>0.764705882352941</v>
      </c>
      <c r="K413" s="27"/>
    </row>
    <row r="414" spans="1:11">
      <c r="A414" s="20"/>
      <c r="B414" s="20"/>
      <c r="C414" s="20"/>
      <c r="D414" s="18" t="str">
        <f>'0信息维护'!A$28</f>
        <v>课程目标4</v>
      </c>
      <c r="E414" s="19">
        <f ca="1">OFFSET('1课程考核方式及成绩组成'!$F$10,(ROW(E414)-5)/7,MOD((ROW(E414)-5),7))</f>
        <v>0</v>
      </c>
      <c r="F414" s="19">
        <f ca="1">OFFSET('1课程考核方式及成绩组成'!$N$10,(ROW(F414)-5)/7,MOD((ROW(F414)-5),7))</f>
        <v>87</v>
      </c>
      <c r="G414" s="19">
        <f ca="1">OFFSET('1课程考核方式及成绩组成'!$V$10,(ROW(G414)-5)/7,MOD((ROW(G414)-5),7))</f>
        <v>0</v>
      </c>
      <c r="H414" s="19">
        <f ca="1">OFFSET('1课程考核方式及成绩组成'!$AD$10,(ROW(H414)-5)/7,MOD((ROW(H414)-5),7))</f>
        <v>0</v>
      </c>
      <c r="I414" s="19">
        <f ca="1">OFFSET('1课程考核方式及成绩组成'!$AL$10,(ROW(I414)-5)/7,MOD((ROW(I414)-5),7))</f>
        <v>0</v>
      </c>
      <c r="J414" s="25">
        <f ca="1">IF('0信息维护'!$I$103=0,0,E414/('0信息维护'!$I$103)*'0信息维护'!$E$38*'0信息维护'!$S$28)+IF('0信息维护'!$I$104=0,0,F414/('0信息维护'!$I$104)*'0信息维护'!$E$38*'0信息维护'!$T$28)+IF('0信息维护'!$I$105=0,0,G414/('0信息维护'!$I$105)*'0信息维护'!$E$38*'0信息维护'!$U$28)+IF('0信息维护'!$I$106=0,0,H414/('0信息维护'!$I$106)*'0信息维护'!$E$38*'0信息维护'!$V$28)+IF('0信息维护'!$I$107=0,0,I414/'0信息维护'!$I$107*'0信息维护'!$I$38)</f>
        <v>0.87</v>
      </c>
      <c r="K414" s="27"/>
    </row>
    <row r="415" spans="1:11">
      <c r="A415" s="20"/>
      <c r="B415" s="20"/>
      <c r="C415" s="20"/>
      <c r="D415" s="18" t="str">
        <f>'0信息维护'!A$29</f>
        <v>课程目标5</v>
      </c>
      <c r="E415" s="19">
        <f ca="1">OFFSET('1课程考核方式及成绩组成'!$F$10,(ROW(E415)-5)/7,MOD((ROW(E415)-5),7))</f>
        <v>0</v>
      </c>
      <c r="F415" s="19">
        <f ca="1">OFFSET('1课程考核方式及成绩组成'!$N$10,(ROW(F415)-5)/7,MOD((ROW(F415)-5),7))</f>
        <v>0</v>
      </c>
      <c r="G415" s="19">
        <f ca="1">OFFSET('1课程考核方式及成绩组成'!$V$10,(ROW(G415)-5)/7,MOD((ROW(G415)-5),7))</f>
        <v>0</v>
      </c>
      <c r="H415" s="19">
        <f ca="1">OFFSET('1课程考核方式及成绩组成'!$AD$10,(ROW(H415)-5)/7,MOD((ROW(H415)-5),7))</f>
        <v>0</v>
      </c>
      <c r="I415" s="19">
        <f ca="1">OFFSET('1课程考核方式及成绩组成'!$AL$10,(ROW(I415)-5)/7,MOD((ROW(I415)-5),7))</f>
        <v>0</v>
      </c>
      <c r="J415" s="25">
        <f ca="1">IF('0信息维护'!$I$109=0,0,E415/('0信息维护'!$I$109)*'0信息维护'!$E$39*'0信息维护'!$S$29)+IF('0信息维护'!$I$110=0,0,F415/('0信息维护'!$I$110)*'0信息维护'!$E$39*'0信息维护'!$T$29)+IF('0信息维护'!$I$111=0,0,G415/('0信息维护'!$I$111)*'0信息维护'!$E$39*'0信息维护'!$U$29)+IF('0信息维护'!$I$112=0,0,H415/('0信息维护'!$I$112)*'0信息维护'!$E$39*'0信息维护'!$V$29)+IF('0信息维护'!$I$113=0,0,I415/'0信息维护'!$I$113*'0信息维护'!$I$39)</f>
        <v>0</v>
      </c>
      <c r="K415" s="27"/>
    </row>
    <row r="416" spans="1:11">
      <c r="A416" s="20"/>
      <c r="B416" s="20"/>
      <c r="C416" s="20"/>
      <c r="D416" s="18" t="str">
        <f>'0信息维护'!A$30</f>
        <v>课程目标6</v>
      </c>
      <c r="E416" s="19">
        <f ca="1">OFFSET('1课程考核方式及成绩组成'!$F$10,(ROW(E416)-5)/7,MOD((ROW(E416)-5),7))</f>
        <v>0</v>
      </c>
      <c r="F416" s="19">
        <f ca="1">OFFSET('1课程考核方式及成绩组成'!$N$10,(ROW(F416)-5)/7,MOD((ROW(F416)-5),7))</f>
        <v>0</v>
      </c>
      <c r="G416" s="19">
        <f ca="1">OFFSET('1课程考核方式及成绩组成'!$V$10,(ROW(G416)-5)/7,MOD((ROW(G416)-5),7))</f>
        <v>0</v>
      </c>
      <c r="H416" s="19">
        <f ca="1">OFFSET('1课程考核方式及成绩组成'!$AD$10,(ROW(H416)-5)/7,MOD((ROW(H416)-5),7))</f>
        <v>0</v>
      </c>
      <c r="I416" s="19">
        <f ca="1">OFFSET('1课程考核方式及成绩组成'!$AL$10,(ROW(I416)-5)/7,MOD((ROW(I416)-5),7))</f>
        <v>0</v>
      </c>
      <c r="J416" s="25">
        <f ca="1">IF('0信息维护'!$I$115=0,0,E416/('0信息维护'!$I$115)*'0信息维护'!$E$40*'0信息维护'!$S$30)+IF('0信息维护'!$I$116=0,0,F416/('0信息维护'!$I$116)*'0信息维护'!$E$40*'0信息维护'!$T$30)+IF('0信息维护'!$I$117=0,0,G416/('0信息维护'!$I$117)*'0信息维护'!$E$40*'0信息维护'!$U$30)+IF('0信息维护'!$I$118=0,0,H416/('0信息维护'!$I$118)*'0信息维护'!$E$40*'0信息维护'!$V$30)+IF('0信息维护'!$I$119=0,0,I416/'0信息维护'!$I$119*'0信息维护'!$I$40)</f>
        <v>0</v>
      </c>
      <c r="K416" s="27"/>
    </row>
    <row r="417" spans="1:11">
      <c r="A417" s="21"/>
      <c r="B417" s="21"/>
      <c r="C417" s="21"/>
      <c r="D417" s="18" t="str">
        <f>'0信息维护'!A$31</f>
        <v>课程目标7</v>
      </c>
      <c r="E417" s="19">
        <f ca="1">OFFSET('1课程考核方式及成绩组成'!$F$10,(ROW(E417)-5)/7,MOD((ROW(E417)-5),7))</f>
        <v>0</v>
      </c>
      <c r="F417" s="19">
        <f ca="1">OFFSET('1课程考核方式及成绩组成'!$N$10,(ROW(F417)-5)/7,MOD((ROW(F417)-5),7))</f>
        <v>0</v>
      </c>
      <c r="G417" s="19">
        <f ca="1">OFFSET('1课程考核方式及成绩组成'!$V$10,(ROW(G417)-5)/7,MOD((ROW(G417)-5),7))</f>
        <v>0</v>
      </c>
      <c r="H417" s="19">
        <f ca="1">OFFSET('1课程考核方式及成绩组成'!$AD$10,(ROW(H417)-5)/7,MOD((ROW(H417)-5),7))</f>
        <v>0</v>
      </c>
      <c r="I417" s="19">
        <f ca="1">OFFSET('1课程考核方式及成绩组成'!$AL$10,(ROW(I417)-5)/7,MOD((ROW(I417)-5),7))</f>
        <v>0</v>
      </c>
      <c r="J417" s="25">
        <f ca="1">IF('0信息维护'!$I$121=0,0,E417/('0信息维护'!$I$121)*'0信息维护'!$E$41*'0信息维护'!$S$31)+IF('0信息维护'!$I$122=0,0,F417/('0信息维护'!$I$122)*'0信息维护'!$E$41*'0信息维护'!$T$31)+IF('0信息维护'!$I$123=0,0,G417/('0信息维护'!$I$123)*'0信息维护'!$E$41*'0信息维护'!$U$31)+IF('0信息维护'!$I$124=0,0,H417/('0信息维护'!$I$124)*'0信息维护'!$E$41*'0信息维护'!$T$31)+IF('0信息维护'!$I$125=0,0,I417/'0信息维护'!$I$125*'0信息维护'!$I$41)</f>
        <v>0</v>
      </c>
      <c r="K417" s="30"/>
    </row>
    <row r="418" spans="1:11">
      <c r="A418" s="17">
        <v>60</v>
      </c>
      <c r="B418" s="17" t="str">
        <f ca="1">OFFSET('1课程考核方式及成绩组成'!$D$10,(ROW(B418)-5)/7,)</f>
        <v>190302024</v>
      </c>
      <c r="C418" s="17" t="str">
        <f ca="1">OFFSET('1课程考核方式及成绩组成'!$E$10,(ROW(C418)-5)/7,)</f>
        <v>刘新</v>
      </c>
      <c r="D418" s="18" t="str">
        <f>'0信息维护'!A$25</f>
        <v>课程目标1</v>
      </c>
      <c r="E418" s="19">
        <f ca="1">OFFSET('1课程考核方式及成绩组成'!$F$10,(ROW(E418)-5)/7,MOD((ROW(E418)-5),7))</f>
        <v>40</v>
      </c>
      <c r="F418" s="19">
        <f ca="1">OFFSET('1课程考核方式及成绩组成'!$N$10,(ROW(F418)-5)/7,MOD((ROW(F418)-5),7))</f>
        <v>0</v>
      </c>
      <c r="G418" s="19">
        <f ca="1">OFFSET('1课程考核方式及成绩组成'!$V$10,(ROW(G418)-5)/7,MOD((ROW(G418)-5),7))</f>
        <v>0</v>
      </c>
      <c r="H418" s="19">
        <f ca="1">OFFSET('1课程考核方式及成绩组成'!$AD$10,(ROW(H418)-5)/7,MOD((ROW(H418)-5),7))</f>
        <v>0</v>
      </c>
      <c r="I418" s="19">
        <f ca="1">OFFSET('1课程考核方式及成绩组成'!$AL$10,(ROW(I418)-5)/7,MOD((ROW(I418)-5),7))</f>
        <v>28</v>
      </c>
      <c r="J418" s="25">
        <f ca="1">IF('0信息维护'!$I$85=0,0,E418/('0信息维护'!$I$85)*'0信息维护'!$E$35*'0信息维护'!$S$25)+IF('0信息维护'!$I$86=0,0,F418/('0信息维护'!$I$86)*'0信息维护'!$E$35*'0信息维护'!$T$25)+IF('0信息维护'!$I$87=0,0,G418/('0信息维护'!$I$87)*'0信息维护'!$E$35*'0信息维护'!$U$25)+IF('0信息维护'!$I$88=0,0,H418/('0信息维护'!$I$88)*'0信息维护'!$E$35*'0信息维护'!$V$25)+IF('0信息维护'!$I$89=0,0,I418/'0信息维护'!$I$89*'0信息维护'!$I$35)</f>
        <v>0.888888888888889</v>
      </c>
      <c r="K418" s="26">
        <f ca="1">J418*'0信息维护'!$D$132+J419*'0信息维护'!$D$133+J420*'0信息维护'!$D$134+J421*'0信息维护'!$D$135+J422*'0信息维护'!$D$136+J423*'0信息维护'!$D$137+J424*'0信息维护'!$D$138</f>
        <v>0.796686274509804</v>
      </c>
    </row>
    <row r="419" spans="1:14">
      <c r="A419" s="20"/>
      <c r="B419" s="20"/>
      <c r="C419" s="20"/>
      <c r="D419" s="18" t="str">
        <f>'0信息维护'!A$26</f>
        <v>课程目标2</v>
      </c>
      <c r="E419" s="19">
        <f ca="1">OFFSET('1课程考核方式及成绩组成'!$F$10,(ROW(E419)-5)/7,MOD((ROW(E419)-5),7))</f>
        <v>60</v>
      </c>
      <c r="F419" s="19">
        <f ca="1">OFFSET('1课程考核方式及成绩组成'!$N$10,(ROW(F419)-5)/7,MOD((ROW(F419)-5),7))</f>
        <v>0</v>
      </c>
      <c r="G419" s="19">
        <f ca="1">OFFSET('1课程考核方式及成绩组成'!$V$10,(ROW(G419)-5)/7,MOD((ROW(G419)-5),7))</f>
        <v>0</v>
      </c>
      <c r="H419" s="19">
        <f ca="1">OFFSET('1课程考核方式及成绩组成'!$AD$10,(ROW(H419)-5)/7,MOD((ROW(H419)-5),7))</f>
        <v>0</v>
      </c>
      <c r="I419" s="19">
        <f ca="1">OFFSET('1课程考核方式及成绩组成'!$AL$10,(ROW(I419)-5)/7,MOD((ROW(I419)-5),7))</f>
        <v>24</v>
      </c>
      <c r="J419" s="25">
        <f ca="1">IF('0信息维护'!$I$91=0,0,E419/('0信息维护'!$I$91)*'0信息维护'!$S$26*'0信息维护'!$E$36)+IF('0信息维护'!$I$92=0,0,F419/('0信息维护'!$I$92)*'0信息维护'!$T$26*'0信息维护'!$E$36)+IF('0信息维护'!$I$93=0,0,G419/('0信息维护'!$I$93)*'0信息维护'!$U$26*'0信息维护'!$E$36)+IF('0信息维护'!$I$94=0,0,H419/('0信息维护'!$I$94)*'0信息维护'!$V$26*'0信息维护'!$E$36)+IF('0信息维护'!$I$95=0,0,I419/'0信息维护'!$I$95*'0信息维护'!$I$36)</f>
        <v>0.9</v>
      </c>
      <c r="K419" s="27"/>
      <c r="N419" s="29"/>
    </row>
    <row r="420" spans="1:11">
      <c r="A420" s="20"/>
      <c r="B420" s="20"/>
      <c r="C420" s="20"/>
      <c r="D420" s="18" t="str">
        <f>'0信息维护'!A$27</f>
        <v>课程目标3</v>
      </c>
      <c r="E420" s="19">
        <f ca="1">OFFSET('1课程考核方式及成绩组成'!$F$10,(ROW(E420)-5)/7,MOD((ROW(E420)-5),7))</f>
        <v>0</v>
      </c>
      <c r="F420" s="19">
        <f ca="1">OFFSET('1课程考核方式及成绩组成'!$N$10,(ROW(F420)-5)/7,MOD((ROW(F420)-5),7))</f>
        <v>0</v>
      </c>
      <c r="G420" s="19">
        <f ca="1">OFFSET('1课程考核方式及成绩组成'!$V$10,(ROW(G420)-5)/7,MOD((ROW(G420)-5),7))</f>
        <v>0</v>
      </c>
      <c r="H420" s="19">
        <f ca="1">OFFSET('1课程考核方式及成绩组成'!$AD$10,(ROW(H420)-5)/7,MOD((ROW(H420)-5),7))</f>
        <v>0</v>
      </c>
      <c r="I420" s="19">
        <f ca="1">OFFSET('1课程考核方式及成绩组成'!$AL$10,(ROW(I420)-5)/7,MOD((ROW(I420)-5),7))</f>
        <v>18</v>
      </c>
      <c r="J420" s="25">
        <f ca="1">IF('0信息维护'!$I$97=0,0,E420/('0信息维护'!$I$97)*'0信息维护'!$E$37*'0信息维护'!$S$27)+IF('0信息维护'!$I$98=0,0,F420/('0信息维护'!$I$98)*'0信息维护'!$E$37*'0信息维护'!$T$27)+IF('0信息维护'!$I$99=0,0,G420/('0信息维护'!$I$99)*'0信息维护'!$E$37*'0信息维护'!$U$27)+IF('0信息维护'!$I$100=0,0,H420/('0信息维护'!$I$100)*'0信息维护'!$E$37*'0信息维护'!$V$27)+IF('0信息维护'!$I$101=0,0,I420/'0信息维护'!$I$101*'0信息维护'!$I$37)</f>
        <v>0.529411764705882</v>
      </c>
      <c r="K420" s="27"/>
    </row>
    <row r="421" spans="1:11">
      <c r="A421" s="20"/>
      <c r="B421" s="20"/>
      <c r="C421" s="20"/>
      <c r="D421" s="18" t="str">
        <f>'0信息维护'!A$28</f>
        <v>课程目标4</v>
      </c>
      <c r="E421" s="19">
        <f ca="1">OFFSET('1课程考核方式及成绩组成'!$F$10,(ROW(E421)-5)/7,MOD((ROW(E421)-5),7))</f>
        <v>0</v>
      </c>
      <c r="F421" s="19">
        <f ca="1">OFFSET('1课程考核方式及成绩组成'!$N$10,(ROW(F421)-5)/7,MOD((ROW(F421)-5),7))</f>
        <v>87</v>
      </c>
      <c r="G421" s="19">
        <f ca="1">OFFSET('1课程考核方式及成绩组成'!$V$10,(ROW(G421)-5)/7,MOD((ROW(G421)-5),7))</f>
        <v>0</v>
      </c>
      <c r="H421" s="19">
        <f ca="1">OFFSET('1课程考核方式及成绩组成'!$AD$10,(ROW(H421)-5)/7,MOD((ROW(H421)-5),7))</f>
        <v>0</v>
      </c>
      <c r="I421" s="19">
        <f ca="1">OFFSET('1课程考核方式及成绩组成'!$AL$10,(ROW(I421)-5)/7,MOD((ROW(I421)-5),7))</f>
        <v>0</v>
      </c>
      <c r="J421" s="25">
        <f ca="1">IF('0信息维护'!$I$103=0,0,E421/('0信息维护'!$I$103)*'0信息维护'!$E$38*'0信息维护'!$S$28)+IF('0信息维护'!$I$104=0,0,F421/('0信息维护'!$I$104)*'0信息维护'!$E$38*'0信息维护'!$T$28)+IF('0信息维护'!$I$105=0,0,G421/('0信息维护'!$I$105)*'0信息维护'!$E$38*'0信息维护'!$U$28)+IF('0信息维护'!$I$106=0,0,H421/('0信息维护'!$I$106)*'0信息维护'!$E$38*'0信息维护'!$V$28)+IF('0信息维护'!$I$107=0,0,I421/'0信息维护'!$I$107*'0信息维护'!$I$38)</f>
        <v>0.87</v>
      </c>
      <c r="K421" s="27"/>
    </row>
    <row r="422" spans="1:11">
      <c r="A422" s="20"/>
      <c r="B422" s="20"/>
      <c r="C422" s="20"/>
      <c r="D422" s="18" t="str">
        <f>'0信息维护'!A$29</f>
        <v>课程目标5</v>
      </c>
      <c r="E422" s="19">
        <f ca="1">OFFSET('1课程考核方式及成绩组成'!$F$10,(ROW(E422)-5)/7,MOD((ROW(E422)-5),7))</f>
        <v>0</v>
      </c>
      <c r="F422" s="19">
        <f ca="1">OFFSET('1课程考核方式及成绩组成'!$N$10,(ROW(F422)-5)/7,MOD((ROW(F422)-5),7))</f>
        <v>0</v>
      </c>
      <c r="G422" s="19">
        <f ca="1">OFFSET('1课程考核方式及成绩组成'!$V$10,(ROW(G422)-5)/7,MOD((ROW(G422)-5),7))</f>
        <v>0</v>
      </c>
      <c r="H422" s="19">
        <f ca="1">OFFSET('1课程考核方式及成绩组成'!$AD$10,(ROW(H422)-5)/7,MOD((ROW(H422)-5),7))</f>
        <v>0</v>
      </c>
      <c r="I422" s="19">
        <f ca="1">OFFSET('1课程考核方式及成绩组成'!$AL$10,(ROW(I422)-5)/7,MOD((ROW(I422)-5),7))</f>
        <v>0</v>
      </c>
      <c r="J422" s="25">
        <f ca="1">IF('0信息维护'!$I$109=0,0,E422/('0信息维护'!$I$109)*'0信息维护'!$E$39*'0信息维护'!$S$29)+IF('0信息维护'!$I$110=0,0,F422/('0信息维护'!$I$110)*'0信息维护'!$E$39*'0信息维护'!$T$29)+IF('0信息维护'!$I$111=0,0,G422/('0信息维护'!$I$111)*'0信息维护'!$E$39*'0信息维护'!$U$29)+IF('0信息维护'!$I$112=0,0,H422/('0信息维护'!$I$112)*'0信息维护'!$E$39*'0信息维护'!$V$29)+IF('0信息维护'!$I$113=0,0,I422/'0信息维护'!$I$113*'0信息维护'!$I$39)</f>
        <v>0</v>
      </c>
      <c r="K422" s="27"/>
    </row>
    <row r="423" spans="1:11">
      <c r="A423" s="20"/>
      <c r="B423" s="20"/>
      <c r="C423" s="20"/>
      <c r="D423" s="18" t="str">
        <f>'0信息维护'!A$30</f>
        <v>课程目标6</v>
      </c>
      <c r="E423" s="19">
        <f ca="1">OFFSET('1课程考核方式及成绩组成'!$F$10,(ROW(E423)-5)/7,MOD((ROW(E423)-5),7))</f>
        <v>0</v>
      </c>
      <c r="F423" s="19">
        <f ca="1">OFFSET('1课程考核方式及成绩组成'!$N$10,(ROW(F423)-5)/7,MOD((ROW(F423)-5),7))</f>
        <v>0</v>
      </c>
      <c r="G423" s="19">
        <f ca="1">OFFSET('1课程考核方式及成绩组成'!$V$10,(ROW(G423)-5)/7,MOD((ROW(G423)-5),7))</f>
        <v>0</v>
      </c>
      <c r="H423" s="19">
        <f ca="1">OFFSET('1课程考核方式及成绩组成'!$AD$10,(ROW(H423)-5)/7,MOD((ROW(H423)-5),7))</f>
        <v>0</v>
      </c>
      <c r="I423" s="19">
        <f ca="1">OFFSET('1课程考核方式及成绩组成'!$AL$10,(ROW(I423)-5)/7,MOD((ROW(I423)-5),7))</f>
        <v>0</v>
      </c>
      <c r="J423" s="25">
        <f ca="1">IF('0信息维护'!$I$115=0,0,E423/('0信息维护'!$I$115)*'0信息维护'!$E$40*'0信息维护'!$S$30)+IF('0信息维护'!$I$116=0,0,F423/('0信息维护'!$I$116)*'0信息维护'!$E$40*'0信息维护'!$T$30)+IF('0信息维护'!$I$117=0,0,G423/('0信息维护'!$I$117)*'0信息维护'!$E$40*'0信息维护'!$U$30)+IF('0信息维护'!$I$118=0,0,H423/('0信息维护'!$I$118)*'0信息维护'!$E$40*'0信息维护'!$V$30)+IF('0信息维护'!$I$119=0,0,I423/'0信息维护'!$I$119*'0信息维护'!$I$40)</f>
        <v>0</v>
      </c>
      <c r="K423" s="27"/>
    </row>
    <row r="424" spans="1:11">
      <c r="A424" s="21"/>
      <c r="B424" s="21"/>
      <c r="C424" s="21"/>
      <c r="D424" s="18" t="str">
        <f>'0信息维护'!A$31</f>
        <v>课程目标7</v>
      </c>
      <c r="E424" s="19">
        <f ca="1">OFFSET('1课程考核方式及成绩组成'!$F$10,(ROW(E424)-5)/7,MOD((ROW(E424)-5),7))</f>
        <v>0</v>
      </c>
      <c r="F424" s="19">
        <f ca="1">OFFSET('1课程考核方式及成绩组成'!$N$10,(ROW(F424)-5)/7,MOD((ROW(F424)-5),7))</f>
        <v>0</v>
      </c>
      <c r="G424" s="19">
        <f ca="1">OFFSET('1课程考核方式及成绩组成'!$V$10,(ROW(G424)-5)/7,MOD((ROW(G424)-5),7))</f>
        <v>0</v>
      </c>
      <c r="H424" s="19">
        <f ca="1">OFFSET('1课程考核方式及成绩组成'!$AD$10,(ROW(H424)-5)/7,MOD((ROW(H424)-5),7))</f>
        <v>0</v>
      </c>
      <c r="I424" s="19">
        <f ca="1">OFFSET('1课程考核方式及成绩组成'!$AL$10,(ROW(I424)-5)/7,MOD((ROW(I424)-5),7))</f>
        <v>0</v>
      </c>
      <c r="J424" s="25">
        <f ca="1">IF('0信息维护'!$I$121=0,0,E424/('0信息维护'!$I$121)*'0信息维护'!$E$41*'0信息维护'!$S$31)+IF('0信息维护'!$I$122=0,0,F424/('0信息维护'!$I$122)*'0信息维护'!$E$41*'0信息维护'!$T$31)+IF('0信息维护'!$I$123=0,0,G424/('0信息维护'!$I$123)*'0信息维护'!$E$41*'0信息维护'!$U$31)+IF('0信息维护'!$I$124=0,0,H424/('0信息维护'!$I$124)*'0信息维护'!$E$41*'0信息维护'!$T$31)+IF('0信息维护'!$I$125=0,0,I424/'0信息维护'!$I$125*'0信息维护'!$I$41)</f>
        <v>0</v>
      </c>
      <c r="K424" s="30"/>
    </row>
    <row r="425" spans="1:11">
      <c r="A425" s="17">
        <v>61</v>
      </c>
      <c r="B425" s="17" t="str">
        <f ca="1">OFFSET('1课程考核方式及成绩组成'!$D$10,(ROW(B425)-5)/7,)</f>
        <v>190302026</v>
      </c>
      <c r="C425" s="17" t="str">
        <f ca="1">OFFSET('1课程考核方式及成绩组成'!$E$10,(ROW(C425)-5)/7,)</f>
        <v>兰茜</v>
      </c>
      <c r="D425" s="18" t="str">
        <f>'0信息维护'!A$25</f>
        <v>课程目标1</v>
      </c>
      <c r="E425" s="19">
        <f ca="1">OFFSET('1课程考核方式及成绩组成'!$F$10,(ROW(E425)-5)/7,MOD((ROW(E425)-5),7))</f>
        <v>40</v>
      </c>
      <c r="F425" s="19">
        <f ca="1">OFFSET('1课程考核方式及成绩组成'!$N$10,(ROW(F425)-5)/7,MOD((ROW(F425)-5),7))</f>
        <v>0</v>
      </c>
      <c r="G425" s="19">
        <f ca="1">OFFSET('1课程考核方式及成绩组成'!$V$10,(ROW(G425)-5)/7,MOD((ROW(G425)-5),7))</f>
        <v>0</v>
      </c>
      <c r="H425" s="19">
        <f ca="1">OFFSET('1课程考核方式及成绩组成'!$AD$10,(ROW(H425)-5)/7,MOD((ROW(H425)-5),7))</f>
        <v>0</v>
      </c>
      <c r="I425" s="19">
        <f ca="1">OFFSET('1课程考核方式及成绩组成'!$AL$10,(ROW(I425)-5)/7,MOD((ROW(I425)-5),7))</f>
        <v>28</v>
      </c>
      <c r="J425" s="25">
        <f ca="1">IF('0信息维护'!$I$85=0,0,E425/('0信息维护'!$I$85)*'0信息维护'!$E$35*'0信息维护'!$S$25)+IF('0信息维护'!$I$86=0,0,F425/('0信息维护'!$I$86)*'0信息维护'!$E$35*'0信息维护'!$T$25)+IF('0信息维护'!$I$87=0,0,G425/('0信息维护'!$I$87)*'0信息维护'!$E$35*'0信息维护'!$U$25)+IF('0信息维护'!$I$88=0,0,H425/('0信息维护'!$I$88)*'0信息维护'!$E$35*'0信息维护'!$V$25)+IF('0信息维护'!$I$89=0,0,I425/'0信息维护'!$I$89*'0信息维护'!$I$35)</f>
        <v>0.888888888888889</v>
      </c>
      <c r="K425" s="26">
        <f ca="1">J425*'0信息维护'!$D$132+J426*'0信息维护'!$D$133+J427*'0信息维护'!$D$134+J428*'0信息维护'!$D$135+J429*'0信息维护'!$D$136+J430*'0信息维护'!$D$137+J431*'0信息维护'!$D$138</f>
        <v>0.769686274509804</v>
      </c>
    </row>
    <row r="426" spans="1:14">
      <c r="A426" s="20"/>
      <c r="B426" s="20"/>
      <c r="C426" s="20"/>
      <c r="D426" s="18" t="str">
        <f>'0信息维护'!A$26</f>
        <v>课程目标2</v>
      </c>
      <c r="E426" s="19">
        <f ca="1">OFFSET('1课程考核方式及成绩组成'!$F$10,(ROW(E426)-5)/7,MOD((ROW(E426)-5),7))</f>
        <v>60</v>
      </c>
      <c r="F426" s="19">
        <f ca="1">OFFSET('1课程考核方式及成绩组成'!$N$10,(ROW(F426)-5)/7,MOD((ROW(F426)-5),7))</f>
        <v>0</v>
      </c>
      <c r="G426" s="19">
        <f ca="1">OFFSET('1课程考核方式及成绩组成'!$V$10,(ROW(G426)-5)/7,MOD((ROW(G426)-5),7))</f>
        <v>0</v>
      </c>
      <c r="H426" s="19">
        <f ca="1">OFFSET('1课程考核方式及成绩组成'!$AD$10,(ROW(H426)-5)/7,MOD((ROW(H426)-5),7))</f>
        <v>0</v>
      </c>
      <c r="I426" s="19">
        <f ca="1">OFFSET('1课程考核方式及成绩组成'!$AL$10,(ROW(I426)-5)/7,MOD((ROW(I426)-5),7))</f>
        <v>24</v>
      </c>
      <c r="J426" s="25">
        <f ca="1">IF('0信息维护'!$I$91=0,0,E426/('0信息维护'!$I$91)*'0信息维护'!$S$26*'0信息维护'!$E$36)+IF('0信息维护'!$I$92=0,0,F426/('0信息维护'!$I$92)*'0信息维护'!$T$26*'0信息维护'!$E$36)+IF('0信息维护'!$I$93=0,0,G426/('0信息维护'!$I$93)*'0信息维护'!$U$26*'0信息维护'!$E$36)+IF('0信息维护'!$I$94=0,0,H426/('0信息维护'!$I$94)*'0信息维护'!$V$26*'0信息维护'!$E$36)+IF('0信息维护'!$I$95=0,0,I426/'0信息维护'!$I$95*'0信息维护'!$I$36)</f>
        <v>0.9</v>
      </c>
      <c r="K426" s="27"/>
      <c r="N426" s="29"/>
    </row>
    <row r="427" spans="1:11">
      <c r="A427" s="20"/>
      <c r="B427" s="20"/>
      <c r="C427" s="20"/>
      <c r="D427" s="18" t="str">
        <f>'0信息维护'!A$27</f>
        <v>课程目标3</v>
      </c>
      <c r="E427" s="19">
        <f ca="1">OFFSET('1课程考核方式及成绩组成'!$F$10,(ROW(E427)-5)/7,MOD((ROW(E427)-5),7))</f>
        <v>0</v>
      </c>
      <c r="F427" s="19">
        <f ca="1">OFFSET('1课程考核方式及成绩组成'!$N$10,(ROW(F427)-5)/7,MOD((ROW(F427)-5),7))</f>
        <v>0</v>
      </c>
      <c r="G427" s="19">
        <f ca="1">OFFSET('1课程考核方式及成绩组成'!$V$10,(ROW(G427)-5)/7,MOD((ROW(G427)-5),7))</f>
        <v>0</v>
      </c>
      <c r="H427" s="19">
        <f ca="1">OFFSET('1课程考核方式及成绩组成'!$AD$10,(ROW(H427)-5)/7,MOD((ROW(H427)-5),7))</f>
        <v>0</v>
      </c>
      <c r="I427" s="19">
        <f ca="1">OFFSET('1课程考核方式及成绩组成'!$AL$10,(ROW(I427)-5)/7,MOD((ROW(I427)-5),7))</f>
        <v>18</v>
      </c>
      <c r="J427" s="25">
        <f ca="1">IF('0信息维护'!$I$97=0,0,E427/('0信息维护'!$I$97)*'0信息维护'!$E$37*'0信息维护'!$S$27)+IF('0信息维护'!$I$98=0,0,F427/('0信息维护'!$I$98)*'0信息维护'!$E$37*'0信息维护'!$T$27)+IF('0信息维护'!$I$99=0,0,G427/('0信息维护'!$I$99)*'0信息维护'!$E$37*'0信息维护'!$U$27)+IF('0信息维护'!$I$100=0,0,H427/('0信息维护'!$I$100)*'0信息维护'!$E$37*'0信息维护'!$V$27)+IF('0信息维护'!$I$101=0,0,I427/'0信息维护'!$I$101*'0信息维护'!$I$37)</f>
        <v>0.529411764705882</v>
      </c>
      <c r="K427" s="27"/>
    </row>
    <row r="428" spans="1:11">
      <c r="A428" s="20"/>
      <c r="B428" s="20"/>
      <c r="C428" s="20"/>
      <c r="D428" s="18" t="str">
        <f>'0信息维护'!A$28</f>
        <v>课程目标4</v>
      </c>
      <c r="E428" s="19">
        <f ca="1">OFFSET('1课程考核方式及成绩组成'!$F$10,(ROW(E428)-5)/7,MOD((ROW(E428)-5),7))</f>
        <v>0</v>
      </c>
      <c r="F428" s="19">
        <f ca="1">OFFSET('1课程考核方式及成绩组成'!$N$10,(ROW(F428)-5)/7,MOD((ROW(F428)-5),7))</f>
        <v>78</v>
      </c>
      <c r="G428" s="19">
        <f ca="1">OFFSET('1课程考核方式及成绩组成'!$V$10,(ROW(G428)-5)/7,MOD((ROW(G428)-5),7))</f>
        <v>0</v>
      </c>
      <c r="H428" s="19">
        <f ca="1">OFFSET('1课程考核方式及成绩组成'!$AD$10,(ROW(H428)-5)/7,MOD((ROW(H428)-5),7))</f>
        <v>0</v>
      </c>
      <c r="I428" s="19">
        <f ca="1">OFFSET('1课程考核方式及成绩组成'!$AL$10,(ROW(I428)-5)/7,MOD((ROW(I428)-5),7))</f>
        <v>0</v>
      </c>
      <c r="J428" s="25">
        <f ca="1">IF('0信息维护'!$I$103=0,0,E428/('0信息维护'!$I$103)*'0信息维护'!$E$38*'0信息维护'!$S$28)+IF('0信息维护'!$I$104=0,0,F428/('0信息维护'!$I$104)*'0信息维护'!$E$38*'0信息维护'!$T$28)+IF('0信息维护'!$I$105=0,0,G428/('0信息维护'!$I$105)*'0信息维护'!$E$38*'0信息维护'!$U$28)+IF('0信息维护'!$I$106=0,0,H428/('0信息维护'!$I$106)*'0信息维护'!$E$38*'0信息维护'!$V$28)+IF('0信息维护'!$I$107=0,0,I428/'0信息维护'!$I$107*'0信息维护'!$I$38)</f>
        <v>0.78</v>
      </c>
      <c r="K428" s="27"/>
    </row>
    <row r="429" spans="1:11">
      <c r="A429" s="20"/>
      <c r="B429" s="20"/>
      <c r="C429" s="20"/>
      <c r="D429" s="18" t="str">
        <f>'0信息维护'!A$29</f>
        <v>课程目标5</v>
      </c>
      <c r="E429" s="19">
        <f ca="1">OFFSET('1课程考核方式及成绩组成'!$F$10,(ROW(E429)-5)/7,MOD((ROW(E429)-5),7))</f>
        <v>0</v>
      </c>
      <c r="F429" s="19">
        <f ca="1">OFFSET('1课程考核方式及成绩组成'!$N$10,(ROW(F429)-5)/7,MOD((ROW(F429)-5),7))</f>
        <v>0</v>
      </c>
      <c r="G429" s="19">
        <f ca="1">OFFSET('1课程考核方式及成绩组成'!$V$10,(ROW(G429)-5)/7,MOD((ROW(G429)-5),7))</f>
        <v>0</v>
      </c>
      <c r="H429" s="19">
        <f ca="1">OFFSET('1课程考核方式及成绩组成'!$AD$10,(ROW(H429)-5)/7,MOD((ROW(H429)-5),7))</f>
        <v>0</v>
      </c>
      <c r="I429" s="19">
        <f ca="1">OFFSET('1课程考核方式及成绩组成'!$AL$10,(ROW(I429)-5)/7,MOD((ROW(I429)-5),7))</f>
        <v>0</v>
      </c>
      <c r="J429" s="25">
        <f ca="1">IF('0信息维护'!$I$109=0,0,E429/('0信息维护'!$I$109)*'0信息维护'!$E$39*'0信息维护'!$S$29)+IF('0信息维护'!$I$110=0,0,F429/('0信息维护'!$I$110)*'0信息维护'!$E$39*'0信息维护'!$T$29)+IF('0信息维护'!$I$111=0,0,G429/('0信息维护'!$I$111)*'0信息维护'!$E$39*'0信息维护'!$U$29)+IF('0信息维护'!$I$112=0,0,H429/('0信息维护'!$I$112)*'0信息维护'!$E$39*'0信息维护'!$V$29)+IF('0信息维护'!$I$113=0,0,I429/'0信息维护'!$I$113*'0信息维护'!$I$39)</f>
        <v>0</v>
      </c>
      <c r="K429" s="27"/>
    </row>
    <row r="430" spans="1:11">
      <c r="A430" s="20"/>
      <c r="B430" s="20"/>
      <c r="C430" s="20"/>
      <c r="D430" s="18" t="str">
        <f>'0信息维护'!A$30</f>
        <v>课程目标6</v>
      </c>
      <c r="E430" s="19">
        <f ca="1">OFFSET('1课程考核方式及成绩组成'!$F$10,(ROW(E430)-5)/7,MOD((ROW(E430)-5),7))</f>
        <v>0</v>
      </c>
      <c r="F430" s="19">
        <f ca="1">OFFSET('1课程考核方式及成绩组成'!$N$10,(ROW(F430)-5)/7,MOD((ROW(F430)-5),7))</f>
        <v>0</v>
      </c>
      <c r="G430" s="19">
        <f ca="1">OFFSET('1课程考核方式及成绩组成'!$V$10,(ROW(G430)-5)/7,MOD((ROW(G430)-5),7))</f>
        <v>0</v>
      </c>
      <c r="H430" s="19">
        <f ca="1">OFFSET('1课程考核方式及成绩组成'!$AD$10,(ROW(H430)-5)/7,MOD((ROW(H430)-5),7))</f>
        <v>0</v>
      </c>
      <c r="I430" s="19">
        <f ca="1">OFFSET('1课程考核方式及成绩组成'!$AL$10,(ROW(I430)-5)/7,MOD((ROW(I430)-5),7))</f>
        <v>0</v>
      </c>
      <c r="J430" s="25">
        <f ca="1">IF('0信息维护'!$I$115=0,0,E430/('0信息维护'!$I$115)*'0信息维护'!$E$40*'0信息维护'!$S$30)+IF('0信息维护'!$I$116=0,0,F430/('0信息维护'!$I$116)*'0信息维护'!$E$40*'0信息维护'!$T$30)+IF('0信息维护'!$I$117=0,0,G430/('0信息维护'!$I$117)*'0信息维护'!$E$40*'0信息维护'!$U$30)+IF('0信息维护'!$I$118=0,0,H430/('0信息维护'!$I$118)*'0信息维护'!$E$40*'0信息维护'!$V$30)+IF('0信息维护'!$I$119=0,0,I430/'0信息维护'!$I$119*'0信息维护'!$I$40)</f>
        <v>0</v>
      </c>
      <c r="K430" s="27"/>
    </row>
    <row r="431" spans="1:11">
      <c r="A431" s="21"/>
      <c r="B431" s="21"/>
      <c r="C431" s="21"/>
      <c r="D431" s="18" t="str">
        <f>'0信息维护'!A$31</f>
        <v>课程目标7</v>
      </c>
      <c r="E431" s="19">
        <f ca="1">OFFSET('1课程考核方式及成绩组成'!$F$10,(ROW(E431)-5)/7,MOD((ROW(E431)-5),7))</f>
        <v>0</v>
      </c>
      <c r="F431" s="19">
        <f ca="1">OFFSET('1课程考核方式及成绩组成'!$N$10,(ROW(F431)-5)/7,MOD((ROW(F431)-5),7))</f>
        <v>0</v>
      </c>
      <c r="G431" s="19">
        <f ca="1">OFFSET('1课程考核方式及成绩组成'!$V$10,(ROW(G431)-5)/7,MOD((ROW(G431)-5),7))</f>
        <v>0</v>
      </c>
      <c r="H431" s="19">
        <f ca="1">OFFSET('1课程考核方式及成绩组成'!$AD$10,(ROW(H431)-5)/7,MOD((ROW(H431)-5),7))</f>
        <v>0</v>
      </c>
      <c r="I431" s="19">
        <f ca="1">OFFSET('1课程考核方式及成绩组成'!$AL$10,(ROW(I431)-5)/7,MOD((ROW(I431)-5),7))</f>
        <v>0</v>
      </c>
      <c r="J431" s="25">
        <f ca="1">IF('0信息维护'!$I$121=0,0,E431/('0信息维护'!$I$121)*'0信息维护'!$E$41*'0信息维护'!$S$31)+IF('0信息维护'!$I$122=0,0,F431/('0信息维护'!$I$122)*'0信息维护'!$E$41*'0信息维护'!$T$31)+IF('0信息维护'!$I$123=0,0,G431/('0信息维护'!$I$123)*'0信息维护'!$E$41*'0信息维护'!$U$31)+IF('0信息维护'!$I$124=0,0,H431/('0信息维护'!$I$124)*'0信息维护'!$E$41*'0信息维护'!$T$31)+IF('0信息维护'!$I$125=0,0,I431/'0信息维护'!$I$125*'0信息维护'!$I$41)</f>
        <v>0</v>
      </c>
      <c r="K431" s="30"/>
    </row>
    <row r="432" spans="1:11">
      <c r="A432" s="17">
        <v>62</v>
      </c>
      <c r="B432" s="17" t="str">
        <f ca="1">OFFSET('1课程考核方式及成绩组成'!$D$10,(ROW(B432)-5)/7,)</f>
        <v>190302027</v>
      </c>
      <c r="C432" s="17" t="str">
        <f ca="1">OFFSET('1课程考核方式及成绩组成'!$E$10,(ROW(C432)-5)/7,)</f>
        <v>李洪</v>
      </c>
      <c r="D432" s="18" t="str">
        <f>'0信息维护'!A$25</f>
        <v>课程目标1</v>
      </c>
      <c r="E432" s="19">
        <f ca="1">OFFSET('1课程考核方式及成绩组成'!$F$10,(ROW(E432)-5)/7,MOD((ROW(E432)-5),7))</f>
        <v>40</v>
      </c>
      <c r="F432" s="19">
        <f ca="1">OFFSET('1课程考核方式及成绩组成'!$N$10,(ROW(F432)-5)/7,MOD((ROW(F432)-5),7))</f>
        <v>0</v>
      </c>
      <c r="G432" s="19">
        <f ca="1">OFFSET('1课程考核方式及成绩组成'!$V$10,(ROW(G432)-5)/7,MOD((ROW(G432)-5),7))</f>
        <v>0</v>
      </c>
      <c r="H432" s="19">
        <f ca="1">OFFSET('1课程考核方式及成绩组成'!$AD$10,(ROW(H432)-5)/7,MOD((ROW(H432)-5),7))</f>
        <v>0</v>
      </c>
      <c r="I432" s="19">
        <f ca="1">OFFSET('1课程考核方式及成绩组成'!$AL$10,(ROW(I432)-5)/7,MOD((ROW(I432)-5),7))</f>
        <v>34</v>
      </c>
      <c r="J432" s="25">
        <f ca="1">IF('0信息维护'!$I$85=0,0,E432/('0信息维护'!$I$85)*'0信息维护'!$E$35*'0信息维护'!$S$25)+IF('0信息维护'!$I$86=0,0,F432/('0信息维护'!$I$86)*'0信息维护'!$E$35*'0信息维护'!$T$25)+IF('0信息维护'!$I$87=0,0,G432/('0信息维护'!$I$87)*'0信息维护'!$E$35*'0信息维护'!$U$25)+IF('0信息维护'!$I$88=0,0,H432/('0信息维护'!$I$88)*'0信息维护'!$E$35*'0信息维护'!$V$25)+IF('0信息维护'!$I$89=0,0,I432/'0信息维护'!$I$89*'0信息维护'!$I$35)</f>
        <v>0.972222222222222</v>
      </c>
      <c r="K432" s="26">
        <f ca="1">J432*'0信息维护'!$D$132+J433*'0信息维护'!$D$133+J434*'0信息维护'!$D$134+J435*'0信息维护'!$D$135+J436*'0信息维护'!$D$136+J437*'0信息维护'!$D$137+J438*'0信息维护'!$D$138</f>
        <v>0.915127450980392</v>
      </c>
    </row>
    <row r="433" spans="1:14">
      <c r="A433" s="20"/>
      <c r="B433" s="20"/>
      <c r="C433" s="20"/>
      <c r="D433" s="18" t="str">
        <f>'0信息维护'!A$26</f>
        <v>课程目标2</v>
      </c>
      <c r="E433" s="19">
        <f ca="1">OFFSET('1课程考核方式及成绩组成'!$F$10,(ROW(E433)-5)/7,MOD((ROW(E433)-5),7))</f>
        <v>60</v>
      </c>
      <c r="F433" s="19">
        <f ca="1">OFFSET('1课程考核方式及成绩组成'!$N$10,(ROW(F433)-5)/7,MOD((ROW(F433)-5),7))</f>
        <v>0</v>
      </c>
      <c r="G433" s="19">
        <f ca="1">OFFSET('1课程考核方式及成绩组成'!$V$10,(ROW(G433)-5)/7,MOD((ROW(G433)-5),7))</f>
        <v>0</v>
      </c>
      <c r="H433" s="19">
        <f ca="1">OFFSET('1课程考核方式及成绩组成'!$AD$10,(ROW(H433)-5)/7,MOD((ROW(H433)-5),7))</f>
        <v>0</v>
      </c>
      <c r="I433" s="19">
        <f ca="1">OFFSET('1课程考核方式及成绩组成'!$AL$10,(ROW(I433)-5)/7,MOD((ROW(I433)-5),7))</f>
        <v>27</v>
      </c>
      <c r="J433" s="25">
        <f ca="1">IF('0信息维护'!$I$91=0,0,E433/('0信息维护'!$I$91)*'0信息维护'!$S$26*'0信息维护'!$E$36)+IF('0信息维护'!$I$92=0,0,F433/('0信息维护'!$I$92)*'0信息维护'!$T$26*'0信息维护'!$E$36)+IF('0信息维护'!$I$93=0,0,G433/('0信息维护'!$I$93)*'0信息维护'!$U$26*'0信息维护'!$E$36)+IF('0信息维护'!$I$94=0,0,H433/('0信息维护'!$I$94)*'0信息维护'!$V$26*'0信息维护'!$E$36)+IF('0信息维护'!$I$95=0,0,I433/'0信息维护'!$I$95*'0信息维护'!$I$36)</f>
        <v>0.95</v>
      </c>
      <c r="K433" s="27"/>
      <c r="N433" s="29"/>
    </row>
    <row r="434" spans="1:11">
      <c r="A434" s="20"/>
      <c r="B434" s="20"/>
      <c r="C434" s="20"/>
      <c r="D434" s="18" t="str">
        <f>'0信息维护'!A$27</f>
        <v>课程目标3</v>
      </c>
      <c r="E434" s="19">
        <f ca="1">OFFSET('1课程考核方式及成绩组成'!$F$10,(ROW(E434)-5)/7,MOD((ROW(E434)-5),7))</f>
        <v>0</v>
      </c>
      <c r="F434" s="19">
        <f ca="1">OFFSET('1课程考核方式及成绩组成'!$N$10,(ROW(F434)-5)/7,MOD((ROW(F434)-5),7))</f>
        <v>0</v>
      </c>
      <c r="G434" s="19">
        <f ca="1">OFFSET('1课程考核方式及成绩组成'!$V$10,(ROW(G434)-5)/7,MOD((ROW(G434)-5),7))</f>
        <v>0</v>
      </c>
      <c r="H434" s="19">
        <f ca="1">OFFSET('1课程考核方式及成绩组成'!$AD$10,(ROW(H434)-5)/7,MOD((ROW(H434)-5),7))</f>
        <v>0</v>
      </c>
      <c r="I434" s="19">
        <f ca="1">OFFSET('1课程考核方式及成绩组成'!$AL$10,(ROW(I434)-5)/7,MOD((ROW(I434)-5),7))</f>
        <v>32</v>
      </c>
      <c r="J434" s="25">
        <f ca="1">IF('0信息维护'!$I$97=0,0,E434/('0信息维护'!$I$97)*'0信息维护'!$E$37*'0信息维护'!$S$27)+IF('0信息维护'!$I$98=0,0,F434/('0信息维护'!$I$98)*'0信息维护'!$E$37*'0信息维护'!$T$27)+IF('0信息维护'!$I$99=0,0,G434/('0信息维护'!$I$99)*'0信息维护'!$E$37*'0信息维护'!$U$27)+IF('0信息维护'!$I$100=0,0,H434/('0信息维护'!$I$100)*'0信息维护'!$E$37*'0信息维护'!$V$27)+IF('0信息维护'!$I$101=0,0,I434/'0信息维护'!$I$101*'0信息维护'!$I$37)</f>
        <v>0.941176470588235</v>
      </c>
      <c r="K434" s="27"/>
    </row>
    <row r="435" spans="1:11">
      <c r="A435" s="20"/>
      <c r="B435" s="20"/>
      <c r="C435" s="20"/>
      <c r="D435" s="18" t="str">
        <f>'0信息维护'!A$28</f>
        <v>课程目标4</v>
      </c>
      <c r="E435" s="19">
        <f ca="1">OFFSET('1课程考核方式及成绩组成'!$F$10,(ROW(E435)-5)/7,MOD((ROW(E435)-5),7))</f>
        <v>0</v>
      </c>
      <c r="F435" s="19">
        <f ca="1">OFFSET('1课程考核方式及成绩组成'!$N$10,(ROW(F435)-5)/7,MOD((ROW(F435)-5),7))</f>
        <v>83</v>
      </c>
      <c r="G435" s="19">
        <f ca="1">OFFSET('1课程考核方式及成绩组成'!$V$10,(ROW(G435)-5)/7,MOD((ROW(G435)-5),7))</f>
        <v>0</v>
      </c>
      <c r="H435" s="19">
        <f ca="1">OFFSET('1课程考核方式及成绩组成'!$AD$10,(ROW(H435)-5)/7,MOD((ROW(H435)-5),7))</f>
        <v>0</v>
      </c>
      <c r="I435" s="19">
        <f ca="1">OFFSET('1课程考核方式及成绩组成'!$AL$10,(ROW(I435)-5)/7,MOD((ROW(I435)-5),7))</f>
        <v>0</v>
      </c>
      <c r="J435" s="25">
        <f ca="1">IF('0信息维护'!$I$103=0,0,E435/('0信息维护'!$I$103)*'0信息维护'!$E$38*'0信息维护'!$S$28)+IF('0信息维护'!$I$104=0,0,F435/('0信息维护'!$I$104)*'0信息维护'!$E$38*'0信息维护'!$T$28)+IF('0信息维护'!$I$105=0,0,G435/('0信息维护'!$I$105)*'0信息维护'!$E$38*'0信息维护'!$U$28)+IF('0信息维护'!$I$106=0,0,H435/('0信息维护'!$I$106)*'0信息维护'!$E$38*'0信息维护'!$V$28)+IF('0信息维护'!$I$107=0,0,I435/'0信息维护'!$I$107*'0信息维护'!$I$38)</f>
        <v>0.83</v>
      </c>
      <c r="K435" s="27"/>
    </row>
    <row r="436" spans="1:11">
      <c r="A436" s="20"/>
      <c r="B436" s="20"/>
      <c r="C436" s="20"/>
      <c r="D436" s="18" t="str">
        <f>'0信息维护'!A$29</f>
        <v>课程目标5</v>
      </c>
      <c r="E436" s="19">
        <f ca="1">OFFSET('1课程考核方式及成绩组成'!$F$10,(ROW(E436)-5)/7,MOD((ROW(E436)-5),7))</f>
        <v>0</v>
      </c>
      <c r="F436" s="19">
        <f ca="1">OFFSET('1课程考核方式及成绩组成'!$N$10,(ROW(F436)-5)/7,MOD((ROW(F436)-5),7))</f>
        <v>0</v>
      </c>
      <c r="G436" s="19">
        <f ca="1">OFFSET('1课程考核方式及成绩组成'!$V$10,(ROW(G436)-5)/7,MOD((ROW(G436)-5),7))</f>
        <v>0</v>
      </c>
      <c r="H436" s="19">
        <f ca="1">OFFSET('1课程考核方式及成绩组成'!$AD$10,(ROW(H436)-5)/7,MOD((ROW(H436)-5),7))</f>
        <v>0</v>
      </c>
      <c r="I436" s="19">
        <f ca="1">OFFSET('1课程考核方式及成绩组成'!$AL$10,(ROW(I436)-5)/7,MOD((ROW(I436)-5),7))</f>
        <v>0</v>
      </c>
      <c r="J436" s="25">
        <f ca="1">IF('0信息维护'!$I$109=0,0,E436/('0信息维护'!$I$109)*'0信息维护'!$E$39*'0信息维护'!$S$29)+IF('0信息维护'!$I$110=0,0,F436/('0信息维护'!$I$110)*'0信息维护'!$E$39*'0信息维护'!$T$29)+IF('0信息维护'!$I$111=0,0,G436/('0信息维护'!$I$111)*'0信息维护'!$E$39*'0信息维护'!$U$29)+IF('0信息维护'!$I$112=0,0,H436/('0信息维护'!$I$112)*'0信息维护'!$E$39*'0信息维护'!$V$29)+IF('0信息维护'!$I$113=0,0,I436/'0信息维护'!$I$113*'0信息维护'!$I$39)</f>
        <v>0</v>
      </c>
      <c r="K436" s="27"/>
    </row>
    <row r="437" spans="1:11">
      <c r="A437" s="20"/>
      <c r="B437" s="20"/>
      <c r="C437" s="20"/>
      <c r="D437" s="18" t="str">
        <f>'0信息维护'!A$30</f>
        <v>课程目标6</v>
      </c>
      <c r="E437" s="19">
        <f ca="1">OFFSET('1课程考核方式及成绩组成'!$F$10,(ROW(E437)-5)/7,MOD((ROW(E437)-5),7))</f>
        <v>0</v>
      </c>
      <c r="F437" s="19">
        <f ca="1">OFFSET('1课程考核方式及成绩组成'!$N$10,(ROW(F437)-5)/7,MOD((ROW(F437)-5),7))</f>
        <v>0</v>
      </c>
      <c r="G437" s="19">
        <f ca="1">OFFSET('1课程考核方式及成绩组成'!$V$10,(ROW(G437)-5)/7,MOD((ROW(G437)-5),7))</f>
        <v>0</v>
      </c>
      <c r="H437" s="19">
        <f ca="1">OFFSET('1课程考核方式及成绩组成'!$AD$10,(ROW(H437)-5)/7,MOD((ROW(H437)-5),7))</f>
        <v>0</v>
      </c>
      <c r="I437" s="19">
        <f ca="1">OFFSET('1课程考核方式及成绩组成'!$AL$10,(ROW(I437)-5)/7,MOD((ROW(I437)-5),7))</f>
        <v>0</v>
      </c>
      <c r="J437" s="25">
        <f ca="1">IF('0信息维护'!$I$115=0,0,E437/('0信息维护'!$I$115)*'0信息维护'!$E$40*'0信息维护'!$S$30)+IF('0信息维护'!$I$116=0,0,F437/('0信息维护'!$I$116)*'0信息维护'!$E$40*'0信息维护'!$T$30)+IF('0信息维护'!$I$117=0,0,G437/('0信息维护'!$I$117)*'0信息维护'!$E$40*'0信息维护'!$U$30)+IF('0信息维护'!$I$118=0,0,H437/('0信息维护'!$I$118)*'0信息维护'!$E$40*'0信息维护'!$V$30)+IF('0信息维护'!$I$119=0,0,I437/'0信息维护'!$I$119*'0信息维护'!$I$40)</f>
        <v>0</v>
      </c>
      <c r="K437" s="27"/>
    </row>
    <row r="438" spans="1:11">
      <c r="A438" s="21"/>
      <c r="B438" s="21"/>
      <c r="C438" s="21"/>
      <c r="D438" s="18" t="str">
        <f>'0信息维护'!A$31</f>
        <v>课程目标7</v>
      </c>
      <c r="E438" s="19">
        <f ca="1">OFFSET('1课程考核方式及成绩组成'!$F$10,(ROW(E438)-5)/7,MOD((ROW(E438)-5),7))</f>
        <v>0</v>
      </c>
      <c r="F438" s="19">
        <f ca="1">OFFSET('1课程考核方式及成绩组成'!$N$10,(ROW(F438)-5)/7,MOD((ROW(F438)-5),7))</f>
        <v>0</v>
      </c>
      <c r="G438" s="19">
        <f ca="1">OFFSET('1课程考核方式及成绩组成'!$V$10,(ROW(G438)-5)/7,MOD((ROW(G438)-5),7))</f>
        <v>0</v>
      </c>
      <c r="H438" s="19">
        <f ca="1">OFFSET('1课程考核方式及成绩组成'!$AD$10,(ROW(H438)-5)/7,MOD((ROW(H438)-5),7))</f>
        <v>0</v>
      </c>
      <c r="I438" s="19">
        <f ca="1">OFFSET('1课程考核方式及成绩组成'!$AL$10,(ROW(I438)-5)/7,MOD((ROW(I438)-5),7))</f>
        <v>0</v>
      </c>
      <c r="J438" s="25">
        <f ca="1">IF('0信息维护'!$I$121=0,0,E438/('0信息维护'!$I$121)*'0信息维护'!$E$41*'0信息维护'!$S$31)+IF('0信息维护'!$I$122=0,0,F438/('0信息维护'!$I$122)*'0信息维护'!$E$41*'0信息维护'!$T$31)+IF('0信息维护'!$I$123=0,0,G438/('0信息维护'!$I$123)*'0信息维护'!$E$41*'0信息维护'!$U$31)+IF('0信息维护'!$I$124=0,0,H438/('0信息维护'!$I$124)*'0信息维护'!$E$41*'0信息维护'!$T$31)+IF('0信息维护'!$I$125=0,0,I438/'0信息维护'!$I$125*'0信息维护'!$I$41)</f>
        <v>0</v>
      </c>
      <c r="K438" s="30"/>
    </row>
    <row r="439" spans="1:11">
      <c r="A439" s="17">
        <v>63</v>
      </c>
      <c r="B439" s="17" t="str">
        <f ca="1">OFFSET('1课程考核方式及成绩组成'!$D$10,(ROW(B439)-5)/7,)</f>
        <v>190302028</v>
      </c>
      <c r="C439" s="17" t="str">
        <f ca="1">OFFSET('1课程考核方式及成绩组成'!$E$10,(ROW(C439)-5)/7,)</f>
        <v>庞陈杰</v>
      </c>
      <c r="D439" s="18" t="str">
        <f>'0信息维护'!A$25</f>
        <v>课程目标1</v>
      </c>
      <c r="E439" s="19">
        <f ca="1">OFFSET('1课程考核方式及成绩组成'!$F$10,(ROW(E439)-5)/7,MOD((ROW(E439)-5),7))</f>
        <v>35</v>
      </c>
      <c r="F439" s="19">
        <f ca="1">OFFSET('1课程考核方式及成绩组成'!$N$10,(ROW(F439)-5)/7,MOD((ROW(F439)-5),7))</f>
        <v>0</v>
      </c>
      <c r="G439" s="19">
        <f ca="1">OFFSET('1课程考核方式及成绩组成'!$V$10,(ROW(G439)-5)/7,MOD((ROW(G439)-5),7))</f>
        <v>0</v>
      </c>
      <c r="H439" s="19">
        <f ca="1">OFFSET('1课程考核方式及成绩组成'!$AD$10,(ROW(H439)-5)/7,MOD((ROW(H439)-5),7))</f>
        <v>0</v>
      </c>
      <c r="I439" s="19">
        <f ca="1">OFFSET('1课程考核方式及成绩组成'!$AL$10,(ROW(I439)-5)/7,MOD((ROW(I439)-5),7))</f>
        <v>32</v>
      </c>
      <c r="J439" s="25">
        <f ca="1">IF('0信息维护'!$I$85=0,0,E439/('0信息维护'!$I$85)*'0信息维护'!$E$35*'0信息维护'!$S$25)+IF('0信息维护'!$I$86=0,0,F439/('0信息维护'!$I$86)*'0信息维护'!$E$35*'0信息维护'!$T$25)+IF('0信息维护'!$I$87=0,0,G439/('0信息维护'!$I$87)*'0信息维护'!$E$35*'0信息维护'!$U$25)+IF('0信息维护'!$I$88=0,0,H439/('0信息维护'!$I$88)*'0信息维护'!$E$35*'0信息维护'!$V$25)+IF('0信息维护'!$I$89=0,0,I439/'0信息维护'!$I$89*'0信息维护'!$I$35)</f>
        <v>0.881944444444444</v>
      </c>
      <c r="K439" s="26">
        <f ca="1">J439*'0信息维护'!$D$132+J440*'0信息维护'!$D$133+J441*'0信息维护'!$D$134+J442*'0信息维护'!$D$135+J443*'0信息维护'!$D$136+J444*'0信息维护'!$D$137+J445*'0信息维护'!$D$138</f>
        <v>0.755850490196078</v>
      </c>
    </row>
    <row r="440" spans="1:14">
      <c r="A440" s="20"/>
      <c r="B440" s="20"/>
      <c r="C440" s="20"/>
      <c r="D440" s="18" t="str">
        <f>'0信息维护'!A$26</f>
        <v>课程目标2</v>
      </c>
      <c r="E440" s="19">
        <f ca="1">OFFSET('1课程考核方式及成绩组成'!$F$10,(ROW(E440)-5)/7,MOD((ROW(E440)-5),7))</f>
        <v>55</v>
      </c>
      <c r="F440" s="19">
        <f ca="1">OFFSET('1课程考核方式及成绩组成'!$N$10,(ROW(F440)-5)/7,MOD((ROW(F440)-5),7))</f>
        <v>0</v>
      </c>
      <c r="G440" s="19">
        <f ca="1">OFFSET('1课程考核方式及成绩组成'!$V$10,(ROW(G440)-5)/7,MOD((ROW(G440)-5),7))</f>
        <v>0</v>
      </c>
      <c r="H440" s="19">
        <f ca="1">OFFSET('1课程考核方式及成绩组成'!$AD$10,(ROW(H440)-5)/7,MOD((ROW(H440)-5),7))</f>
        <v>0</v>
      </c>
      <c r="I440" s="19">
        <f ca="1">OFFSET('1课程考核方式及成绩组成'!$AL$10,(ROW(I440)-5)/7,MOD((ROW(I440)-5),7))</f>
        <v>18</v>
      </c>
      <c r="J440" s="25">
        <f ca="1">IF('0信息维护'!$I$91=0,0,E440/('0信息维护'!$I$91)*'0信息维护'!$S$26*'0信息维护'!$E$36)+IF('0信息维护'!$I$92=0,0,F440/('0信息维护'!$I$92)*'0信息维护'!$T$26*'0信息维护'!$E$36)+IF('0信息维护'!$I$93=0,0,G440/('0信息维护'!$I$93)*'0信息维护'!$U$26*'0信息维护'!$E$36)+IF('0信息维护'!$I$94=0,0,H440/('0信息维护'!$I$94)*'0信息维护'!$V$26*'0信息维护'!$E$36)+IF('0信息维护'!$I$95=0,0,I440/'0信息维护'!$I$95*'0信息维护'!$I$36)</f>
        <v>0.758333333333333</v>
      </c>
      <c r="K440" s="27"/>
      <c r="N440" s="29"/>
    </row>
    <row r="441" spans="1:11">
      <c r="A441" s="20"/>
      <c r="B441" s="20"/>
      <c r="C441" s="20"/>
      <c r="D441" s="18" t="str">
        <f>'0信息维护'!A$27</f>
        <v>课程目标3</v>
      </c>
      <c r="E441" s="19">
        <f ca="1">OFFSET('1课程考核方式及成绩组成'!$F$10,(ROW(E441)-5)/7,MOD((ROW(E441)-5),7))</f>
        <v>0</v>
      </c>
      <c r="F441" s="19">
        <f ca="1">OFFSET('1课程考核方式及成绩组成'!$N$10,(ROW(F441)-5)/7,MOD((ROW(F441)-5),7))</f>
        <v>0</v>
      </c>
      <c r="G441" s="19">
        <f ca="1">OFFSET('1课程考核方式及成绩组成'!$V$10,(ROW(G441)-5)/7,MOD((ROW(G441)-5),7))</f>
        <v>0</v>
      </c>
      <c r="H441" s="19">
        <f ca="1">OFFSET('1课程考核方式及成绩组成'!$AD$10,(ROW(H441)-5)/7,MOD((ROW(H441)-5),7))</f>
        <v>0</v>
      </c>
      <c r="I441" s="19">
        <f ca="1">OFFSET('1课程考核方式及成绩组成'!$AL$10,(ROW(I441)-5)/7,MOD((ROW(I441)-5),7))</f>
        <v>20</v>
      </c>
      <c r="J441" s="25">
        <f ca="1">IF('0信息维护'!$I$97=0,0,E441/('0信息维护'!$I$97)*'0信息维护'!$E$37*'0信息维护'!$S$27)+IF('0信息维护'!$I$98=0,0,F441/('0信息维护'!$I$98)*'0信息维护'!$E$37*'0信息维护'!$T$27)+IF('0信息维护'!$I$99=0,0,G441/('0信息维护'!$I$99)*'0信息维护'!$E$37*'0信息维护'!$U$27)+IF('0信息维护'!$I$100=0,0,H441/('0信息维护'!$I$100)*'0信息维护'!$E$37*'0信息维护'!$V$27)+IF('0信息维护'!$I$101=0,0,I441/'0信息维护'!$I$101*'0信息维护'!$I$37)</f>
        <v>0.588235294117647</v>
      </c>
      <c r="K441" s="27"/>
    </row>
    <row r="442" spans="1:11">
      <c r="A442" s="20"/>
      <c r="B442" s="20"/>
      <c r="C442" s="20"/>
      <c r="D442" s="18" t="str">
        <f>'0信息维护'!A$28</f>
        <v>课程目标4</v>
      </c>
      <c r="E442" s="19">
        <f ca="1">OFFSET('1课程考核方式及成绩组成'!$F$10,(ROW(E442)-5)/7,MOD((ROW(E442)-5),7))</f>
        <v>0</v>
      </c>
      <c r="F442" s="19">
        <f ca="1">OFFSET('1课程考核方式及成绩组成'!$N$10,(ROW(F442)-5)/7,MOD((ROW(F442)-5),7))</f>
        <v>83</v>
      </c>
      <c r="G442" s="19">
        <f ca="1">OFFSET('1课程考核方式及成绩组成'!$V$10,(ROW(G442)-5)/7,MOD((ROW(G442)-5),7))</f>
        <v>0</v>
      </c>
      <c r="H442" s="19">
        <f ca="1">OFFSET('1课程考核方式及成绩组成'!$AD$10,(ROW(H442)-5)/7,MOD((ROW(H442)-5),7))</f>
        <v>0</v>
      </c>
      <c r="I442" s="19">
        <f ca="1">OFFSET('1课程考核方式及成绩组成'!$AL$10,(ROW(I442)-5)/7,MOD((ROW(I442)-5),7))</f>
        <v>0</v>
      </c>
      <c r="J442" s="25">
        <f ca="1">IF('0信息维护'!$I$103=0,0,E442/('0信息维护'!$I$103)*'0信息维护'!$E$38*'0信息维护'!$S$28)+IF('0信息维护'!$I$104=0,0,F442/('0信息维护'!$I$104)*'0信息维护'!$E$38*'0信息维护'!$T$28)+IF('0信息维护'!$I$105=0,0,G442/('0信息维护'!$I$105)*'0信息维护'!$E$38*'0信息维护'!$U$28)+IF('0信息维护'!$I$106=0,0,H442/('0信息维护'!$I$106)*'0信息维护'!$E$38*'0信息维护'!$V$28)+IF('0信息维护'!$I$107=0,0,I442/'0信息维护'!$I$107*'0信息维护'!$I$38)</f>
        <v>0.83</v>
      </c>
      <c r="K442" s="27"/>
    </row>
    <row r="443" spans="1:11">
      <c r="A443" s="20"/>
      <c r="B443" s="20"/>
      <c r="C443" s="20"/>
      <c r="D443" s="18" t="str">
        <f>'0信息维护'!A$29</f>
        <v>课程目标5</v>
      </c>
      <c r="E443" s="19">
        <f ca="1">OFFSET('1课程考核方式及成绩组成'!$F$10,(ROW(E443)-5)/7,MOD((ROW(E443)-5),7))</f>
        <v>0</v>
      </c>
      <c r="F443" s="19">
        <f ca="1">OFFSET('1课程考核方式及成绩组成'!$N$10,(ROW(F443)-5)/7,MOD((ROW(F443)-5),7))</f>
        <v>0</v>
      </c>
      <c r="G443" s="19">
        <f ca="1">OFFSET('1课程考核方式及成绩组成'!$V$10,(ROW(G443)-5)/7,MOD((ROW(G443)-5),7))</f>
        <v>0</v>
      </c>
      <c r="H443" s="19">
        <f ca="1">OFFSET('1课程考核方式及成绩组成'!$AD$10,(ROW(H443)-5)/7,MOD((ROW(H443)-5),7))</f>
        <v>0</v>
      </c>
      <c r="I443" s="19">
        <f ca="1">OFFSET('1课程考核方式及成绩组成'!$AL$10,(ROW(I443)-5)/7,MOD((ROW(I443)-5),7))</f>
        <v>0</v>
      </c>
      <c r="J443" s="25">
        <f ca="1">IF('0信息维护'!$I$109=0,0,E443/('0信息维护'!$I$109)*'0信息维护'!$E$39*'0信息维护'!$S$29)+IF('0信息维护'!$I$110=0,0,F443/('0信息维护'!$I$110)*'0信息维护'!$E$39*'0信息维护'!$T$29)+IF('0信息维护'!$I$111=0,0,G443/('0信息维护'!$I$111)*'0信息维护'!$E$39*'0信息维护'!$U$29)+IF('0信息维护'!$I$112=0,0,H443/('0信息维护'!$I$112)*'0信息维护'!$E$39*'0信息维护'!$V$29)+IF('0信息维护'!$I$113=0,0,I443/'0信息维护'!$I$113*'0信息维护'!$I$39)</f>
        <v>0</v>
      </c>
      <c r="K443" s="27"/>
    </row>
    <row r="444" spans="1:11">
      <c r="A444" s="20"/>
      <c r="B444" s="20"/>
      <c r="C444" s="20"/>
      <c r="D444" s="18" t="str">
        <f>'0信息维护'!A$30</f>
        <v>课程目标6</v>
      </c>
      <c r="E444" s="19">
        <f ca="1">OFFSET('1课程考核方式及成绩组成'!$F$10,(ROW(E444)-5)/7,MOD((ROW(E444)-5),7))</f>
        <v>0</v>
      </c>
      <c r="F444" s="19">
        <f ca="1">OFFSET('1课程考核方式及成绩组成'!$N$10,(ROW(F444)-5)/7,MOD((ROW(F444)-5),7))</f>
        <v>0</v>
      </c>
      <c r="G444" s="19">
        <f ca="1">OFFSET('1课程考核方式及成绩组成'!$V$10,(ROW(G444)-5)/7,MOD((ROW(G444)-5),7))</f>
        <v>0</v>
      </c>
      <c r="H444" s="19">
        <f ca="1">OFFSET('1课程考核方式及成绩组成'!$AD$10,(ROW(H444)-5)/7,MOD((ROW(H444)-5),7))</f>
        <v>0</v>
      </c>
      <c r="I444" s="19">
        <f ca="1">OFFSET('1课程考核方式及成绩组成'!$AL$10,(ROW(I444)-5)/7,MOD((ROW(I444)-5),7))</f>
        <v>0</v>
      </c>
      <c r="J444" s="25">
        <f ca="1">IF('0信息维护'!$I$115=0,0,E444/('0信息维护'!$I$115)*'0信息维护'!$E$40*'0信息维护'!$S$30)+IF('0信息维护'!$I$116=0,0,F444/('0信息维护'!$I$116)*'0信息维护'!$E$40*'0信息维护'!$T$30)+IF('0信息维护'!$I$117=0,0,G444/('0信息维护'!$I$117)*'0信息维护'!$E$40*'0信息维护'!$U$30)+IF('0信息维护'!$I$118=0,0,H444/('0信息维护'!$I$118)*'0信息维护'!$E$40*'0信息维护'!$V$30)+IF('0信息维护'!$I$119=0,0,I444/'0信息维护'!$I$119*'0信息维护'!$I$40)</f>
        <v>0</v>
      </c>
      <c r="K444" s="27"/>
    </row>
    <row r="445" spans="1:11">
      <c r="A445" s="21"/>
      <c r="B445" s="21"/>
      <c r="C445" s="21"/>
      <c r="D445" s="18" t="str">
        <f>'0信息维护'!A$31</f>
        <v>课程目标7</v>
      </c>
      <c r="E445" s="19">
        <f ca="1">OFFSET('1课程考核方式及成绩组成'!$F$10,(ROW(E445)-5)/7,MOD((ROW(E445)-5),7))</f>
        <v>0</v>
      </c>
      <c r="F445" s="19">
        <f ca="1">OFFSET('1课程考核方式及成绩组成'!$N$10,(ROW(F445)-5)/7,MOD((ROW(F445)-5),7))</f>
        <v>0</v>
      </c>
      <c r="G445" s="19">
        <f ca="1">OFFSET('1课程考核方式及成绩组成'!$V$10,(ROW(G445)-5)/7,MOD((ROW(G445)-5),7))</f>
        <v>0</v>
      </c>
      <c r="H445" s="19">
        <f ca="1">OFFSET('1课程考核方式及成绩组成'!$AD$10,(ROW(H445)-5)/7,MOD((ROW(H445)-5),7))</f>
        <v>0</v>
      </c>
      <c r="I445" s="19">
        <f ca="1">OFFSET('1课程考核方式及成绩组成'!$AL$10,(ROW(I445)-5)/7,MOD((ROW(I445)-5),7))</f>
        <v>0</v>
      </c>
      <c r="J445" s="25">
        <f ca="1">IF('0信息维护'!$I$121=0,0,E445/('0信息维护'!$I$121)*'0信息维护'!$E$41*'0信息维护'!$S$31)+IF('0信息维护'!$I$122=0,0,F445/('0信息维护'!$I$122)*'0信息维护'!$E$41*'0信息维护'!$T$31)+IF('0信息维护'!$I$123=0,0,G445/('0信息维护'!$I$123)*'0信息维护'!$E$41*'0信息维护'!$U$31)+IF('0信息维护'!$I$124=0,0,H445/('0信息维护'!$I$124)*'0信息维护'!$E$41*'0信息维护'!$T$31)+IF('0信息维护'!$I$125=0,0,I445/'0信息维护'!$I$125*'0信息维护'!$I$41)</f>
        <v>0</v>
      </c>
      <c r="K445" s="30"/>
    </row>
    <row r="446" spans="1:11">
      <c r="A446" s="17">
        <v>64</v>
      </c>
      <c r="B446" s="17" t="str">
        <f ca="1">OFFSET('1课程考核方式及成绩组成'!$D$10,(ROW(B446)-5)/7,)</f>
        <v>190302029</v>
      </c>
      <c r="C446" s="17" t="str">
        <f ca="1">OFFSET('1课程考核方式及成绩组成'!$E$10,(ROW(C446)-5)/7,)</f>
        <v>刘畅</v>
      </c>
      <c r="D446" s="18" t="str">
        <f>'0信息维护'!A$25</f>
        <v>课程目标1</v>
      </c>
      <c r="E446" s="19">
        <f ca="1">OFFSET('1课程考核方式及成绩组成'!$F$10,(ROW(E446)-5)/7,MOD((ROW(E446)-5),7))</f>
        <v>35</v>
      </c>
      <c r="F446" s="19">
        <f ca="1">OFFSET('1课程考核方式及成绩组成'!$N$10,(ROW(F446)-5)/7,MOD((ROW(F446)-5),7))</f>
        <v>0</v>
      </c>
      <c r="G446" s="19">
        <f ca="1">OFFSET('1课程考核方式及成绩组成'!$V$10,(ROW(G446)-5)/7,MOD((ROW(G446)-5),7))</f>
        <v>0</v>
      </c>
      <c r="H446" s="19">
        <f ca="1">OFFSET('1课程考核方式及成绩组成'!$AD$10,(ROW(H446)-5)/7,MOD((ROW(H446)-5),7))</f>
        <v>0</v>
      </c>
      <c r="I446" s="19">
        <f ca="1">OFFSET('1课程考核方式及成绩组成'!$AL$10,(ROW(I446)-5)/7,MOD((ROW(I446)-5),7))</f>
        <v>34</v>
      </c>
      <c r="J446" s="25">
        <f ca="1">IF('0信息维护'!$I$85=0,0,E446/('0信息维护'!$I$85)*'0信息维护'!$E$35*'0信息维护'!$S$25)+IF('0信息维护'!$I$86=0,0,F446/('0信息维护'!$I$86)*'0信息维护'!$E$35*'0信息维护'!$T$25)+IF('0信息维护'!$I$87=0,0,G446/('0信息维护'!$I$87)*'0信息维护'!$E$35*'0信息维护'!$U$25)+IF('0信息维护'!$I$88=0,0,H446/('0信息维护'!$I$88)*'0信息维护'!$E$35*'0信息维护'!$V$25)+IF('0信息维护'!$I$89=0,0,I446/'0信息维护'!$I$89*'0信息维护'!$I$35)</f>
        <v>0.909722222222222</v>
      </c>
      <c r="K446" s="26">
        <f ca="1">J446*'0信息维护'!$D$132+J447*'0信息维护'!$D$133+J448*'0信息维护'!$D$134+J449*'0信息维护'!$D$135+J450*'0信息维护'!$D$136+J451*'0信息维护'!$D$137+J452*'0信息维护'!$D$138</f>
        <v>0.738370098039216</v>
      </c>
    </row>
    <row r="447" spans="1:14">
      <c r="A447" s="20"/>
      <c r="B447" s="20"/>
      <c r="C447" s="20"/>
      <c r="D447" s="18" t="str">
        <f>'0信息维护'!A$26</f>
        <v>课程目标2</v>
      </c>
      <c r="E447" s="19">
        <f ca="1">OFFSET('1课程考核方式及成绩组成'!$F$10,(ROW(E447)-5)/7,MOD((ROW(E447)-5),7))</f>
        <v>45</v>
      </c>
      <c r="F447" s="19">
        <f ca="1">OFFSET('1课程考核方式及成绩组成'!$N$10,(ROW(F447)-5)/7,MOD((ROW(F447)-5),7))</f>
        <v>0</v>
      </c>
      <c r="G447" s="19">
        <f ca="1">OFFSET('1课程考核方式及成绩组成'!$V$10,(ROW(G447)-5)/7,MOD((ROW(G447)-5),7))</f>
        <v>0</v>
      </c>
      <c r="H447" s="19">
        <f ca="1">OFFSET('1课程考核方式及成绩组成'!$AD$10,(ROW(H447)-5)/7,MOD((ROW(H447)-5),7))</f>
        <v>0</v>
      </c>
      <c r="I447" s="19">
        <f ca="1">OFFSET('1课程考核方式及成绩组成'!$AL$10,(ROW(I447)-5)/7,MOD((ROW(I447)-5),7))</f>
        <v>22</v>
      </c>
      <c r="J447" s="25">
        <f ca="1">IF('0信息维护'!$I$91=0,0,E447/('0信息维护'!$I$91)*'0信息维护'!$S$26*'0信息维护'!$E$36)+IF('0信息维护'!$I$92=0,0,F447/('0信息维护'!$I$92)*'0信息维护'!$T$26*'0信息维护'!$E$36)+IF('0信息维护'!$I$93=0,0,G447/('0信息维护'!$I$93)*'0信息维护'!$U$26*'0信息维护'!$E$36)+IF('0信息维护'!$I$94=0,0,H447/('0信息维护'!$I$94)*'0信息维护'!$V$26*'0信息维护'!$E$36)+IF('0信息维护'!$I$95=0,0,I447/'0信息维护'!$I$95*'0信息维护'!$I$36)</f>
        <v>0.741666666666667</v>
      </c>
      <c r="K447" s="27"/>
      <c r="N447" s="29"/>
    </row>
    <row r="448" spans="1:11">
      <c r="A448" s="20"/>
      <c r="B448" s="20"/>
      <c r="C448" s="20"/>
      <c r="D448" s="18" t="str">
        <f>'0信息维护'!A$27</f>
        <v>课程目标3</v>
      </c>
      <c r="E448" s="19">
        <f ca="1">OFFSET('1课程考核方式及成绩组成'!$F$10,(ROW(E448)-5)/7,MOD((ROW(E448)-5),7))</f>
        <v>0</v>
      </c>
      <c r="F448" s="19">
        <f ca="1">OFFSET('1课程考核方式及成绩组成'!$N$10,(ROW(F448)-5)/7,MOD((ROW(F448)-5),7))</f>
        <v>0</v>
      </c>
      <c r="G448" s="19">
        <f ca="1">OFFSET('1课程考核方式及成绩组成'!$V$10,(ROW(G448)-5)/7,MOD((ROW(G448)-5),7))</f>
        <v>0</v>
      </c>
      <c r="H448" s="19">
        <f ca="1">OFFSET('1课程考核方式及成绩组成'!$AD$10,(ROW(H448)-5)/7,MOD((ROW(H448)-5),7))</f>
        <v>0</v>
      </c>
      <c r="I448" s="19">
        <f ca="1">OFFSET('1课程考核方式及成绩组成'!$AL$10,(ROW(I448)-5)/7,MOD((ROW(I448)-5),7))</f>
        <v>21</v>
      </c>
      <c r="J448" s="25">
        <f ca="1">IF('0信息维护'!$I$97=0,0,E448/('0信息维护'!$I$97)*'0信息维护'!$E$37*'0信息维护'!$S$27)+IF('0信息维护'!$I$98=0,0,F448/('0信息维护'!$I$98)*'0信息维护'!$E$37*'0信息维护'!$T$27)+IF('0信息维护'!$I$99=0,0,G448/('0信息维护'!$I$99)*'0信息维护'!$E$37*'0信息维护'!$U$27)+IF('0信息维护'!$I$100=0,0,H448/('0信息维护'!$I$100)*'0信息维护'!$E$37*'0信息维护'!$V$27)+IF('0信息维护'!$I$101=0,0,I448/'0信息维护'!$I$101*'0信息维护'!$I$37)</f>
        <v>0.617647058823529</v>
      </c>
      <c r="K448" s="27"/>
    </row>
    <row r="449" spans="1:11">
      <c r="A449" s="20"/>
      <c r="B449" s="20"/>
      <c r="C449" s="20"/>
      <c r="D449" s="18" t="str">
        <f>'0信息维护'!A$28</f>
        <v>课程目标4</v>
      </c>
      <c r="E449" s="19">
        <f ca="1">OFFSET('1课程考核方式及成绩组成'!$F$10,(ROW(E449)-5)/7,MOD((ROW(E449)-5),7))</f>
        <v>0</v>
      </c>
      <c r="F449" s="19">
        <f ca="1">OFFSET('1课程考核方式及成绩组成'!$N$10,(ROW(F449)-5)/7,MOD((ROW(F449)-5),7))</f>
        <v>75</v>
      </c>
      <c r="G449" s="19">
        <f ca="1">OFFSET('1课程考核方式及成绩组成'!$V$10,(ROW(G449)-5)/7,MOD((ROW(G449)-5),7))</f>
        <v>0</v>
      </c>
      <c r="H449" s="19">
        <f ca="1">OFFSET('1课程考核方式及成绩组成'!$AD$10,(ROW(H449)-5)/7,MOD((ROW(H449)-5),7))</f>
        <v>0</v>
      </c>
      <c r="I449" s="19">
        <f ca="1">OFFSET('1课程考核方式及成绩组成'!$AL$10,(ROW(I449)-5)/7,MOD((ROW(I449)-5),7))</f>
        <v>0</v>
      </c>
      <c r="J449" s="25">
        <f ca="1">IF('0信息维护'!$I$103=0,0,E449/('0信息维护'!$I$103)*'0信息维护'!$E$38*'0信息维护'!$S$28)+IF('0信息维护'!$I$104=0,0,F449/('0信息维护'!$I$104)*'0信息维护'!$E$38*'0信息维护'!$T$28)+IF('0信息维护'!$I$105=0,0,G449/('0信息维护'!$I$105)*'0信息维护'!$E$38*'0信息维护'!$U$28)+IF('0信息维护'!$I$106=0,0,H449/('0信息维护'!$I$106)*'0信息维护'!$E$38*'0信息维护'!$V$28)+IF('0信息维护'!$I$107=0,0,I449/'0信息维护'!$I$107*'0信息维护'!$I$38)</f>
        <v>0.75</v>
      </c>
      <c r="K449" s="27"/>
    </row>
    <row r="450" spans="1:11">
      <c r="A450" s="20"/>
      <c r="B450" s="20"/>
      <c r="C450" s="20"/>
      <c r="D450" s="18" t="str">
        <f>'0信息维护'!A$29</f>
        <v>课程目标5</v>
      </c>
      <c r="E450" s="19">
        <f ca="1">OFFSET('1课程考核方式及成绩组成'!$F$10,(ROW(E450)-5)/7,MOD((ROW(E450)-5),7))</f>
        <v>0</v>
      </c>
      <c r="F450" s="19">
        <f ca="1">OFFSET('1课程考核方式及成绩组成'!$N$10,(ROW(F450)-5)/7,MOD((ROW(F450)-5),7))</f>
        <v>0</v>
      </c>
      <c r="G450" s="19">
        <f ca="1">OFFSET('1课程考核方式及成绩组成'!$V$10,(ROW(G450)-5)/7,MOD((ROW(G450)-5),7))</f>
        <v>0</v>
      </c>
      <c r="H450" s="19">
        <f ca="1">OFFSET('1课程考核方式及成绩组成'!$AD$10,(ROW(H450)-5)/7,MOD((ROW(H450)-5),7))</f>
        <v>0</v>
      </c>
      <c r="I450" s="19">
        <f ca="1">OFFSET('1课程考核方式及成绩组成'!$AL$10,(ROW(I450)-5)/7,MOD((ROW(I450)-5),7))</f>
        <v>0</v>
      </c>
      <c r="J450" s="25">
        <f ca="1">IF('0信息维护'!$I$109=0,0,E450/('0信息维护'!$I$109)*'0信息维护'!$E$39*'0信息维护'!$S$29)+IF('0信息维护'!$I$110=0,0,F450/('0信息维护'!$I$110)*'0信息维护'!$E$39*'0信息维护'!$T$29)+IF('0信息维护'!$I$111=0,0,G450/('0信息维护'!$I$111)*'0信息维护'!$E$39*'0信息维护'!$U$29)+IF('0信息维护'!$I$112=0,0,H450/('0信息维护'!$I$112)*'0信息维护'!$E$39*'0信息维护'!$V$29)+IF('0信息维护'!$I$113=0,0,I450/'0信息维护'!$I$113*'0信息维护'!$I$39)</f>
        <v>0</v>
      </c>
      <c r="K450" s="27"/>
    </row>
    <row r="451" spans="1:11">
      <c r="A451" s="20"/>
      <c r="B451" s="20"/>
      <c r="C451" s="20"/>
      <c r="D451" s="18" t="str">
        <f>'0信息维护'!A$30</f>
        <v>课程目标6</v>
      </c>
      <c r="E451" s="19">
        <f ca="1">OFFSET('1课程考核方式及成绩组成'!$F$10,(ROW(E451)-5)/7,MOD((ROW(E451)-5),7))</f>
        <v>0</v>
      </c>
      <c r="F451" s="19">
        <f ca="1">OFFSET('1课程考核方式及成绩组成'!$N$10,(ROW(F451)-5)/7,MOD((ROW(F451)-5),7))</f>
        <v>0</v>
      </c>
      <c r="G451" s="19">
        <f ca="1">OFFSET('1课程考核方式及成绩组成'!$V$10,(ROW(G451)-5)/7,MOD((ROW(G451)-5),7))</f>
        <v>0</v>
      </c>
      <c r="H451" s="19">
        <f ca="1">OFFSET('1课程考核方式及成绩组成'!$AD$10,(ROW(H451)-5)/7,MOD((ROW(H451)-5),7))</f>
        <v>0</v>
      </c>
      <c r="I451" s="19">
        <f ca="1">OFFSET('1课程考核方式及成绩组成'!$AL$10,(ROW(I451)-5)/7,MOD((ROW(I451)-5),7))</f>
        <v>0</v>
      </c>
      <c r="J451" s="25">
        <f ca="1">IF('0信息维护'!$I$115=0,0,E451/('0信息维护'!$I$115)*'0信息维护'!$E$40*'0信息维护'!$S$30)+IF('0信息维护'!$I$116=0,0,F451/('0信息维护'!$I$116)*'0信息维护'!$E$40*'0信息维护'!$T$30)+IF('0信息维护'!$I$117=0,0,G451/('0信息维护'!$I$117)*'0信息维护'!$E$40*'0信息维护'!$U$30)+IF('0信息维护'!$I$118=0,0,H451/('0信息维护'!$I$118)*'0信息维护'!$E$40*'0信息维护'!$V$30)+IF('0信息维护'!$I$119=0,0,I451/'0信息维护'!$I$119*'0信息维护'!$I$40)</f>
        <v>0</v>
      </c>
      <c r="K451" s="27"/>
    </row>
    <row r="452" spans="1:11">
      <c r="A452" s="21"/>
      <c r="B452" s="21"/>
      <c r="C452" s="21"/>
      <c r="D452" s="18" t="str">
        <f>'0信息维护'!A$31</f>
        <v>课程目标7</v>
      </c>
      <c r="E452" s="19">
        <f ca="1">OFFSET('1课程考核方式及成绩组成'!$F$10,(ROW(E452)-5)/7,MOD((ROW(E452)-5),7))</f>
        <v>0</v>
      </c>
      <c r="F452" s="19">
        <f ca="1">OFFSET('1课程考核方式及成绩组成'!$N$10,(ROW(F452)-5)/7,MOD((ROW(F452)-5),7))</f>
        <v>0</v>
      </c>
      <c r="G452" s="19">
        <f ca="1">OFFSET('1课程考核方式及成绩组成'!$V$10,(ROW(G452)-5)/7,MOD((ROW(G452)-5),7))</f>
        <v>0</v>
      </c>
      <c r="H452" s="19">
        <f ca="1">OFFSET('1课程考核方式及成绩组成'!$AD$10,(ROW(H452)-5)/7,MOD((ROW(H452)-5),7))</f>
        <v>0</v>
      </c>
      <c r="I452" s="19">
        <f ca="1">OFFSET('1课程考核方式及成绩组成'!$AL$10,(ROW(I452)-5)/7,MOD((ROW(I452)-5),7))</f>
        <v>0</v>
      </c>
      <c r="J452" s="25">
        <f ca="1">IF('0信息维护'!$I$121=0,0,E452/('0信息维护'!$I$121)*'0信息维护'!$E$41*'0信息维护'!$S$31)+IF('0信息维护'!$I$122=0,0,F452/('0信息维护'!$I$122)*'0信息维护'!$E$41*'0信息维护'!$T$31)+IF('0信息维护'!$I$123=0,0,G452/('0信息维护'!$I$123)*'0信息维护'!$E$41*'0信息维护'!$U$31)+IF('0信息维护'!$I$124=0,0,H452/('0信息维护'!$I$124)*'0信息维护'!$E$41*'0信息维护'!$T$31)+IF('0信息维护'!$I$125=0,0,I452/'0信息维护'!$I$125*'0信息维护'!$I$41)</f>
        <v>0</v>
      </c>
      <c r="K452" s="30"/>
    </row>
    <row r="453" spans="1:11">
      <c r="A453" s="17">
        <v>65</v>
      </c>
      <c r="B453" s="17" t="str">
        <f ca="1">OFFSET('1课程考核方式及成绩组成'!$D$10,(ROW(B453)-5)/7,)</f>
        <v>190302030</v>
      </c>
      <c r="C453" s="17" t="str">
        <f ca="1">OFFSET('1课程考核方式及成绩组成'!$E$10,(ROW(C453)-5)/7,)</f>
        <v>刘宗洋</v>
      </c>
      <c r="D453" s="18" t="str">
        <f>'0信息维护'!A$25</f>
        <v>课程目标1</v>
      </c>
      <c r="E453" s="19">
        <f ca="1">OFFSET('1课程考核方式及成绩组成'!$F$10,(ROW(E453)-5)/7,MOD((ROW(E453)-5),7))</f>
        <v>35</v>
      </c>
      <c r="F453" s="19">
        <f ca="1">OFFSET('1课程考核方式及成绩组成'!$N$10,(ROW(F453)-5)/7,MOD((ROW(F453)-5),7))</f>
        <v>0</v>
      </c>
      <c r="G453" s="19">
        <f ca="1">OFFSET('1课程考核方式及成绩组成'!$V$10,(ROW(G453)-5)/7,MOD((ROW(G453)-5),7))</f>
        <v>0</v>
      </c>
      <c r="H453" s="19">
        <f ca="1">OFFSET('1课程考核方式及成绩组成'!$AD$10,(ROW(H453)-5)/7,MOD((ROW(H453)-5),7))</f>
        <v>0</v>
      </c>
      <c r="I453" s="19">
        <f ca="1">OFFSET('1课程考核方式及成绩组成'!$AL$10,(ROW(I453)-5)/7,MOD((ROW(I453)-5),7))</f>
        <v>34</v>
      </c>
      <c r="J453" s="25">
        <f ca="1">IF('0信息维护'!$I$85=0,0,E453/('0信息维护'!$I$85)*'0信息维护'!$E$35*'0信息维护'!$S$25)+IF('0信息维护'!$I$86=0,0,F453/('0信息维护'!$I$86)*'0信息维护'!$E$35*'0信息维护'!$T$25)+IF('0信息维护'!$I$87=0,0,G453/('0信息维护'!$I$87)*'0信息维护'!$E$35*'0信息维护'!$U$25)+IF('0信息维护'!$I$88=0,0,H453/('0信息维护'!$I$88)*'0信息维护'!$E$35*'0信息维护'!$V$25)+IF('0信息维护'!$I$89=0,0,I453/'0信息维护'!$I$89*'0信息维护'!$I$35)</f>
        <v>0.909722222222222</v>
      </c>
      <c r="K453" s="26">
        <f ca="1">J453*'0信息维护'!$D$132+J454*'0信息维护'!$D$133+J455*'0信息维护'!$D$134+J456*'0信息维护'!$D$135+J457*'0信息维护'!$D$136+J458*'0信息维护'!$D$137+J459*'0信息维护'!$D$138</f>
        <v>0.730017156862745</v>
      </c>
    </row>
    <row r="454" spans="1:14">
      <c r="A454" s="20"/>
      <c r="B454" s="20"/>
      <c r="C454" s="20"/>
      <c r="D454" s="18" t="str">
        <f>'0信息维护'!A$26</f>
        <v>课程目标2</v>
      </c>
      <c r="E454" s="19">
        <f ca="1">OFFSET('1课程考核方式及成绩组成'!$F$10,(ROW(E454)-5)/7,MOD((ROW(E454)-5),7))</f>
        <v>55</v>
      </c>
      <c r="F454" s="19">
        <f ca="1">OFFSET('1课程考核方式及成绩组成'!$N$10,(ROW(F454)-5)/7,MOD((ROW(F454)-5),7))</f>
        <v>0</v>
      </c>
      <c r="G454" s="19">
        <f ca="1">OFFSET('1课程考核方式及成绩组成'!$V$10,(ROW(G454)-5)/7,MOD((ROW(G454)-5),7))</f>
        <v>0</v>
      </c>
      <c r="H454" s="19">
        <f ca="1">OFFSET('1课程考核方式及成绩组成'!$AD$10,(ROW(H454)-5)/7,MOD((ROW(H454)-5),7))</f>
        <v>0</v>
      </c>
      <c r="I454" s="19">
        <f ca="1">OFFSET('1课程考核方式及成绩组成'!$AL$10,(ROW(I454)-5)/7,MOD((ROW(I454)-5),7))</f>
        <v>24</v>
      </c>
      <c r="J454" s="25">
        <f ca="1">IF('0信息维护'!$I$91=0,0,E454/('0信息维护'!$I$91)*'0信息维护'!$S$26*'0信息维护'!$E$36)+IF('0信息维护'!$I$92=0,0,F454/('0信息维护'!$I$92)*'0信息维护'!$T$26*'0信息维护'!$E$36)+IF('0信息维护'!$I$93=0,0,G454/('0信息维护'!$I$93)*'0信息维护'!$U$26*'0信息维护'!$E$36)+IF('0信息维护'!$I$94=0,0,H454/('0信息维护'!$I$94)*'0信息维护'!$V$26*'0信息维护'!$E$36)+IF('0信息维护'!$I$95=0,0,I454/'0信息维护'!$I$95*'0信息维护'!$I$36)</f>
        <v>0.858333333333333</v>
      </c>
      <c r="K454" s="27"/>
      <c r="N454" s="29"/>
    </row>
    <row r="455" spans="1:11">
      <c r="A455" s="20"/>
      <c r="B455" s="20"/>
      <c r="C455" s="20"/>
      <c r="D455" s="18" t="str">
        <f>'0信息维护'!A$27</f>
        <v>课程目标3</v>
      </c>
      <c r="E455" s="19">
        <f ca="1">OFFSET('1课程考核方式及成绩组成'!$F$10,(ROW(E455)-5)/7,MOD((ROW(E455)-5),7))</f>
        <v>0</v>
      </c>
      <c r="F455" s="19">
        <f ca="1">OFFSET('1课程考核方式及成绩组成'!$N$10,(ROW(F455)-5)/7,MOD((ROW(F455)-5),7))</f>
        <v>0</v>
      </c>
      <c r="G455" s="19">
        <f ca="1">OFFSET('1课程考核方式及成绩组成'!$V$10,(ROW(G455)-5)/7,MOD((ROW(G455)-5),7))</f>
        <v>0</v>
      </c>
      <c r="H455" s="19">
        <f ca="1">OFFSET('1课程考核方式及成绩组成'!$AD$10,(ROW(H455)-5)/7,MOD((ROW(H455)-5),7))</f>
        <v>0</v>
      </c>
      <c r="I455" s="19">
        <f ca="1">OFFSET('1课程考核方式及成绩组成'!$AL$10,(ROW(I455)-5)/7,MOD((ROW(I455)-5),7))</f>
        <v>20</v>
      </c>
      <c r="J455" s="25">
        <f ca="1">IF('0信息维护'!$I$97=0,0,E455/('0信息维护'!$I$97)*'0信息维护'!$E$37*'0信息维护'!$S$27)+IF('0信息维护'!$I$98=0,0,F455/('0信息维护'!$I$98)*'0信息维护'!$E$37*'0信息维护'!$T$27)+IF('0信息维护'!$I$99=0,0,G455/('0信息维护'!$I$99)*'0信息维护'!$E$37*'0信息维护'!$U$27)+IF('0信息维护'!$I$100=0,0,H455/('0信息维护'!$I$100)*'0信息维护'!$E$37*'0信息维护'!$V$27)+IF('0信息维护'!$I$101=0,0,I455/'0信息维护'!$I$101*'0信息维护'!$I$37)</f>
        <v>0.588235294117647</v>
      </c>
      <c r="K455" s="27"/>
    </row>
    <row r="456" spans="1:11">
      <c r="A456" s="20"/>
      <c r="B456" s="20"/>
      <c r="C456" s="20"/>
      <c r="D456" s="18" t="str">
        <f>'0信息维护'!A$28</f>
        <v>课程目标4</v>
      </c>
      <c r="E456" s="19">
        <f ca="1">OFFSET('1课程考核方式及成绩组成'!$F$10,(ROW(E456)-5)/7,MOD((ROW(E456)-5),7))</f>
        <v>0</v>
      </c>
      <c r="F456" s="19">
        <f ca="1">OFFSET('1课程考核方式及成绩组成'!$N$10,(ROW(F456)-5)/7,MOD((ROW(F456)-5),7))</f>
        <v>63</v>
      </c>
      <c r="G456" s="19">
        <f ca="1">OFFSET('1课程考核方式及成绩组成'!$V$10,(ROW(G456)-5)/7,MOD((ROW(G456)-5),7))</f>
        <v>0</v>
      </c>
      <c r="H456" s="19">
        <f ca="1">OFFSET('1课程考核方式及成绩组成'!$AD$10,(ROW(H456)-5)/7,MOD((ROW(H456)-5),7))</f>
        <v>0</v>
      </c>
      <c r="I456" s="19">
        <f ca="1">OFFSET('1课程考核方式及成绩组成'!$AL$10,(ROW(I456)-5)/7,MOD((ROW(I456)-5),7))</f>
        <v>0</v>
      </c>
      <c r="J456" s="25">
        <f ca="1">IF('0信息维护'!$I$103=0,0,E456/('0信息维护'!$I$103)*'0信息维护'!$E$38*'0信息维护'!$S$28)+IF('0信息维护'!$I$104=0,0,F456/('0信息维护'!$I$104)*'0信息维护'!$E$38*'0信息维护'!$T$28)+IF('0信息维护'!$I$105=0,0,G456/('0信息维护'!$I$105)*'0信息维护'!$E$38*'0信息维护'!$U$28)+IF('0信息维护'!$I$106=0,0,H456/('0信息维护'!$I$106)*'0信息维护'!$E$38*'0信息维护'!$V$28)+IF('0信息维护'!$I$107=0,0,I456/'0信息维护'!$I$107*'0信息维护'!$I$38)</f>
        <v>0.63</v>
      </c>
      <c r="K456" s="27"/>
    </row>
    <row r="457" spans="1:11">
      <c r="A457" s="20"/>
      <c r="B457" s="20"/>
      <c r="C457" s="20"/>
      <c r="D457" s="18" t="str">
        <f>'0信息维护'!A$29</f>
        <v>课程目标5</v>
      </c>
      <c r="E457" s="19">
        <f ca="1">OFFSET('1课程考核方式及成绩组成'!$F$10,(ROW(E457)-5)/7,MOD((ROW(E457)-5),7))</f>
        <v>0</v>
      </c>
      <c r="F457" s="19">
        <f ca="1">OFFSET('1课程考核方式及成绩组成'!$N$10,(ROW(F457)-5)/7,MOD((ROW(F457)-5),7))</f>
        <v>0</v>
      </c>
      <c r="G457" s="19">
        <f ca="1">OFFSET('1课程考核方式及成绩组成'!$V$10,(ROW(G457)-5)/7,MOD((ROW(G457)-5),7))</f>
        <v>0</v>
      </c>
      <c r="H457" s="19">
        <f ca="1">OFFSET('1课程考核方式及成绩组成'!$AD$10,(ROW(H457)-5)/7,MOD((ROW(H457)-5),7))</f>
        <v>0</v>
      </c>
      <c r="I457" s="19">
        <f ca="1">OFFSET('1课程考核方式及成绩组成'!$AL$10,(ROW(I457)-5)/7,MOD((ROW(I457)-5),7))</f>
        <v>0</v>
      </c>
      <c r="J457" s="25">
        <f ca="1">IF('0信息维护'!$I$109=0,0,E457/('0信息维护'!$I$109)*'0信息维护'!$E$39*'0信息维护'!$S$29)+IF('0信息维护'!$I$110=0,0,F457/('0信息维护'!$I$110)*'0信息维护'!$E$39*'0信息维护'!$T$29)+IF('0信息维护'!$I$111=0,0,G457/('0信息维护'!$I$111)*'0信息维护'!$E$39*'0信息维护'!$U$29)+IF('0信息维护'!$I$112=0,0,H457/('0信息维护'!$I$112)*'0信息维护'!$E$39*'0信息维护'!$V$29)+IF('0信息维护'!$I$113=0,0,I457/'0信息维护'!$I$113*'0信息维护'!$I$39)</f>
        <v>0</v>
      </c>
      <c r="K457" s="27"/>
    </row>
    <row r="458" spans="1:11">
      <c r="A458" s="20"/>
      <c r="B458" s="20"/>
      <c r="C458" s="20"/>
      <c r="D458" s="18" t="str">
        <f>'0信息维护'!A$30</f>
        <v>课程目标6</v>
      </c>
      <c r="E458" s="19">
        <f ca="1">OFFSET('1课程考核方式及成绩组成'!$F$10,(ROW(E458)-5)/7,MOD((ROW(E458)-5),7))</f>
        <v>0</v>
      </c>
      <c r="F458" s="19">
        <f ca="1">OFFSET('1课程考核方式及成绩组成'!$N$10,(ROW(F458)-5)/7,MOD((ROW(F458)-5),7))</f>
        <v>0</v>
      </c>
      <c r="G458" s="19">
        <f ca="1">OFFSET('1课程考核方式及成绩组成'!$V$10,(ROW(G458)-5)/7,MOD((ROW(G458)-5),7))</f>
        <v>0</v>
      </c>
      <c r="H458" s="19">
        <f ca="1">OFFSET('1课程考核方式及成绩组成'!$AD$10,(ROW(H458)-5)/7,MOD((ROW(H458)-5),7))</f>
        <v>0</v>
      </c>
      <c r="I458" s="19">
        <f ca="1">OFFSET('1课程考核方式及成绩组成'!$AL$10,(ROW(I458)-5)/7,MOD((ROW(I458)-5),7))</f>
        <v>0</v>
      </c>
      <c r="J458" s="25">
        <f ca="1">IF('0信息维护'!$I$115=0,0,E458/('0信息维护'!$I$115)*'0信息维护'!$E$40*'0信息维护'!$S$30)+IF('0信息维护'!$I$116=0,0,F458/('0信息维护'!$I$116)*'0信息维护'!$E$40*'0信息维护'!$T$30)+IF('0信息维护'!$I$117=0,0,G458/('0信息维护'!$I$117)*'0信息维护'!$E$40*'0信息维护'!$U$30)+IF('0信息维护'!$I$118=0,0,H458/('0信息维护'!$I$118)*'0信息维护'!$E$40*'0信息维护'!$V$30)+IF('0信息维护'!$I$119=0,0,I458/'0信息维护'!$I$119*'0信息维护'!$I$40)</f>
        <v>0</v>
      </c>
      <c r="K458" s="27"/>
    </row>
    <row r="459" spans="1:11">
      <c r="A459" s="21"/>
      <c r="B459" s="21"/>
      <c r="C459" s="21"/>
      <c r="D459" s="18" t="str">
        <f>'0信息维护'!A$31</f>
        <v>课程目标7</v>
      </c>
      <c r="E459" s="19">
        <f ca="1">OFFSET('1课程考核方式及成绩组成'!$F$10,(ROW(E459)-5)/7,MOD((ROW(E459)-5),7))</f>
        <v>0</v>
      </c>
      <c r="F459" s="19">
        <f ca="1">OFFSET('1课程考核方式及成绩组成'!$N$10,(ROW(F459)-5)/7,MOD((ROW(F459)-5),7))</f>
        <v>0</v>
      </c>
      <c r="G459" s="19">
        <f ca="1">OFFSET('1课程考核方式及成绩组成'!$V$10,(ROW(G459)-5)/7,MOD((ROW(G459)-5),7))</f>
        <v>0</v>
      </c>
      <c r="H459" s="19">
        <f ca="1">OFFSET('1课程考核方式及成绩组成'!$AD$10,(ROW(H459)-5)/7,MOD((ROW(H459)-5),7))</f>
        <v>0</v>
      </c>
      <c r="I459" s="19">
        <f ca="1">OFFSET('1课程考核方式及成绩组成'!$AL$10,(ROW(I459)-5)/7,MOD((ROW(I459)-5),7))</f>
        <v>0</v>
      </c>
      <c r="J459" s="25">
        <f ca="1">IF('0信息维护'!$I$121=0,0,E459/('0信息维护'!$I$121)*'0信息维护'!$E$41*'0信息维护'!$S$31)+IF('0信息维护'!$I$122=0,0,F459/('0信息维护'!$I$122)*'0信息维护'!$E$41*'0信息维护'!$T$31)+IF('0信息维护'!$I$123=0,0,G459/('0信息维护'!$I$123)*'0信息维护'!$E$41*'0信息维护'!$U$31)+IF('0信息维护'!$I$124=0,0,H459/('0信息维护'!$I$124)*'0信息维护'!$E$41*'0信息维护'!$T$31)+IF('0信息维护'!$I$125=0,0,I459/'0信息维护'!$I$125*'0信息维护'!$I$41)</f>
        <v>0</v>
      </c>
      <c r="K459" s="30"/>
    </row>
    <row r="460" spans="1:11">
      <c r="A460" s="17">
        <v>66</v>
      </c>
      <c r="B460" s="17" t="str">
        <f ca="1">OFFSET('1课程考核方式及成绩组成'!$D$10,(ROW(B460)-5)/7,)</f>
        <v>190302032</v>
      </c>
      <c r="C460" s="17" t="str">
        <f ca="1">OFFSET('1课程考核方式及成绩组成'!$E$10,(ROW(C460)-5)/7,)</f>
        <v>胡万全</v>
      </c>
      <c r="D460" s="18" t="str">
        <f>'0信息维护'!A$25</f>
        <v>课程目标1</v>
      </c>
      <c r="E460" s="19">
        <f ca="1">OFFSET('1课程考核方式及成绩组成'!$F$10,(ROW(E460)-5)/7,MOD((ROW(E460)-5),7))</f>
        <v>40</v>
      </c>
      <c r="F460" s="19">
        <f ca="1">OFFSET('1课程考核方式及成绩组成'!$N$10,(ROW(F460)-5)/7,MOD((ROW(F460)-5),7))</f>
        <v>0</v>
      </c>
      <c r="G460" s="19">
        <f ca="1">OFFSET('1课程考核方式及成绩组成'!$V$10,(ROW(G460)-5)/7,MOD((ROW(G460)-5),7))</f>
        <v>0</v>
      </c>
      <c r="H460" s="19">
        <f ca="1">OFFSET('1课程考核方式及成绩组成'!$AD$10,(ROW(H460)-5)/7,MOD((ROW(H460)-5),7))</f>
        <v>0</v>
      </c>
      <c r="I460" s="19">
        <f ca="1">OFFSET('1课程考核方式及成绩组成'!$AL$10,(ROW(I460)-5)/7,MOD((ROW(I460)-5),7))</f>
        <v>30</v>
      </c>
      <c r="J460" s="25">
        <f ca="1">IF('0信息维护'!$I$85=0,0,E460/('0信息维护'!$I$85)*'0信息维护'!$E$35*'0信息维护'!$S$25)+IF('0信息维护'!$I$86=0,0,F460/('0信息维护'!$I$86)*'0信息维护'!$E$35*'0信息维护'!$T$25)+IF('0信息维护'!$I$87=0,0,G460/('0信息维护'!$I$87)*'0信息维护'!$E$35*'0信息维护'!$U$25)+IF('0信息维护'!$I$88=0,0,H460/('0信息维护'!$I$88)*'0信息维护'!$E$35*'0信息维护'!$V$25)+IF('0信息维护'!$I$89=0,0,I460/'0信息维护'!$I$89*'0信息维护'!$I$35)</f>
        <v>0.916666666666667</v>
      </c>
      <c r="K460" s="26">
        <f ca="1">J460*'0信息维护'!$D$132+J461*'0信息维护'!$D$133+J462*'0信息维护'!$D$134+J463*'0信息维护'!$D$135+J464*'0信息维护'!$D$136+J465*'0信息维护'!$D$137+J466*'0信息维护'!$D$138</f>
        <v>0.783970588235294</v>
      </c>
    </row>
    <row r="461" spans="1:14">
      <c r="A461" s="20"/>
      <c r="B461" s="20"/>
      <c r="C461" s="20"/>
      <c r="D461" s="18" t="str">
        <f>'0信息维护'!A$26</f>
        <v>课程目标2</v>
      </c>
      <c r="E461" s="19">
        <f ca="1">OFFSET('1课程考核方式及成绩组成'!$F$10,(ROW(E461)-5)/7,MOD((ROW(E461)-5),7))</f>
        <v>60</v>
      </c>
      <c r="F461" s="19">
        <f ca="1">OFFSET('1课程考核方式及成绩组成'!$N$10,(ROW(F461)-5)/7,MOD((ROW(F461)-5),7))</f>
        <v>0</v>
      </c>
      <c r="G461" s="19">
        <f ca="1">OFFSET('1课程考核方式及成绩组成'!$V$10,(ROW(G461)-5)/7,MOD((ROW(G461)-5),7))</f>
        <v>0</v>
      </c>
      <c r="H461" s="19">
        <f ca="1">OFFSET('1课程考核方式及成绩组成'!$AD$10,(ROW(H461)-5)/7,MOD((ROW(H461)-5),7))</f>
        <v>0</v>
      </c>
      <c r="I461" s="19">
        <f ca="1">OFFSET('1课程考核方式及成绩组成'!$AL$10,(ROW(I461)-5)/7,MOD((ROW(I461)-5),7))</f>
        <v>16</v>
      </c>
      <c r="J461" s="25">
        <f ca="1">IF('0信息维护'!$I$91=0,0,E461/('0信息维护'!$I$91)*'0信息维护'!$S$26*'0信息维护'!$E$36)+IF('0信息维护'!$I$92=0,0,F461/('0信息维护'!$I$92)*'0信息维护'!$T$26*'0信息维护'!$E$36)+IF('0信息维护'!$I$93=0,0,G461/('0信息维护'!$I$93)*'0信息维护'!$U$26*'0信息维护'!$E$36)+IF('0信息维护'!$I$94=0,0,H461/('0信息维护'!$I$94)*'0信息维护'!$V$26*'0信息维护'!$E$36)+IF('0信息维护'!$I$95=0,0,I461/'0信息维护'!$I$95*'0信息维护'!$I$36)</f>
        <v>0.766666666666667</v>
      </c>
      <c r="K461" s="27"/>
      <c r="N461" s="29"/>
    </row>
    <row r="462" spans="1:11">
      <c r="A462" s="20"/>
      <c r="B462" s="20"/>
      <c r="C462" s="20"/>
      <c r="D462" s="18" t="str">
        <f>'0信息维护'!A$27</f>
        <v>课程目标3</v>
      </c>
      <c r="E462" s="19">
        <f ca="1">OFFSET('1课程考核方式及成绩组成'!$F$10,(ROW(E462)-5)/7,MOD((ROW(E462)-5),7))</f>
        <v>0</v>
      </c>
      <c r="F462" s="19">
        <f ca="1">OFFSET('1课程考核方式及成绩组成'!$N$10,(ROW(F462)-5)/7,MOD((ROW(F462)-5),7))</f>
        <v>0</v>
      </c>
      <c r="G462" s="19">
        <f ca="1">OFFSET('1课程考核方式及成绩组成'!$V$10,(ROW(G462)-5)/7,MOD((ROW(G462)-5),7))</f>
        <v>0</v>
      </c>
      <c r="H462" s="19">
        <f ca="1">OFFSET('1课程考核方式及成绩组成'!$AD$10,(ROW(H462)-5)/7,MOD((ROW(H462)-5),7))</f>
        <v>0</v>
      </c>
      <c r="I462" s="19">
        <f ca="1">OFFSET('1课程考核方式及成绩组成'!$AL$10,(ROW(I462)-5)/7,MOD((ROW(I462)-5),7))</f>
        <v>24</v>
      </c>
      <c r="J462" s="25">
        <f ca="1">IF('0信息维护'!$I$97=0,0,E462/('0信息维护'!$I$97)*'0信息维护'!$E$37*'0信息维护'!$S$27)+IF('0信息维护'!$I$98=0,0,F462/('0信息维护'!$I$98)*'0信息维护'!$E$37*'0信息维护'!$T$27)+IF('0信息维护'!$I$99=0,0,G462/('0信息维护'!$I$99)*'0信息维护'!$E$37*'0信息维护'!$U$27)+IF('0信息维护'!$I$100=0,0,H462/('0信息维护'!$I$100)*'0信息维护'!$E$37*'0信息维护'!$V$27)+IF('0信息维护'!$I$101=0,0,I462/'0信息维护'!$I$101*'0信息维护'!$I$37)</f>
        <v>0.705882352941177</v>
      </c>
      <c r="K462" s="27"/>
    </row>
    <row r="463" spans="1:11">
      <c r="A463" s="20"/>
      <c r="B463" s="20"/>
      <c r="C463" s="20"/>
      <c r="D463" s="18" t="str">
        <f>'0信息维护'!A$28</f>
        <v>课程目标4</v>
      </c>
      <c r="E463" s="19">
        <f ca="1">OFFSET('1课程考核方式及成绩组成'!$F$10,(ROW(E463)-5)/7,MOD((ROW(E463)-5),7))</f>
        <v>0</v>
      </c>
      <c r="F463" s="19">
        <f ca="1">OFFSET('1课程考核方式及成绩组成'!$N$10,(ROW(F463)-5)/7,MOD((ROW(F463)-5),7))</f>
        <v>80</v>
      </c>
      <c r="G463" s="19">
        <f ca="1">OFFSET('1课程考核方式及成绩组成'!$V$10,(ROW(G463)-5)/7,MOD((ROW(G463)-5),7))</f>
        <v>0</v>
      </c>
      <c r="H463" s="19">
        <f ca="1">OFFSET('1课程考核方式及成绩组成'!$AD$10,(ROW(H463)-5)/7,MOD((ROW(H463)-5),7))</f>
        <v>0</v>
      </c>
      <c r="I463" s="19">
        <f ca="1">OFFSET('1课程考核方式及成绩组成'!$AL$10,(ROW(I463)-5)/7,MOD((ROW(I463)-5),7))</f>
        <v>0</v>
      </c>
      <c r="J463" s="25">
        <f ca="1">IF('0信息维护'!$I$103=0,0,E463/('0信息维护'!$I$103)*'0信息维护'!$E$38*'0信息维护'!$S$28)+IF('0信息维护'!$I$104=0,0,F463/('0信息维护'!$I$104)*'0信息维护'!$E$38*'0信息维护'!$T$28)+IF('0信息维护'!$I$105=0,0,G463/('0信息维护'!$I$105)*'0信息维护'!$E$38*'0信息维护'!$U$28)+IF('0信息维护'!$I$106=0,0,H463/('0信息维护'!$I$106)*'0信息维护'!$E$38*'0信息维护'!$V$28)+IF('0信息维护'!$I$107=0,0,I463/'0信息维护'!$I$107*'0信息维护'!$I$38)</f>
        <v>0.8</v>
      </c>
      <c r="K463" s="27"/>
    </row>
    <row r="464" spans="1:11">
      <c r="A464" s="20"/>
      <c r="B464" s="20"/>
      <c r="C464" s="20"/>
      <c r="D464" s="18" t="str">
        <f>'0信息维护'!A$29</f>
        <v>课程目标5</v>
      </c>
      <c r="E464" s="19">
        <f ca="1">OFFSET('1课程考核方式及成绩组成'!$F$10,(ROW(E464)-5)/7,MOD((ROW(E464)-5),7))</f>
        <v>0</v>
      </c>
      <c r="F464" s="19">
        <f ca="1">OFFSET('1课程考核方式及成绩组成'!$N$10,(ROW(F464)-5)/7,MOD((ROW(F464)-5),7))</f>
        <v>0</v>
      </c>
      <c r="G464" s="19">
        <f ca="1">OFFSET('1课程考核方式及成绩组成'!$V$10,(ROW(G464)-5)/7,MOD((ROW(G464)-5),7))</f>
        <v>0</v>
      </c>
      <c r="H464" s="19">
        <f ca="1">OFFSET('1课程考核方式及成绩组成'!$AD$10,(ROW(H464)-5)/7,MOD((ROW(H464)-5),7))</f>
        <v>0</v>
      </c>
      <c r="I464" s="19">
        <f ca="1">OFFSET('1课程考核方式及成绩组成'!$AL$10,(ROW(I464)-5)/7,MOD((ROW(I464)-5),7))</f>
        <v>0</v>
      </c>
      <c r="J464" s="25">
        <f ca="1">IF('0信息维护'!$I$109=0,0,E464/('0信息维护'!$I$109)*'0信息维护'!$E$39*'0信息维护'!$S$29)+IF('0信息维护'!$I$110=0,0,F464/('0信息维护'!$I$110)*'0信息维护'!$E$39*'0信息维护'!$T$29)+IF('0信息维护'!$I$111=0,0,G464/('0信息维护'!$I$111)*'0信息维护'!$E$39*'0信息维护'!$U$29)+IF('0信息维护'!$I$112=0,0,H464/('0信息维护'!$I$112)*'0信息维护'!$E$39*'0信息维护'!$V$29)+IF('0信息维护'!$I$113=0,0,I464/'0信息维护'!$I$113*'0信息维护'!$I$39)</f>
        <v>0</v>
      </c>
      <c r="K464" s="27"/>
    </row>
    <row r="465" spans="1:11">
      <c r="A465" s="20"/>
      <c r="B465" s="20"/>
      <c r="C465" s="20"/>
      <c r="D465" s="18" t="str">
        <f>'0信息维护'!A$30</f>
        <v>课程目标6</v>
      </c>
      <c r="E465" s="19">
        <f ca="1">OFFSET('1课程考核方式及成绩组成'!$F$10,(ROW(E465)-5)/7,MOD((ROW(E465)-5),7))</f>
        <v>0</v>
      </c>
      <c r="F465" s="19">
        <f ca="1">OFFSET('1课程考核方式及成绩组成'!$N$10,(ROW(F465)-5)/7,MOD((ROW(F465)-5),7))</f>
        <v>0</v>
      </c>
      <c r="G465" s="19">
        <f ca="1">OFFSET('1课程考核方式及成绩组成'!$V$10,(ROW(G465)-5)/7,MOD((ROW(G465)-5),7))</f>
        <v>0</v>
      </c>
      <c r="H465" s="19">
        <f ca="1">OFFSET('1课程考核方式及成绩组成'!$AD$10,(ROW(H465)-5)/7,MOD((ROW(H465)-5),7))</f>
        <v>0</v>
      </c>
      <c r="I465" s="19">
        <f ca="1">OFFSET('1课程考核方式及成绩组成'!$AL$10,(ROW(I465)-5)/7,MOD((ROW(I465)-5),7))</f>
        <v>0</v>
      </c>
      <c r="J465" s="25">
        <f ca="1">IF('0信息维护'!$I$115=0,0,E465/('0信息维护'!$I$115)*'0信息维护'!$E$40*'0信息维护'!$S$30)+IF('0信息维护'!$I$116=0,0,F465/('0信息维护'!$I$116)*'0信息维护'!$E$40*'0信息维护'!$T$30)+IF('0信息维护'!$I$117=0,0,G465/('0信息维护'!$I$117)*'0信息维护'!$E$40*'0信息维护'!$U$30)+IF('0信息维护'!$I$118=0,0,H465/('0信息维护'!$I$118)*'0信息维护'!$E$40*'0信息维护'!$V$30)+IF('0信息维护'!$I$119=0,0,I465/'0信息维护'!$I$119*'0信息维护'!$I$40)</f>
        <v>0</v>
      </c>
      <c r="K465" s="27"/>
    </row>
    <row r="466" spans="1:11">
      <c r="A466" s="21"/>
      <c r="B466" s="21"/>
      <c r="C466" s="21"/>
      <c r="D466" s="18" t="str">
        <f>'0信息维护'!A$31</f>
        <v>课程目标7</v>
      </c>
      <c r="E466" s="19">
        <f ca="1">OFFSET('1课程考核方式及成绩组成'!$F$10,(ROW(E466)-5)/7,MOD((ROW(E466)-5),7))</f>
        <v>0</v>
      </c>
      <c r="F466" s="19">
        <f ca="1">OFFSET('1课程考核方式及成绩组成'!$N$10,(ROW(F466)-5)/7,MOD((ROW(F466)-5),7))</f>
        <v>0</v>
      </c>
      <c r="G466" s="19">
        <f ca="1">OFFSET('1课程考核方式及成绩组成'!$V$10,(ROW(G466)-5)/7,MOD((ROW(G466)-5),7))</f>
        <v>0</v>
      </c>
      <c r="H466" s="19">
        <f ca="1">OFFSET('1课程考核方式及成绩组成'!$AD$10,(ROW(H466)-5)/7,MOD((ROW(H466)-5),7))</f>
        <v>0</v>
      </c>
      <c r="I466" s="19">
        <f ca="1">OFFSET('1课程考核方式及成绩组成'!$AL$10,(ROW(I466)-5)/7,MOD((ROW(I466)-5),7))</f>
        <v>0</v>
      </c>
      <c r="J466" s="25">
        <f ca="1">IF('0信息维护'!$I$121=0,0,E466/('0信息维护'!$I$121)*'0信息维护'!$E$41*'0信息维护'!$S$31)+IF('0信息维护'!$I$122=0,0,F466/('0信息维护'!$I$122)*'0信息维护'!$E$41*'0信息维护'!$T$31)+IF('0信息维护'!$I$123=0,0,G466/('0信息维护'!$I$123)*'0信息维护'!$E$41*'0信息维护'!$U$31)+IF('0信息维护'!$I$124=0,0,H466/('0信息维护'!$I$124)*'0信息维护'!$E$41*'0信息维护'!$T$31)+IF('0信息维护'!$I$125=0,0,I466/'0信息维护'!$I$125*'0信息维护'!$I$41)</f>
        <v>0</v>
      </c>
      <c r="K466" s="30"/>
    </row>
    <row r="467" spans="1:11">
      <c r="A467" s="17">
        <v>67</v>
      </c>
      <c r="B467" s="17" t="str">
        <f ca="1">OFFSET('1课程考核方式及成绩组成'!$D$10,(ROW(B467)-5)/7,)</f>
        <v>190302033</v>
      </c>
      <c r="C467" s="17" t="str">
        <f ca="1">OFFSET('1课程考核方式及成绩组成'!$E$10,(ROW(C467)-5)/7,)</f>
        <v>夏珑阳</v>
      </c>
      <c r="D467" s="18" t="str">
        <f>'0信息维护'!A$25</f>
        <v>课程目标1</v>
      </c>
      <c r="E467" s="19">
        <f ca="1">OFFSET('1课程考核方式及成绩组成'!$F$10,(ROW(E467)-5)/7,MOD((ROW(E467)-5),7))</f>
        <v>40</v>
      </c>
      <c r="F467" s="19">
        <f ca="1">OFFSET('1课程考核方式及成绩组成'!$N$10,(ROW(F467)-5)/7,MOD((ROW(F467)-5),7))</f>
        <v>0</v>
      </c>
      <c r="G467" s="19">
        <f ca="1">OFFSET('1课程考核方式及成绩组成'!$V$10,(ROW(G467)-5)/7,MOD((ROW(G467)-5),7))</f>
        <v>0</v>
      </c>
      <c r="H467" s="19">
        <f ca="1">OFFSET('1课程考核方式及成绩组成'!$AD$10,(ROW(H467)-5)/7,MOD((ROW(H467)-5),7))</f>
        <v>0</v>
      </c>
      <c r="I467" s="19">
        <f ca="1">OFFSET('1课程考核方式及成绩组成'!$AL$10,(ROW(I467)-5)/7,MOD((ROW(I467)-5),7))</f>
        <v>30</v>
      </c>
      <c r="J467" s="25">
        <f ca="1">IF('0信息维护'!$I$85=0,0,E467/('0信息维护'!$I$85)*'0信息维护'!$E$35*'0信息维护'!$S$25)+IF('0信息维护'!$I$86=0,0,F467/('0信息维护'!$I$86)*'0信息维护'!$E$35*'0信息维护'!$T$25)+IF('0信息维护'!$I$87=0,0,G467/('0信息维护'!$I$87)*'0信息维护'!$E$35*'0信息维护'!$U$25)+IF('0信息维护'!$I$88=0,0,H467/('0信息维护'!$I$88)*'0信息维护'!$E$35*'0信息维护'!$V$25)+IF('0信息维护'!$I$89=0,0,I467/'0信息维护'!$I$89*'0信息维护'!$I$35)</f>
        <v>0.916666666666667</v>
      </c>
      <c r="K467" s="26">
        <f ca="1">J467*'0信息维护'!$D$132+J468*'0信息维护'!$D$133+J469*'0信息维护'!$D$134+J470*'0信息维护'!$D$135+J471*'0信息维护'!$D$136+J472*'0信息维护'!$D$137+J473*'0信息维护'!$D$138</f>
        <v>0.842676470588235</v>
      </c>
    </row>
    <row r="468" spans="1:14">
      <c r="A468" s="20"/>
      <c r="B468" s="20"/>
      <c r="C468" s="20"/>
      <c r="D468" s="18" t="str">
        <f>'0信息维护'!A$26</f>
        <v>课程目标2</v>
      </c>
      <c r="E468" s="19">
        <f ca="1">OFFSET('1课程考核方式及成绩组成'!$F$10,(ROW(E468)-5)/7,MOD((ROW(E468)-5),7))</f>
        <v>60</v>
      </c>
      <c r="F468" s="19">
        <f ca="1">OFFSET('1课程考核方式及成绩组成'!$N$10,(ROW(F468)-5)/7,MOD((ROW(F468)-5),7))</f>
        <v>0</v>
      </c>
      <c r="G468" s="19">
        <f ca="1">OFFSET('1课程考核方式及成绩组成'!$V$10,(ROW(G468)-5)/7,MOD((ROW(G468)-5),7))</f>
        <v>0</v>
      </c>
      <c r="H468" s="19">
        <f ca="1">OFFSET('1课程考核方式及成绩组成'!$AD$10,(ROW(H468)-5)/7,MOD((ROW(H468)-5),7))</f>
        <v>0</v>
      </c>
      <c r="I468" s="19">
        <f ca="1">OFFSET('1课程考核方式及成绩组成'!$AL$10,(ROW(I468)-5)/7,MOD((ROW(I468)-5),7))</f>
        <v>26</v>
      </c>
      <c r="J468" s="25">
        <f ca="1">IF('0信息维护'!$I$91=0,0,E468/('0信息维护'!$I$91)*'0信息维护'!$S$26*'0信息维护'!$E$36)+IF('0信息维护'!$I$92=0,0,F468/('0信息维护'!$I$92)*'0信息维护'!$T$26*'0信息维护'!$E$36)+IF('0信息维护'!$I$93=0,0,G468/('0信息维护'!$I$93)*'0信息维护'!$U$26*'0信息维护'!$E$36)+IF('0信息维护'!$I$94=0,0,H468/('0信息维护'!$I$94)*'0信息维护'!$V$26*'0信息维护'!$E$36)+IF('0信息维护'!$I$95=0,0,I468/'0信息维护'!$I$95*'0信息维护'!$I$36)</f>
        <v>0.933333333333333</v>
      </c>
      <c r="K468" s="27"/>
      <c r="N468" s="29"/>
    </row>
    <row r="469" spans="1:11">
      <c r="A469" s="20"/>
      <c r="B469" s="20"/>
      <c r="C469" s="20"/>
      <c r="D469" s="18" t="str">
        <f>'0信息维护'!A$27</f>
        <v>课程目标3</v>
      </c>
      <c r="E469" s="19">
        <f ca="1">OFFSET('1课程考核方式及成绩组成'!$F$10,(ROW(E469)-5)/7,MOD((ROW(E469)-5),7))</f>
        <v>0</v>
      </c>
      <c r="F469" s="19">
        <f ca="1">OFFSET('1课程考核方式及成绩组成'!$N$10,(ROW(F469)-5)/7,MOD((ROW(F469)-5),7))</f>
        <v>0</v>
      </c>
      <c r="G469" s="19">
        <f ca="1">OFFSET('1课程考核方式及成绩组成'!$V$10,(ROW(G469)-5)/7,MOD((ROW(G469)-5),7))</f>
        <v>0</v>
      </c>
      <c r="H469" s="19">
        <f ca="1">OFFSET('1课程考核方式及成绩组成'!$AD$10,(ROW(H469)-5)/7,MOD((ROW(H469)-5),7))</f>
        <v>0</v>
      </c>
      <c r="I469" s="19">
        <f ca="1">OFFSET('1课程考核方式及成绩组成'!$AL$10,(ROW(I469)-5)/7,MOD((ROW(I469)-5),7))</f>
        <v>26</v>
      </c>
      <c r="J469" s="25">
        <f ca="1">IF('0信息维护'!$I$97=0,0,E469/('0信息维护'!$I$97)*'0信息维护'!$E$37*'0信息维护'!$S$27)+IF('0信息维护'!$I$98=0,0,F469/('0信息维护'!$I$98)*'0信息维护'!$E$37*'0信息维护'!$T$27)+IF('0信息维护'!$I$99=0,0,G469/('0信息维护'!$I$99)*'0信息维护'!$E$37*'0信息维护'!$U$27)+IF('0信息维护'!$I$100=0,0,H469/('0信息维护'!$I$100)*'0信息维护'!$E$37*'0信息维护'!$V$27)+IF('0信息维护'!$I$101=0,0,I469/'0信息维护'!$I$101*'0信息维护'!$I$37)</f>
        <v>0.764705882352941</v>
      </c>
      <c r="K469" s="27"/>
    </row>
    <row r="470" spans="1:11">
      <c r="A470" s="20"/>
      <c r="B470" s="20"/>
      <c r="C470" s="20"/>
      <c r="D470" s="18" t="str">
        <f>'0信息维护'!A$28</f>
        <v>课程目标4</v>
      </c>
      <c r="E470" s="19">
        <f ca="1">OFFSET('1课程考核方式及成绩组成'!$F$10,(ROW(E470)-5)/7,MOD((ROW(E470)-5),7))</f>
        <v>0</v>
      </c>
      <c r="F470" s="19">
        <f ca="1">OFFSET('1课程考核方式及成绩组成'!$N$10,(ROW(F470)-5)/7,MOD((ROW(F470)-5),7))</f>
        <v>78</v>
      </c>
      <c r="G470" s="19">
        <f ca="1">OFFSET('1课程考核方式及成绩组成'!$V$10,(ROW(G470)-5)/7,MOD((ROW(G470)-5),7))</f>
        <v>0</v>
      </c>
      <c r="H470" s="19">
        <f ca="1">OFFSET('1课程考核方式及成绩组成'!$AD$10,(ROW(H470)-5)/7,MOD((ROW(H470)-5),7))</f>
        <v>0</v>
      </c>
      <c r="I470" s="19">
        <f ca="1">OFFSET('1课程考核方式及成绩组成'!$AL$10,(ROW(I470)-5)/7,MOD((ROW(I470)-5),7))</f>
        <v>0</v>
      </c>
      <c r="J470" s="25">
        <f ca="1">IF('0信息维护'!$I$103=0,0,E470/('0信息维护'!$I$103)*'0信息维护'!$E$38*'0信息维护'!$S$28)+IF('0信息维护'!$I$104=0,0,F470/('0信息维护'!$I$104)*'0信息维护'!$E$38*'0信息维护'!$T$28)+IF('0信息维护'!$I$105=0,0,G470/('0信息维护'!$I$105)*'0信息维护'!$E$38*'0信息维护'!$U$28)+IF('0信息维护'!$I$106=0,0,H470/('0信息维护'!$I$106)*'0信息维护'!$E$38*'0信息维护'!$V$28)+IF('0信息维护'!$I$107=0,0,I470/'0信息维护'!$I$107*'0信息维护'!$I$38)</f>
        <v>0.78</v>
      </c>
      <c r="K470" s="27"/>
    </row>
    <row r="471" spans="1:11">
      <c r="A471" s="20"/>
      <c r="B471" s="20"/>
      <c r="C471" s="20"/>
      <c r="D471" s="18" t="str">
        <f>'0信息维护'!A$29</f>
        <v>课程目标5</v>
      </c>
      <c r="E471" s="19">
        <f ca="1">OFFSET('1课程考核方式及成绩组成'!$F$10,(ROW(E471)-5)/7,MOD((ROW(E471)-5),7))</f>
        <v>0</v>
      </c>
      <c r="F471" s="19">
        <f ca="1">OFFSET('1课程考核方式及成绩组成'!$N$10,(ROW(F471)-5)/7,MOD((ROW(F471)-5),7))</f>
        <v>0</v>
      </c>
      <c r="G471" s="19">
        <f ca="1">OFFSET('1课程考核方式及成绩组成'!$V$10,(ROW(G471)-5)/7,MOD((ROW(G471)-5),7))</f>
        <v>0</v>
      </c>
      <c r="H471" s="19">
        <f ca="1">OFFSET('1课程考核方式及成绩组成'!$AD$10,(ROW(H471)-5)/7,MOD((ROW(H471)-5),7))</f>
        <v>0</v>
      </c>
      <c r="I471" s="19">
        <f ca="1">OFFSET('1课程考核方式及成绩组成'!$AL$10,(ROW(I471)-5)/7,MOD((ROW(I471)-5),7))</f>
        <v>0</v>
      </c>
      <c r="J471" s="25">
        <f ca="1">IF('0信息维护'!$I$109=0,0,E471/('0信息维护'!$I$109)*'0信息维护'!$E$39*'0信息维护'!$S$29)+IF('0信息维护'!$I$110=0,0,F471/('0信息维护'!$I$110)*'0信息维护'!$E$39*'0信息维护'!$T$29)+IF('0信息维护'!$I$111=0,0,G471/('0信息维护'!$I$111)*'0信息维护'!$E$39*'0信息维护'!$U$29)+IF('0信息维护'!$I$112=0,0,H471/('0信息维护'!$I$112)*'0信息维护'!$E$39*'0信息维护'!$V$29)+IF('0信息维护'!$I$113=0,0,I471/'0信息维护'!$I$113*'0信息维护'!$I$39)</f>
        <v>0</v>
      </c>
      <c r="K471" s="27"/>
    </row>
    <row r="472" spans="1:11">
      <c r="A472" s="20"/>
      <c r="B472" s="20"/>
      <c r="C472" s="20"/>
      <c r="D472" s="18" t="str">
        <f>'0信息维护'!A$30</f>
        <v>课程目标6</v>
      </c>
      <c r="E472" s="19">
        <f ca="1">OFFSET('1课程考核方式及成绩组成'!$F$10,(ROW(E472)-5)/7,MOD((ROW(E472)-5),7))</f>
        <v>0</v>
      </c>
      <c r="F472" s="19">
        <f ca="1">OFFSET('1课程考核方式及成绩组成'!$N$10,(ROW(F472)-5)/7,MOD((ROW(F472)-5),7))</f>
        <v>0</v>
      </c>
      <c r="G472" s="19">
        <f ca="1">OFFSET('1课程考核方式及成绩组成'!$V$10,(ROW(G472)-5)/7,MOD((ROW(G472)-5),7))</f>
        <v>0</v>
      </c>
      <c r="H472" s="19">
        <f ca="1">OFFSET('1课程考核方式及成绩组成'!$AD$10,(ROW(H472)-5)/7,MOD((ROW(H472)-5),7))</f>
        <v>0</v>
      </c>
      <c r="I472" s="19">
        <f ca="1">OFFSET('1课程考核方式及成绩组成'!$AL$10,(ROW(I472)-5)/7,MOD((ROW(I472)-5),7))</f>
        <v>0</v>
      </c>
      <c r="J472" s="25">
        <f ca="1">IF('0信息维护'!$I$115=0,0,E472/('0信息维护'!$I$115)*'0信息维护'!$E$40*'0信息维护'!$S$30)+IF('0信息维护'!$I$116=0,0,F472/('0信息维护'!$I$116)*'0信息维护'!$E$40*'0信息维护'!$T$30)+IF('0信息维护'!$I$117=0,0,G472/('0信息维护'!$I$117)*'0信息维护'!$E$40*'0信息维护'!$U$30)+IF('0信息维护'!$I$118=0,0,H472/('0信息维护'!$I$118)*'0信息维护'!$E$40*'0信息维护'!$V$30)+IF('0信息维护'!$I$119=0,0,I472/'0信息维护'!$I$119*'0信息维护'!$I$40)</f>
        <v>0</v>
      </c>
      <c r="K472" s="27"/>
    </row>
    <row r="473" spans="1:11">
      <c r="A473" s="21"/>
      <c r="B473" s="21"/>
      <c r="C473" s="21"/>
      <c r="D473" s="18" t="str">
        <f>'0信息维护'!A$31</f>
        <v>课程目标7</v>
      </c>
      <c r="E473" s="19">
        <f ca="1">OFFSET('1课程考核方式及成绩组成'!$F$10,(ROW(E473)-5)/7,MOD((ROW(E473)-5),7))</f>
        <v>0</v>
      </c>
      <c r="F473" s="19">
        <f ca="1">OFFSET('1课程考核方式及成绩组成'!$N$10,(ROW(F473)-5)/7,MOD((ROW(F473)-5),7))</f>
        <v>0</v>
      </c>
      <c r="G473" s="19">
        <f ca="1">OFFSET('1课程考核方式及成绩组成'!$V$10,(ROW(G473)-5)/7,MOD((ROW(G473)-5),7))</f>
        <v>0</v>
      </c>
      <c r="H473" s="19">
        <f ca="1">OFFSET('1课程考核方式及成绩组成'!$AD$10,(ROW(H473)-5)/7,MOD((ROW(H473)-5),7))</f>
        <v>0</v>
      </c>
      <c r="I473" s="19">
        <f ca="1">OFFSET('1课程考核方式及成绩组成'!$AL$10,(ROW(I473)-5)/7,MOD((ROW(I473)-5),7))</f>
        <v>0</v>
      </c>
      <c r="J473" s="25">
        <f ca="1">IF('0信息维护'!$I$121=0,0,E473/('0信息维护'!$I$121)*'0信息维护'!$E$41*'0信息维护'!$S$31)+IF('0信息维护'!$I$122=0,0,F473/('0信息维护'!$I$122)*'0信息维护'!$E$41*'0信息维护'!$T$31)+IF('0信息维护'!$I$123=0,0,G473/('0信息维护'!$I$123)*'0信息维护'!$E$41*'0信息维护'!$U$31)+IF('0信息维护'!$I$124=0,0,H473/('0信息维护'!$I$124)*'0信息维护'!$E$41*'0信息维护'!$T$31)+IF('0信息维护'!$I$125=0,0,I473/'0信息维护'!$I$125*'0信息维护'!$I$41)</f>
        <v>0</v>
      </c>
      <c r="K473" s="30"/>
    </row>
    <row r="474" spans="1:11">
      <c r="A474" s="17">
        <v>68</v>
      </c>
      <c r="B474" s="17" t="str">
        <f ca="1">OFFSET('1课程考核方式及成绩组成'!$D$10,(ROW(B474)-5)/7,)</f>
        <v>190302034</v>
      </c>
      <c r="C474" s="17" t="str">
        <f ca="1">OFFSET('1课程考核方式及成绩组成'!$E$10,(ROW(C474)-5)/7,)</f>
        <v>陈淇</v>
      </c>
      <c r="D474" s="18" t="str">
        <f>'0信息维护'!A$25</f>
        <v>课程目标1</v>
      </c>
      <c r="E474" s="19">
        <f ca="1">OFFSET('1课程考核方式及成绩组成'!$F$10,(ROW(E474)-5)/7,MOD((ROW(E474)-5),7))</f>
        <v>30</v>
      </c>
      <c r="F474" s="19">
        <f ca="1">OFFSET('1课程考核方式及成绩组成'!$N$10,(ROW(F474)-5)/7,MOD((ROW(F474)-5),7))</f>
        <v>0</v>
      </c>
      <c r="G474" s="19">
        <f ca="1">OFFSET('1课程考核方式及成绩组成'!$V$10,(ROW(G474)-5)/7,MOD((ROW(G474)-5),7))</f>
        <v>0</v>
      </c>
      <c r="H474" s="19">
        <f ca="1">OFFSET('1课程考核方式及成绩组成'!$AD$10,(ROW(H474)-5)/7,MOD((ROW(H474)-5),7))</f>
        <v>0</v>
      </c>
      <c r="I474" s="19">
        <f ca="1">OFFSET('1课程考核方式及成绩组成'!$AL$10,(ROW(I474)-5)/7,MOD((ROW(I474)-5),7))</f>
        <v>32</v>
      </c>
      <c r="J474" s="25">
        <f ca="1">IF('0信息维护'!$I$85=0,0,E474/('0信息维护'!$I$85)*'0信息维护'!$E$35*'0信息维护'!$S$25)+IF('0信息维护'!$I$86=0,0,F474/('0信息维护'!$I$86)*'0信息维护'!$E$35*'0信息维护'!$T$25)+IF('0信息维护'!$I$87=0,0,G474/('0信息维护'!$I$87)*'0信息维护'!$E$35*'0信息维护'!$U$25)+IF('0信息维护'!$I$88=0,0,H474/('0信息维护'!$I$88)*'0信息维护'!$E$35*'0信息维护'!$V$25)+IF('0信息维护'!$I$89=0,0,I474/'0信息维护'!$I$89*'0信息维护'!$I$35)</f>
        <v>0.819444444444444</v>
      </c>
      <c r="K474" s="26">
        <f ca="1">J474*'0信息维护'!$D$132+J475*'0信息维护'!$D$133+J476*'0信息维护'!$D$134+J477*'0信息维护'!$D$135+J478*'0信息维护'!$D$136+J479*'0信息维护'!$D$137+J480*'0信息维护'!$D$138</f>
        <v>0.737916666666667</v>
      </c>
    </row>
    <row r="475" spans="1:14">
      <c r="A475" s="20"/>
      <c r="B475" s="20"/>
      <c r="C475" s="20"/>
      <c r="D475" s="18" t="str">
        <f>'0信息维护'!A$26</f>
        <v>课程目标2</v>
      </c>
      <c r="E475" s="19">
        <f ca="1">OFFSET('1课程考核方式及成绩组成'!$F$10,(ROW(E475)-5)/7,MOD((ROW(E475)-5),7))</f>
        <v>60</v>
      </c>
      <c r="F475" s="19">
        <f ca="1">OFFSET('1课程考核方式及成绩组成'!$N$10,(ROW(F475)-5)/7,MOD((ROW(F475)-5),7))</f>
        <v>0</v>
      </c>
      <c r="G475" s="19">
        <f ca="1">OFFSET('1课程考核方式及成绩组成'!$V$10,(ROW(G475)-5)/7,MOD((ROW(G475)-5),7))</f>
        <v>0</v>
      </c>
      <c r="H475" s="19">
        <f ca="1">OFFSET('1课程考核方式及成绩组成'!$AD$10,(ROW(H475)-5)/7,MOD((ROW(H475)-5),7))</f>
        <v>0</v>
      </c>
      <c r="I475" s="19">
        <f ca="1">OFFSET('1课程考核方式及成绩组成'!$AL$10,(ROW(I475)-5)/7,MOD((ROW(I475)-5),7))</f>
        <v>20</v>
      </c>
      <c r="J475" s="25">
        <f ca="1">IF('0信息维护'!$I$91=0,0,E475/('0信息维护'!$I$91)*'0信息维护'!$S$26*'0信息维护'!$E$36)+IF('0信息维护'!$I$92=0,0,F475/('0信息维护'!$I$92)*'0信息维护'!$T$26*'0信息维护'!$E$36)+IF('0信息维护'!$I$93=0,0,G475/('0信息维护'!$I$93)*'0信息维护'!$U$26*'0信息维护'!$E$36)+IF('0信息维护'!$I$94=0,0,H475/('0信息维护'!$I$94)*'0信息维护'!$V$26*'0信息维护'!$E$36)+IF('0信息维护'!$I$95=0,0,I475/'0信息维护'!$I$95*'0信息维护'!$I$36)</f>
        <v>0.833333333333333</v>
      </c>
      <c r="K475" s="27"/>
      <c r="N475" s="29"/>
    </row>
    <row r="476" spans="1:11">
      <c r="A476" s="20"/>
      <c r="B476" s="20"/>
      <c r="C476" s="20"/>
      <c r="D476" s="18" t="str">
        <f>'0信息维护'!A$27</f>
        <v>课程目标3</v>
      </c>
      <c r="E476" s="19">
        <f ca="1">OFFSET('1课程考核方式及成绩组成'!$F$10,(ROW(E476)-5)/7,MOD((ROW(E476)-5),7))</f>
        <v>0</v>
      </c>
      <c r="F476" s="19">
        <f ca="1">OFFSET('1课程考核方式及成绩组成'!$N$10,(ROW(F476)-5)/7,MOD((ROW(F476)-5),7))</f>
        <v>0</v>
      </c>
      <c r="G476" s="19">
        <f ca="1">OFFSET('1课程考核方式及成绩组成'!$V$10,(ROW(G476)-5)/7,MOD((ROW(G476)-5),7))</f>
        <v>0</v>
      </c>
      <c r="H476" s="19">
        <f ca="1">OFFSET('1课程考核方式及成绩组成'!$AD$10,(ROW(H476)-5)/7,MOD((ROW(H476)-5),7))</f>
        <v>0</v>
      </c>
      <c r="I476" s="19">
        <f ca="1">OFFSET('1课程考核方式及成绩组成'!$AL$10,(ROW(I476)-5)/7,MOD((ROW(I476)-5),7))</f>
        <v>17</v>
      </c>
      <c r="J476" s="25">
        <f ca="1">IF('0信息维护'!$I$97=0,0,E476/('0信息维护'!$I$97)*'0信息维护'!$E$37*'0信息维护'!$S$27)+IF('0信息维护'!$I$98=0,0,F476/('0信息维护'!$I$98)*'0信息维护'!$E$37*'0信息维护'!$T$27)+IF('0信息维护'!$I$99=0,0,G476/('0信息维护'!$I$99)*'0信息维护'!$E$37*'0信息维护'!$U$27)+IF('0信息维护'!$I$100=0,0,H476/('0信息维护'!$I$100)*'0信息维护'!$E$37*'0信息维护'!$V$27)+IF('0信息维护'!$I$101=0,0,I476/'0信息维护'!$I$101*'0信息维护'!$I$37)</f>
        <v>0.5</v>
      </c>
      <c r="K476" s="27"/>
    </row>
    <row r="477" spans="1:11">
      <c r="A477" s="20"/>
      <c r="B477" s="20"/>
      <c r="C477" s="20"/>
      <c r="D477" s="18" t="str">
        <f>'0信息维护'!A$28</f>
        <v>课程目标4</v>
      </c>
      <c r="E477" s="19">
        <f ca="1">OFFSET('1课程考核方式及成绩组成'!$F$10,(ROW(E477)-5)/7,MOD((ROW(E477)-5),7))</f>
        <v>0</v>
      </c>
      <c r="F477" s="19">
        <f ca="1">OFFSET('1课程考核方式及成绩组成'!$N$10,(ROW(F477)-5)/7,MOD((ROW(F477)-5),7))</f>
        <v>80</v>
      </c>
      <c r="G477" s="19">
        <f ca="1">OFFSET('1课程考核方式及成绩组成'!$V$10,(ROW(G477)-5)/7,MOD((ROW(G477)-5),7))</f>
        <v>0</v>
      </c>
      <c r="H477" s="19">
        <f ca="1">OFFSET('1课程考核方式及成绩组成'!$AD$10,(ROW(H477)-5)/7,MOD((ROW(H477)-5),7))</f>
        <v>0</v>
      </c>
      <c r="I477" s="19">
        <f ca="1">OFFSET('1课程考核方式及成绩组成'!$AL$10,(ROW(I477)-5)/7,MOD((ROW(I477)-5),7))</f>
        <v>0</v>
      </c>
      <c r="J477" s="25">
        <f ca="1">IF('0信息维护'!$I$103=0,0,E477/('0信息维护'!$I$103)*'0信息维护'!$E$38*'0信息维护'!$S$28)+IF('0信息维护'!$I$104=0,0,F477/('0信息维护'!$I$104)*'0信息维护'!$E$38*'0信息维护'!$T$28)+IF('0信息维护'!$I$105=0,0,G477/('0信息维护'!$I$105)*'0信息维护'!$E$38*'0信息维护'!$U$28)+IF('0信息维护'!$I$106=0,0,H477/('0信息维护'!$I$106)*'0信息维护'!$E$38*'0信息维护'!$V$28)+IF('0信息维护'!$I$107=0,0,I477/'0信息维护'!$I$107*'0信息维护'!$I$38)</f>
        <v>0.8</v>
      </c>
      <c r="K477" s="27"/>
    </row>
    <row r="478" spans="1:11">
      <c r="A478" s="20"/>
      <c r="B478" s="20"/>
      <c r="C478" s="20"/>
      <c r="D478" s="18" t="str">
        <f>'0信息维护'!A$29</f>
        <v>课程目标5</v>
      </c>
      <c r="E478" s="19">
        <f ca="1">OFFSET('1课程考核方式及成绩组成'!$F$10,(ROW(E478)-5)/7,MOD((ROW(E478)-5),7))</f>
        <v>0</v>
      </c>
      <c r="F478" s="19">
        <f ca="1">OFFSET('1课程考核方式及成绩组成'!$N$10,(ROW(F478)-5)/7,MOD((ROW(F478)-5),7))</f>
        <v>0</v>
      </c>
      <c r="G478" s="19">
        <f ca="1">OFFSET('1课程考核方式及成绩组成'!$V$10,(ROW(G478)-5)/7,MOD((ROW(G478)-5),7))</f>
        <v>0</v>
      </c>
      <c r="H478" s="19">
        <f ca="1">OFFSET('1课程考核方式及成绩组成'!$AD$10,(ROW(H478)-5)/7,MOD((ROW(H478)-5),7))</f>
        <v>0</v>
      </c>
      <c r="I478" s="19">
        <f ca="1">OFFSET('1课程考核方式及成绩组成'!$AL$10,(ROW(I478)-5)/7,MOD((ROW(I478)-5),7))</f>
        <v>0</v>
      </c>
      <c r="J478" s="25">
        <f ca="1">IF('0信息维护'!$I$109=0,0,E478/('0信息维护'!$I$109)*'0信息维护'!$E$39*'0信息维护'!$S$29)+IF('0信息维护'!$I$110=0,0,F478/('0信息维护'!$I$110)*'0信息维护'!$E$39*'0信息维护'!$T$29)+IF('0信息维护'!$I$111=0,0,G478/('0信息维护'!$I$111)*'0信息维护'!$E$39*'0信息维护'!$U$29)+IF('0信息维护'!$I$112=0,0,H478/('0信息维护'!$I$112)*'0信息维护'!$E$39*'0信息维护'!$V$29)+IF('0信息维护'!$I$113=0,0,I478/'0信息维护'!$I$113*'0信息维护'!$I$39)</f>
        <v>0</v>
      </c>
      <c r="K478" s="27"/>
    </row>
    <row r="479" spans="1:11">
      <c r="A479" s="20"/>
      <c r="B479" s="20"/>
      <c r="C479" s="20"/>
      <c r="D479" s="18" t="str">
        <f>'0信息维护'!A$30</f>
        <v>课程目标6</v>
      </c>
      <c r="E479" s="19">
        <f ca="1">OFFSET('1课程考核方式及成绩组成'!$F$10,(ROW(E479)-5)/7,MOD((ROW(E479)-5),7))</f>
        <v>0</v>
      </c>
      <c r="F479" s="19">
        <f ca="1">OFFSET('1课程考核方式及成绩组成'!$N$10,(ROW(F479)-5)/7,MOD((ROW(F479)-5),7))</f>
        <v>0</v>
      </c>
      <c r="G479" s="19">
        <f ca="1">OFFSET('1课程考核方式及成绩组成'!$V$10,(ROW(G479)-5)/7,MOD((ROW(G479)-5),7))</f>
        <v>0</v>
      </c>
      <c r="H479" s="19">
        <f ca="1">OFFSET('1课程考核方式及成绩组成'!$AD$10,(ROW(H479)-5)/7,MOD((ROW(H479)-5),7))</f>
        <v>0</v>
      </c>
      <c r="I479" s="19">
        <f ca="1">OFFSET('1课程考核方式及成绩组成'!$AL$10,(ROW(I479)-5)/7,MOD((ROW(I479)-5),7))</f>
        <v>0</v>
      </c>
      <c r="J479" s="25">
        <f ca="1">IF('0信息维护'!$I$115=0,0,E479/('0信息维护'!$I$115)*'0信息维护'!$E$40*'0信息维护'!$S$30)+IF('0信息维护'!$I$116=0,0,F479/('0信息维护'!$I$116)*'0信息维护'!$E$40*'0信息维护'!$T$30)+IF('0信息维护'!$I$117=0,0,G479/('0信息维护'!$I$117)*'0信息维护'!$E$40*'0信息维护'!$U$30)+IF('0信息维护'!$I$118=0,0,H479/('0信息维护'!$I$118)*'0信息维护'!$E$40*'0信息维护'!$V$30)+IF('0信息维护'!$I$119=0,0,I479/'0信息维护'!$I$119*'0信息维护'!$I$40)</f>
        <v>0</v>
      </c>
      <c r="K479" s="27"/>
    </row>
    <row r="480" spans="1:11">
      <c r="A480" s="21"/>
      <c r="B480" s="21"/>
      <c r="C480" s="21"/>
      <c r="D480" s="18" t="str">
        <f>'0信息维护'!A$31</f>
        <v>课程目标7</v>
      </c>
      <c r="E480" s="19">
        <f ca="1">OFFSET('1课程考核方式及成绩组成'!$F$10,(ROW(E480)-5)/7,MOD((ROW(E480)-5),7))</f>
        <v>0</v>
      </c>
      <c r="F480" s="19">
        <f ca="1">OFFSET('1课程考核方式及成绩组成'!$N$10,(ROW(F480)-5)/7,MOD((ROW(F480)-5),7))</f>
        <v>0</v>
      </c>
      <c r="G480" s="19">
        <f ca="1">OFFSET('1课程考核方式及成绩组成'!$V$10,(ROW(G480)-5)/7,MOD((ROW(G480)-5),7))</f>
        <v>0</v>
      </c>
      <c r="H480" s="19">
        <f ca="1">OFFSET('1课程考核方式及成绩组成'!$AD$10,(ROW(H480)-5)/7,MOD((ROW(H480)-5),7))</f>
        <v>0</v>
      </c>
      <c r="I480" s="19">
        <f ca="1">OFFSET('1课程考核方式及成绩组成'!$AL$10,(ROW(I480)-5)/7,MOD((ROW(I480)-5),7))</f>
        <v>0</v>
      </c>
      <c r="J480" s="25">
        <f ca="1">IF('0信息维护'!$I$121=0,0,E480/('0信息维护'!$I$121)*'0信息维护'!$E$41*'0信息维护'!$S$31)+IF('0信息维护'!$I$122=0,0,F480/('0信息维护'!$I$122)*'0信息维护'!$E$41*'0信息维护'!$T$31)+IF('0信息维护'!$I$123=0,0,G480/('0信息维护'!$I$123)*'0信息维护'!$E$41*'0信息维护'!$U$31)+IF('0信息维护'!$I$124=0,0,H480/('0信息维护'!$I$124)*'0信息维护'!$E$41*'0信息维护'!$T$31)+IF('0信息维护'!$I$125=0,0,I480/'0信息维护'!$I$125*'0信息维护'!$I$41)</f>
        <v>0</v>
      </c>
      <c r="K480" s="30"/>
    </row>
    <row r="481" spans="1:11">
      <c r="A481" s="17">
        <v>69</v>
      </c>
      <c r="B481" s="17" t="str">
        <f ca="1">OFFSET('1课程考核方式及成绩组成'!$D$10,(ROW(B481)-5)/7,)</f>
        <v>190302035</v>
      </c>
      <c r="C481" s="17" t="str">
        <f ca="1">OFFSET('1课程考核方式及成绩组成'!$E$10,(ROW(C481)-5)/7,)</f>
        <v>李欣原</v>
      </c>
      <c r="D481" s="18" t="str">
        <f>'0信息维护'!A$25</f>
        <v>课程目标1</v>
      </c>
      <c r="E481" s="19">
        <f ca="1">OFFSET('1课程考核方式及成绩组成'!$F$10,(ROW(E481)-5)/7,MOD((ROW(E481)-5),7))</f>
        <v>40</v>
      </c>
      <c r="F481" s="19">
        <f ca="1">OFFSET('1课程考核方式及成绩组成'!$N$10,(ROW(F481)-5)/7,MOD((ROW(F481)-5),7))</f>
        <v>0</v>
      </c>
      <c r="G481" s="19">
        <f ca="1">OFFSET('1课程考核方式及成绩组成'!$V$10,(ROW(G481)-5)/7,MOD((ROW(G481)-5),7))</f>
        <v>0</v>
      </c>
      <c r="H481" s="19">
        <f ca="1">OFFSET('1课程考核方式及成绩组成'!$AD$10,(ROW(H481)-5)/7,MOD((ROW(H481)-5),7))</f>
        <v>0</v>
      </c>
      <c r="I481" s="19">
        <f ca="1">OFFSET('1课程考核方式及成绩组成'!$AL$10,(ROW(I481)-5)/7,MOD((ROW(I481)-5),7))</f>
        <v>32</v>
      </c>
      <c r="J481" s="25">
        <f ca="1">IF('0信息维护'!$I$85=0,0,E481/('0信息维护'!$I$85)*'0信息维护'!$E$35*'0信息维护'!$S$25)+IF('0信息维护'!$I$86=0,0,F481/('0信息维护'!$I$86)*'0信息维护'!$E$35*'0信息维护'!$T$25)+IF('0信息维护'!$I$87=0,0,G481/('0信息维护'!$I$87)*'0信息维护'!$E$35*'0信息维护'!$U$25)+IF('0信息维护'!$I$88=0,0,H481/('0信息维护'!$I$88)*'0信息维护'!$E$35*'0信息维护'!$V$25)+IF('0信息维护'!$I$89=0,0,I481/'0信息维护'!$I$89*'0信息维护'!$I$35)</f>
        <v>0.944444444444444</v>
      </c>
      <c r="K481" s="26">
        <f ca="1">J481*'0信息维护'!$D$132+J482*'0信息维护'!$D$133+J483*'0信息维护'!$D$134+J484*'0信息维护'!$D$135+J485*'0信息维护'!$D$136+J486*'0信息维护'!$D$137+J487*'0信息维护'!$D$138</f>
        <v>0.926549019607843</v>
      </c>
    </row>
    <row r="482" spans="1:14">
      <c r="A482" s="20"/>
      <c r="B482" s="20"/>
      <c r="C482" s="20"/>
      <c r="D482" s="18" t="str">
        <f>'0信息维护'!A$26</f>
        <v>课程目标2</v>
      </c>
      <c r="E482" s="19">
        <f ca="1">OFFSET('1课程考核方式及成绩组成'!$F$10,(ROW(E482)-5)/7,MOD((ROW(E482)-5),7))</f>
        <v>60</v>
      </c>
      <c r="F482" s="19">
        <f ca="1">OFFSET('1课程考核方式及成绩组成'!$N$10,(ROW(F482)-5)/7,MOD((ROW(F482)-5),7))</f>
        <v>0</v>
      </c>
      <c r="G482" s="19">
        <f ca="1">OFFSET('1课程考核方式及成绩组成'!$V$10,(ROW(G482)-5)/7,MOD((ROW(G482)-5),7))</f>
        <v>0</v>
      </c>
      <c r="H482" s="19">
        <f ca="1">OFFSET('1课程考核方式及成绩组成'!$AD$10,(ROW(H482)-5)/7,MOD((ROW(H482)-5),7))</f>
        <v>0</v>
      </c>
      <c r="I482" s="19">
        <f ca="1">OFFSET('1课程考核方式及成绩组成'!$AL$10,(ROW(I482)-5)/7,MOD((ROW(I482)-5),7))</f>
        <v>30</v>
      </c>
      <c r="J482" s="25">
        <f ca="1">IF('0信息维护'!$I$91=0,0,E482/('0信息维护'!$I$91)*'0信息维护'!$S$26*'0信息维护'!$E$36)+IF('0信息维护'!$I$92=0,0,F482/('0信息维护'!$I$92)*'0信息维护'!$T$26*'0信息维护'!$E$36)+IF('0信息维护'!$I$93=0,0,G482/('0信息维护'!$I$93)*'0信息维护'!$U$26*'0信息维护'!$E$36)+IF('0信息维护'!$I$94=0,0,H482/('0信息维护'!$I$94)*'0信息维护'!$V$26*'0信息维护'!$E$36)+IF('0信息维护'!$I$95=0,0,I482/'0信息维护'!$I$95*'0信息维护'!$I$36)</f>
        <v>1</v>
      </c>
      <c r="K482" s="27"/>
      <c r="N482" s="29"/>
    </row>
    <row r="483" spans="1:11">
      <c r="A483" s="20"/>
      <c r="B483" s="20"/>
      <c r="C483" s="20"/>
      <c r="D483" s="18" t="str">
        <f>'0信息维护'!A$27</f>
        <v>课程目标3</v>
      </c>
      <c r="E483" s="19">
        <f ca="1">OFFSET('1课程考核方式及成绩组成'!$F$10,(ROW(E483)-5)/7,MOD((ROW(E483)-5),7))</f>
        <v>0</v>
      </c>
      <c r="F483" s="19">
        <f ca="1">OFFSET('1课程考核方式及成绩组成'!$N$10,(ROW(F483)-5)/7,MOD((ROW(F483)-5),7))</f>
        <v>0</v>
      </c>
      <c r="G483" s="19">
        <f ca="1">OFFSET('1课程考核方式及成绩组成'!$V$10,(ROW(G483)-5)/7,MOD((ROW(G483)-5),7))</f>
        <v>0</v>
      </c>
      <c r="H483" s="19">
        <f ca="1">OFFSET('1课程考核方式及成绩组成'!$AD$10,(ROW(H483)-5)/7,MOD((ROW(H483)-5),7))</f>
        <v>0</v>
      </c>
      <c r="I483" s="19">
        <f ca="1">OFFSET('1课程考核方式及成绩组成'!$AL$10,(ROW(I483)-5)/7,MOD((ROW(I483)-5),7))</f>
        <v>28</v>
      </c>
      <c r="J483" s="25">
        <f ca="1">IF('0信息维护'!$I$97=0,0,E483/('0信息维护'!$I$97)*'0信息维护'!$E$37*'0信息维护'!$S$27)+IF('0信息维护'!$I$98=0,0,F483/('0信息维护'!$I$98)*'0信息维护'!$E$37*'0信息维护'!$T$27)+IF('0信息维护'!$I$99=0,0,G483/('0信息维护'!$I$99)*'0信息维护'!$E$37*'0信息维护'!$U$27)+IF('0信息维护'!$I$100=0,0,H483/('0信息维护'!$I$100)*'0信息维护'!$E$37*'0信息维护'!$V$27)+IF('0信息维护'!$I$101=0,0,I483/'0信息维护'!$I$101*'0信息维护'!$I$37)</f>
        <v>0.823529411764706</v>
      </c>
      <c r="K483" s="27"/>
    </row>
    <row r="484" spans="1:11">
      <c r="A484" s="20"/>
      <c r="B484" s="20"/>
      <c r="C484" s="20"/>
      <c r="D484" s="18" t="str">
        <f>'0信息维护'!A$28</f>
        <v>课程目标4</v>
      </c>
      <c r="E484" s="19">
        <f ca="1">OFFSET('1课程考核方式及成绩组成'!$F$10,(ROW(E484)-5)/7,MOD((ROW(E484)-5),7))</f>
        <v>0</v>
      </c>
      <c r="F484" s="19">
        <f ca="1">OFFSET('1课程考核方式及成绩组成'!$N$10,(ROW(F484)-5)/7,MOD((ROW(F484)-5),7))</f>
        <v>93</v>
      </c>
      <c r="G484" s="19">
        <f ca="1">OFFSET('1课程考核方式及成绩组成'!$V$10,(ROW(G484)-5)/7,MOD((ROW(G484)-5),7))</f>
        <v>0</v>
      </c>
      <c r="H484" s="19">
        <f ca="1">OFFSET('1课程考核方式及成绩组成'!$AD$10,(ROW(H484)-5)/7,MOD((ROW(H484)-5),7))</f>
        <v>0</v>
      </c>
      <c r="I484" s="19">
        <f ca="1">OFFSET('1课程考核方式及成绩组成'!$AL$10,(ROW(I484)-5)/7,MOD((ROW(I484)-5),7))</f>
        <v>0</v>
      </c>
      <c r="J484" s="25">
        <f ca="1">IF('0信息维护'!$I$103=0,0,E484/('0信息维护'!$I$103)*'0信息维护'!$E$38*'0信息维护'!$S$28)+IF('0信息维护'!$I$104=0,0,F484/('0信息维护'!$I$104)*'0信息维护'!$E$38*'0信息维护'!$T$28)+IF('0信息维护'!$I$105=0,0,G484/('0信息维护'!$I$105)*'0信息维护'!$E$38*'0信息维护'!$U$28)+IF('0信息维护'!$I$106=0,0,H484/('0信息维护'!$I$106)*'0信息维护'!$E$38*'0信息维护'!$V$28)+IF('0信息维护'!$I$107=0,0,I484/'0信息维护'!$I$107*'0信息维护'!$I$38)</f>
        <v>0.93</v>
      </c>
      <c r="K484" s="27"/>
    </row>
    <row r="485" spans="1:11">
      <c r="A485" s="20"/>
      <c r="B485" s="20"/>
      <c r="C485" s="20"/>
      <c r="D485" s="18" t="str">
        <f>'0信息维护'!A$29</f>
        <v>课程目标5</v>
      </c>
      <c r="E485" s="19">
        <f ca="1">OFFSET('1课程考核方式及成绩组成'!$F$10,(ROW(E485)-5)/7,MOD((ROW(E485)-5),7))</f>
        <v>0</v>
      </c>
      <c r="F485" s="19">
        <f ca="1">OFFSET('1课程考核方式及成绩组成'!$N$10,(ROW(F485)-5)/7,MOD((ROW(F485)-5),7))</f>
        <v>0</v>
      </c>
      <c r="G485" s="19">
        <f ca="1">OFFSET('1课程考核方式及成绩组成'!$V$10,(ROW(G485)-5)/7,MOD((ROW(G485)-5),7))</f>
        <v>0</v>
      </c>
      <c r="H485" s="19">
        <f ca="1">OFFSET('1课程考核方式及成绩组成'!$AD$10,(ROW(H485)-5)/7,MOD((ROW(H485)-5),7))</f>
        <v>0</v>
      </c>
      <c r="I485" s="19">
        <f ca="1">OFFSET('1课程考核方式及成绩组成'!$AL$10,(ROW(I485)-5)/7,MOD((ROW(I485)-5),7))</f>
        <v>0</v>
      </c>
      <c r="J485" s="25">
        <f ca="1">IF('0信息维护'!$I$109=0,0,E485/('0信息维护'!$I$109)*'0信息维护'!$E$39*'0信息维护'!$S$29)+IF('0信息维护'!$I$110=0,0,F485/('0信息维护'!$I$110)*'0信息维护'!$E$39*'0信息维护'!$T$29)+IF('0信息维护'!$I$111=0,0,G485/('0信息维护'!$I$111)*'0信息维护'!$E$39*'0信息维护'!$U$29)+IF('0信息维护'!$I$112=0,0,H485/('0信息维护'!$I$112)*'0信息维护'!$E$39*'0信息维护'!$V$29)+IF('0信息维护'!$I$113=0,0,I485/'0信息维护'!$I$113*'0信息维护'!$I$39)</f>
        <v>0</v>
      </c>
      <c r="K485" s="27"/>
    </row>
    <row r="486" spans="1:11">
      <c r="A486" s="20"/>
      <c r="B486" s="20"/>
      <c r="C486" s="20"/>
      <c r="D486" s="18" t="str">
        <f>'0信息维护'!A$30</f>
        <v>课程目标6</v>
      </c>
      <c r="E486" s="19">
        <f ca="1">OFFSET('1课程考核方式及成绩组成'!$F$10,(ROW(E486)-5)/7,MOD((ROW(E486)-5),7))</f>
        <v>0</v>
      </c>
      <c r="F486" s="19">
        <f ca="1">OFFSET('1课程考核方式及成绩组成'!$N$10,(ROW(F486)-5)/7,MOD((ROW(F486)-5),7))</f>
        <v>0</v>
      </c>
      <c r="G486" s="19">
        <f ca="1">OFFSET('1课程考核方式及成绩组成'!$V$10,(ROW(G486)-5)/7,MOD((ROW(G486)-5),7))</f>
        <v>0</v>
      </c>
      <c r="H486" s="19">
        <f ca="1">OFFSET('1课程考核方式及成绩组成'!$AD$10,(ROW(H486)-5)/7,MOD((ROW(H486)-5),7))</f>
        <v>0</v>
      </c>
      <c r="I486" s="19">
        <f ca="1">OFFSET('1课程考核方式及成绩组成'!$AL$10,(ROW(I486)-5)/7,MOD((ROW(I486)-5),7))</f>
        <v>0</v>
      </c>
      <c r="J486" s="25">
        <f ca="1">IF('0信息维护'!$I$115=0,0,E486/('0信息维护'!$I$115)*'0信息维护'!$E$40*'0信息维护'!$S$30)+IF('0信息维护'!$I$116=0,0,F486/('0信息维护'!$I$116)*'0信息维护'!$E$40*'0信息维护'!$T$30)+IF('0信息维护'!$I$117=0,0,G486/('0信息维护'!$I$117)*'0信息维护'!$E$40*'0信息维护'!$U$30)+IF('0信息维护'!$I$118=0,0,H486/('0信息维护'!$I$118)*'0信息维护'!$E$40*'0信息维护'!$V$30)+IF('0信息维护'!$I$119=0,0,I486/'0信息维护'!$I$119*'0信息维护'!$I$40)</f>
        <v>0</v>
      </c>
      <c r="K486" s="27"/>
    </row>
    <row r="487" spans="1:11">
      <c r="A487" s="21"/>
      <c r="B487" s="21"/>
      <c r="C487" s="21"/>
      <c r="D487" s="18" t="str">
        <f>'0信息维护'!A$31</f>
        <v>课程目标7</v>
      </c>
      <c r="E487" s="19">
        <f ca="1">OFFSET('1课程考核方式及成绩组成'!$F$10,(ROW(E487)-5)/7,MOD((ROW(E487)-5),7))</f>
        <v>0</v>
      </c>
      <c r="F487" s="19">
        <f ca="1">OFFSET('1课程考核方式及成绩组成'!$N$10,(ROW(F487)-5)/7,MOD((ROW(F487)-5),7))</f>
        <v>0</v>
      </c>
      <c r="G487" s="19">
        <f ca="1">OFFSET('1课程考核方式及成绩组成'!$V$10,(ROW(G487)-5)/7,MOD((ROW(G487)-5),7))</f>
        <v>0</v>
      </c>
      <c r="H487" s="19">
        <f ca="1">OFFSET('1课程考核方式及成绩组成'!$AD$10,(ROW(H487)-5)/7,MOD((ROW(H487)-5),7))</f>
        <v>0</v>
      </c>
      <c r="I487" s="19">
        <f ca="1">OFFSET('1课程考核方式及成绩组成'!$AL$10,(ROW(I487)-5)/7,MOD((ROW(I487)-5),7))</f>
        <v>0</v>
      </c>
      <c r="J487" s="25">
        <f ca="1">IF('0信息维护'!$I$121=0,0,E487/('0信息维护'!$I$121)*'0信息维护'!$E$41*'0信息维护'!$S$31)+IF('0信息维护'!$I$122=0,0,F487/('0信息维护'!$I$122)*'0信息维护'!$E$41*'0信息维护'!$T$31)+IF('0信息维护'!$I$123=0,0,G487/('0信息维护'!$I$123)*'0信息维护'!$E$41*'0信息维护'!$U$31)+IF('0信息维护'!$I$124=0,0,H487/('0信息维护'!$I$124)*'0信息维护'!$E$41*'0信息维护'!$T$31)+IF('0信息维护'!$I$125=0,0,I487/'0信息维护'!$I$125*'0信息维护'!$I$41)</f>
        <v>0</v>
      </c>
      <c r="K487" s="30"/>
    </row>
    <row r="488" spans="1:11">
      <c r="A488" s="17">
        <v>70</v>
      </c>
      <c r="B488" s="17" t="str">
        <f ca="1">OFFSET('1课程考核方式及成绩组成'!$D$10,(ROW(B488)-5)/7,)</f>
        <v>190302036</v>
      </c>
      <c r="C488" s="17" t="str">
        <f ca="1">OFFSET('1课程考核方式及成绩组成'!$E$10,(ROW(C488)-5)/7,)</f>
        <v>胡力</v>
      </c>
      <c r="D488" s="18" t="str">
        <f>'0信息维护'!A$25</f>
        <v>课程目标1</v>
      </c>
      <c r="E488" s="19">
        <f ca="1">OFFSET('1课程考核方式及成绩组成'!$F$10,(ROW(E488)-5)/7,MOD((ROW(E488)-5),7))</f>
        <v>40</v>
      </c>
      <c r="F488" s="19">
        <f ca="1">OFFSET('1课程考核方式及成绩组成'!$N$10,(ROW(F488)-5)/7,MOD((ROW(F488)-5),7))</f>
        <v>0</v>
      </c>
      <c r="G488" s="19">
        <f ca="1">OFFSET('1课程考核方式及成绩组成'!$V$10,(ROW(G488)-5)/7,MOD((ROW(G488)-5),7))</f>
        <v>0</v>
      </c>
      <c r="H488" s="19">
        <f ca="1">OFFSET('1课程考核方式及成绩组成'!$AD$10,(ROW(H488)-5)/7,MOD((ROW(H488)-5),7))</f>
        <v>0</v>
      </c>
      <c r="I488" s="19">
        <f ca="1">OFFSET('1课程考核方式及成绩组成'!$AL$10,(ROW(I488)-5)/7,MOD((ROW(I488)-5),7))</f>
        <v>14</v>
      </c>
      <c r="J488" s="25">
        <f ca="1">IF('0信息维护'!$I$85=0,0,E488/('0信息维护'!$I$85)*'0信息维护'!$E$35*'0信息维护'!$S$25)+IF('0信息维护'!$I$86=0,0,F488/('0信息维护'!$I$86)*'0信息维护'!$E$35*'0信息维护'!$T$25)+IF('0信息维护'!$I$87=0,0,G488/('0信息维护'!$I$87)*'0信息维护'!$E$35*'0信息维护'!$U$25)+IF('0信息维护'!$I$88=0,0,H488/('0信息维护'!$I$88)*'0信息维护'!$E$35*'0信息维护'!$V$25)+IF('0信息维护'!$I$89=0,0,I488/'0信息维护'!$I$89*'0信息维护'!$I$35)</f>
        <v>0.694444444444444</v>
      </c>
      <c r="K488" s="26">
        <f ca="1">J488*'0信息维护'!$D$132+J489*'0信息维护'!$D$133+J490*'0信息维护'!$D$134+J491*'0信息维护'!$D$135+J492*'0信息维护'!$D$136+J493*'0信息维护'!$D$137+J494*'0信息维护'!$D$138</f>
        <v>0.548990196078431</v>
      </c>
    </row>
    <row r="489" spans="1:14">
      <c r="A489" s="20"/>
      <c r="B489" s="20"/>
      <c r="C489" s="20"/>
      <c r="D489" s="18" t="str">
        <f>'0信息维护'!A$26</f>
        <v>课程目标2</v>
      </c>
      <c r="E489" s="19">
        <f ca="1">OFFSET('1课程考核方式及成绩组成'!$F$10,(ROW(E489)-5)/7,MOD((ROW(E489)-5),7))</f>
        <v>60</v>
      </c>
      <c r="F489" s="19">
        <f ca="1">OFFSET('1课程考核方式及成绩组成'!$N$10,(ROW(F489)-5)/7,MOD((ROW(F489)-5),7))</f>
        <v>0</v>
      </c>
      <c r="G489" s="19">
        <f ca="1">OFFSET('1课程考核方式及成绩组成'!$V$10,(ROW(G489)-5)/7,MOD((ROW(G489)-5),7))</f>
        <v>0</v>
      </c>
      <c r="H489" s="19">
        <f ca="1">OFFSET('1课程考核方式及成绩组成'!$AD$10,(ROW(H489)-5)/7,MOD((ROW(H489)-5),7))</f>
        <v>0</v>
      </c>
      <c r="I489" s="19">
        <f ca="1">OFFSET('1课程考核方式及成绩组成'!$AL$10,(ROW(I489)-5)/7,MOD((ROW(I489)-5),7))</f>
        <v>7</v>
      </c>
      <c r="J489" s="25">
        <f ca="1">IF('0信息维护'!$I$91=0,0,E489/('0信息维护'!$I$91)*'0信息维护'!$S$26*'0信息维护'!$E$36)+IF('0信息维护'!$I$92=0,0,F489/('0信息维护'!$I$92)*'0信息维护'!$T$26*'0信息维护'!$E$36)+IF('0信息维护'!$I$93=0,0,G489/('0信息维护'!$I$93)*'0信息维护'!$U$26*'0信息维护'!$E$36)+IF('0信息维护'!$I$94=0,0,H489/('0信息维护'!$I$94)*'0信息维护'!$V$26*'0信息维护'!$E$36)+IF('0信息维护'!$I$95=0,0,I489/'0信息维护'!$I$95*'0信息维护'!$I$36)</f>
        <v>0.616666666666667</v>
      </c>
      <c r="K489" s="27"/>
      <c r="N489" s="29"/>
    </row>
    <row r="490" spans="1:11">
      <c r="A490" s="20"/>
      <c r="B490" s="20"/>
      <c r="C490" s="20"/>
      <c r="D490" s="18" t="str">
        <f>'0信息维护'!A$27</f>
        <v>课程目标3</v>
      </c>
      <c r="E490" s="19">
        <f ca="1">OFFSET('1课程考核方式及成绩组成'!$F$10,(ROW(E490)-5)/7,MOD((ROW(E490)-5),7))</f>
        <v>0</v>
      </c>
      <c r="F490" s="19">
        <f ca="1">OFFSET('1课程考核方式及成绩组成'!$N$10,(ROW(F490)-5)/7,MOD((ROW(F490)-5),7))</f>
        <v>0</v>
      </c>
      <c r="G490" s="19">
        <f ca="1">OFFSET('1课程考核方式及成绩组成'!$V$10,(ROW(G490)-5)/7,MOD((ROW(G490)-5),7))</f>
        <v>0</v>
      </c>
      <c r="H490" s="19">
        <f ca="1">OFFSET('1课程考核方式及成绩组成'!$AD$10,(ROW(H490)-5)/7,MOD((ROW(H490)-5),7))</f>
        <v>0</v>
      </c>
      <c r="I490" s="19">
        <f ca="1">OFFSET('1课程考核方式及成绩组成'!$AL$10,(ROW(I490)-5)/7,MOD((ROW(I490)-5),7))</f>
        <v>8</v>
      </c>
      <c r="J490" s="25">
        <f ca="1">IF('0信息维护'!$I$97=0,0,E490/('0信息维护'!$I$97)*'0信息维护'!$E$37*'0信息维护'!$S$27)+IF('0信息维护'!$I$98=0,0,F490/('0信息维护'!$I$98)*'0信息维护'!$E$37*'0信息维护'!$T$27)+IF('0信息维护'!$I$99=0,0,G490/('0信息维护'!$I$99)*'0信息维护'!$E$37*'0信息维护'!$U$27)+IF('0信息维护'!$I$100=0,0,H490/('0信息维护'!$I$100)*'0信息维护'!$E$37*'0信息维护'!$V$27)+IF('0信息维护'!$I$101=0,0,I490/'0信息维护'!$I$101*'0信息维护'!$I$37)</f>
        <v>0.235294117647059</v>
      </c>
      <c r="K490" s="27"/>
    </row>
    <row r="491" spans="1:11">
      <c r="A491" s="20"/>
      <c r="B491" s="20"/>
      <c r="C491" s="20"/>
      <c r="D491" s="18" t="str">
        <f>'0信息维护'!A$28</f>
        <v>课程目标4</v>
      </c>
      <c r="E491" s="19">
        <f ca="1">OFFSET('1课程考核方式及成绩组成'!$F$10,(ROW(E491)-5)/7,MOD((ROW(E491)-5),7))</f>
        <v>0</v>
      </c>
      <c r="F491" s="19">
        <f ca="1">OFFSET('1课程考核方式及成绩组成'!$N$10,(ROW(F491)-5)/7,MOD((ROW(F491)-5),7))</f>
        <v>67</v>
      </c>
      <c r="G491" s="19">
        <f ca="1">OFFSET('1课程考核方式及成绩组成'!$V$10,(ROW(G491)-5)/7,MOD((ROW(G491)-5),7))</f>
        <v>0</v>
      </c>
      <c r="H491" s="19">
        <f ca="1">OFFSET('1课程考核方式及成绩组成'!$AD$10,(ROW(H491)-5)/7,MOD((ROW(H491)-5),7))</f>
        <v>0</v>
      </c>
      <c r="I491" s="19">
        <f ca="1">OFFSET('1课程考核方式及成绩组成'!$AL$10,(ROW(I491)-5)/7,MOD((ROW(I491)-5),7))</f>
        <v>0</v>
      </c>
      <c r="J491" s="25">
        <f ca="1">IF('0信息维护'!$I$103=0,0,E491/('0信息维护'!$I$103)*'0信息维护'!$E$38*'0信息维护'!$S$28)+IF('0信息维护'!$I$104=0,0,F491/('0信息维护'!$I$104)*'0信息维护'!$E$38*'0信息维护'!$T$28)+IF('0信息维护'!$I$105=0,0,G491/('0信息维护'!$I$105)*'0信息维护'!$E$38*'0信息维护'!$U$28)+IF('0信息维护'!$I$106=0,0,H491/('0信息维护'!$I$106)*'0信息维护'!$E$38*'0信息维护'!$V$28)+IF('0信息维护'!$I$107=0,0,I491/'0信息维护'!$I$107*'0信息维护'!$I$38)</f>
        <v>0.67</v>
      </c>
      <c r="K491" s="27"/>
    </row>
    <row r="492" spans="1:11">
      <c r="A492" s="20"/>
      <c r="B492" s="20"/>
      <c r="C492" s="20"/>
      <c r="D492" s="18" t="str">
        <f>'0信息维护'!A$29</f>
        <v>课程目标5</v>
      </c>
      <c r="E492" s="19">
        <f ca="1">OFFSET('1课程考核方式及成绩组成'!$F$10,(ROW(E492)-5)/7,MOD((ROW(E492)-5),7))</f>
        <v>0</v>
      </c>
      <c r="F492" s="19">
        <f ca="1">OFFSET('1课程考核方式及成绩组成'!$N$10,(ROW(F492)-5)/7,MOD((ROW(F492)-5),7))</f>
        <v>0</v>
      </c>
      <c r="G492" s="19">
        <f ca="1">OFFSET('1课程考核方式及成绩组成'!$V$10,(ROW(G492)-5)/7,MOD((ROW(G492)-5),7))</f>
        <v>0</v>
      </c>
      <c r="H492" s="19">
        <f ca="1">OFFSET('1课程考核方式及成绩组成'!$AD$10,(ROW(H492)-5)/7,MOD((ROW(H492)-5),7))</f>
        <v>0</v>
      </c>
      <c r="I492" s="19">
        <f ca="1">OFFSET('1课程考核方式及成绩组成'!$AL$10,(ROW(I492)-5)/7,MOD((ROW(I492)-5),7))</f>
        <v>0</v>
      </c>
      <c r="J492" s="25">
        <f ca="1">IF('0信息维护'!$I$109=0,0,E492/('0信息维护'!$I$109)*'0信息维护'!$E$39*'0信息维护'!$S$29)+IF('0信息维护'!$I$110=0,0,F492/('0信息维护'!$I$110)*'0信息维护'!$E$39*'0信息维护'!$T$29)+IF('0信息维护'!$I$111=0,0,G492/('0信息维护'!$I$111)*'0信息维护'!$E$39*'0信息维护'!$U$29)+IF('0信息维护'!$I$112=0,0,H492/('0信息维护'!$I$112)*'0信息维护'!$E$39*'0信息维护'!$V$29)+IF('0信息维护'!$I$113=0,0,I492/'0信息维护'!$I$113*'0信息维护'!$I$39)</f>
        <v>0</v>
      </c>
      <c r="K492" s="27"/>
    </row>
    <row r="493" spans="1:11">
      <c r="A493" s="20"/>
      <c r="B493" s="20"/>
      <c r="C493" s="20"/>
      <c r="D493" s="18" t="str">
        <f>'0信息维护'!A$30</f>
        <v>课程目标6</v>
      </c>
      <c r="E493" s="19">
        <f ca="1">OFFSET('1课程考核方式及成绩组成'!$F$10,(ROW(E493)-5)/7,MOD((ROW(E493)-5),7))</f>
        <v>0</v>
      </c>
      <c r="F493" s="19">
        <f ca="1">OFFSET('1课程考核方式及成绩组成'!$N$10,(ROW(F493)-5)/7,MOD((ROW(F493)-5),7))</f>
        <v>0</v>
      </c>
      <c r="G493" s="19">
        <f ca="1">OFFSET('1课程考核方式及成绩组成'!$V$10,(ROW(G493)-5)/7,MOD((ROW(G493)-5),7))</f>
        <v>0</v>
      </c>
      <c r="H493" s="19">
        <f ca="1">OFFSET('1课程考核方式及成绩组成'!$AD$10,(ROW(H493)-5)/7,MOD((ROW(H493)-5),7))</f>
        <v>0</v>
      </c>
      <c r="I493" s="19">
        <f ca="1">OFFSET('1课程考核方式及成绩组成'!$AL$10,(ROW(I493)-5)/7,MOD((ROW(I493)-5),7))</f>
        <v>0</v>
      </c>
      <c r="J493" s="25">
        <f ca="1">IF('0信息维护'!$I$115=0,0,E493/('0信息维护'!$I$115)*'0信息维护'!$E$40*'0信息维护'!$S$30)+IF('0信息维护'!$I$116=0,0,F493/('0信息维护'!$I$116)*'0信息维护'!$E$40*'0信息维护'!$T$30)+IF('0信息维护'!$I$117=0,0,G493/('0信息维护'!$I$117)*'0信息维护'!$E$40*'0信息维护'!$U$30)+IF('0信息维护'!$I$118=0,0,H493/('0信息维护'!$I$118)*'0信息维护'!$E$40*'0信息维护'!$V$30)+IF('0信息维护'!$I$119=0,0,I493/'0信息维护'!$I$119*'0信息维护'!$I$40)</f>
        <v>0</v>
      </c>
      <c r="K493" s="27"/>
    </row>
    <row r="494" spans="1:11">
      <c r="A494" s="21"/>
      <c r="B494" s="21"/>
      <c r="C494" s="21"/>
      <c r="D494" s="18" t="str">
        <f>'0信息维护'!A$31</f>
        <v>课程目标7</v>
      </c>
      <c r="E494" s="19">
        <f ca="1">OFFSET('1课程考核方式及成绩组成'!$F$10,(ROW(E494)-5)/7,MOD((ROW(E494)-5),7))</f>
        <v>0</v>
      </c>
      <c r="F494" s="19">
        <f ca="1">OFFSET('1课程考核方式及成绩组成'!$N$10,(ROW(F494)-5)/7,MOD((ROW(F494)-5),7))</f>
        <v>0</v>
      </c>
      <c r="G494" s="19">
        <f ca="1">OFFSET('1课程考核方式及成绩组成'!$V$10,(ROW(G494)-5)/7,MOD((ROW(G494)-5),7))</f>
        <v>0</v>
      </c>
      <c r="H494" s="19">
        <f ca="1">OFFSET('1课程考核方式及成绩组成'!$AD$10,(ROW(H494)-5)/7,MOD((ROW(H494)-5),7))</f>
        <v>0</v>
      </c>
      <c r="I494" s="19">
        <f ca="1">OFFSET('1课程考核方式及成绩组成'!$AL$10,(ROW(I494)-5)/7,MOD((ROW(I494)-5),7))</f>
        <v>0</v>
      </c>
      <c r="J494" s="25">
        <f ca="1">IF('0信息维护'!$I$121=0,0,E494/('0信息维护'!$I$121)*'0信息维护'!$E$41*'0信息维护'!$S$31)+IF('0信息维护'!$I$122=0,0,F494/('0信息维护'!$I$122)*'0信息维护'!$E$41*'0信息维护'!$T$31)+IF('0信息维护'!$I$123=0,0,G494/('0信息维护'!$I$123)*'0信息维护'!$E$41*'0信息维护'!$U$31)+IF('0信息维护'!$I$124=0,0,H494/('0信息维护'!$I$124)*'0信息维护'!$E$41*'0信息维护'!$T$31)+IF('0信息维护'!$I$125=0,0,I494/'0信息维护'!$I$125*'0信息维护'!$I$41)</f>
        <v>0</v>
      </c>
      <c r="K494" s="30"/>
    </row>
    <row r="495" spans="1:11">
      <c r="A495" s="17">
        <v>71</v>
      </c>
      <c r="B495" s="17" t="str">
        <f ca="1">OFFSET('1课程考核方式及成绩组成'!$D$10,(ROW(B495)-5)/7,)</f>
        <v>190706024</v>
      </c>
      <c r="C495" s="17" t="str">
        <f ca="1">OFFSET('1课程考核方式及成绩组成'!$E$10,(ROW(C495)-5)/7,)</f>
        <v>余银涛</v>
      </c>
      <c r="D495" s="18" t="str">
        <f>'0信息维护'!A$25</f>
        <v>课程目标1</v>
      </c>
      <c r="E495" s="19">
        <f ca="1">OFFSET('1课程考核方式及成绩组成'!$F$10,(ROW(E495)-5)/7,MOD((ROW(E495)-5),7))</f>
        <v>40</v>
      </c>
      <c r="F495" s="19">
        <f ca="1">OFFSET('1课程考核方式及成绩组成'!$N$10,(ROW(F495)-5)/7,MOD((ROW(F495)-5),7))</f>
        <v>0</v>
      </c>
      <c r="G495" s="19">
        <f ca="1">OFFSET('1课程考核方式及成绩组成'!$V$10,(ROW(G495)-5)/7,MOD((ROW(G495)-5),7))</f>
        <v>0</v>
      </c>
      <c r="H495" s="19">
        <f ca="1">OFFSET('1课程考核方式及成绩组成'!$AD$10,(ROW(H495)-5)/7,MOD((ROW(H495)-5),7))</f>
        <v>0</v>
      </c>
      <c r="I495" s="19">
        <f ca="1">OFFSET('1课程考核方式及成绩组成'!$AL$10,(ROW(I495)-5)/7,MOD((ROW(I495)-5),7))</f>
        <v>26</v>
      </c>
      <c r="J495" s="25">
        <f ca="1">IF('0信息维护'!$I$85=0,0,E495/('0信息维护'!$I$85)*'0信息维护'!$E$35*'0信息维护'!$S$25)+IF('0信息维护'!$I$86=0,0,F495/('0信息维护'!$I$86)*'0信息维护'!$E$35*'0信息维护'!$T$25)+IF('0信息维护'!$I$87=0,0,G495/('0信息维护'!$I$87)*'0信息维护'!$E$35*'0信息维护'!$U$25)+IF('0信息维护'!$I$88=0,0,H495/('0信息维护'!$I$88)*'0信息维护'!$E$35*'0信息维护'!$V$25)+IF('0信息维护'!$I$89=0,0,I495/'0信息维护'!$I$89*'0信息维护'!$I$35)</f>
        <v>0.861111111111111</v>
      </c>
      <c r="K495" s="26">
        <f ca="1">J495*'0信息维护'!$D$132+J496*'0信息维护'!$D$133+J497*'0信息维护'!$D$134+J498*'0信息维护'!$D$135+J499*'0信息维护'!$D$136+J500*'0信息维护'!$D$137+J501*'0信息维护'!$D$138</f>
        <v>0.866637254901961</v>
      </c>
    </row>
    <row r="496" spans="1:14">
      <c r="A496" s="20"/>
      <c r="B496" s="20"/>
      <c r="C496" s="20"/>
      <c r="D496" s="18" t="str">
        <f>'0信息维护'!A$26</f>
        <v>课程目标2</v>
      </c>
      <c r="E496" s="19">
        <f ca="1">OFFSET('1课程考核方式及成绩组成'!$F$10,(ROW(E496)-5)/7,MOD((ROW(E496)-5),7))</f>
        <v>60</v>
      </c>
      <c r="F496" s="19">
        <f ca="1">OFFSET('1课程考核方式及成绩组成'!$N$10,(ROW(F496)-5)/7,MOD((ROW(F496)-5),7))</f>
        <v>0</v>
      </c>
      <c r="G496" s="19">
        <f ca="1">OFFSET('1课程考核方式及成绩组成'!$V$10,(ROW(G496)-5)/7,MOD((ROW(G496)-5),7))</f>
        <v>0</v>
      </c>
      <c r="H496" s="19">
        <f ca="1">OFFSET('1课程考核方式及成绩组成'!$AD$10,(ROW(H496)-5)/7,MOD((ROW(H496)-5),7))</f>
        <v>0</v>
      </c>
      <c r="I496" s="19">
        <f ca="1">OFFSET('1课程考核方式及成绩组成'!$AL$10,(ROW(I496)-5)/7,MOD((ROW(I496)-5),7))</f>
        <v>30</v>
      </c>
      <c r="J496" s="25">
        <f ca="1">IF('0信息维护'!$I$91=0,0,E496/('0信息维护'!$I$91)*'0信息维护'!$S$26*'0信息维护'!$E$36)+IF('0信息维护'!$I$92=0,0,F496/('0信息维护'!$I$92)*'0信息维护'!$T$26*'0信息维护'!$E$36)+IF('0信息维护'!$I$93=0,0,G496/('0信息维护'!$I$93)*'0信息维护'!$U$26*'0信息维护'!$E$36)+IF('0信息维护'!$I$94=0,0,H496/('0信息维护'!$I$94)*'0信息维护'!$V$26*'0信息维护'!$E$36)+IF('0信息维护'!$I$95=0,0,I496/'0信息维护'!$I$95*'0信息维护'!$I$36)</f>
        <v>1</v>
      </c>
      <c r="K496" s="27"/>
      <c r="N496" s="29"/>
    </row>
    <row r="497" spans="1:11">
      <c r="A497" s="20"/>
      <c r="B497" s="20"/>
      <c r="C497" s="20"/>
      <c r="D497" s="18" t="str">
        <f>'0信息维护'!A$27</f>
        <v>课程目标3</v>
      </c>
      <c r="E497" s="19">
        <f ca="1">OFFSET('1课程考核方式及成绩组成'!$F$10,(ROW(E497)-5)/7,MOD((ROW(E497)-5),7))</f>
        <v>0</v>
      </c>
      <c r="F497" s="19">
        <f ca="1">OFFSET('1课程考核方式及成绩组成'!$N$10,(ROW(F497)-5)/7,MOD((ROW(F497)-5),7))</f>
        <v>0</v>
      </c>
      <c r="G497" s="19">
        <f ca="1">OFFSET('1课程考核方式及成绩组成'!$V$10,(ROW(G497)-5)/7,MOD((ROW(G497)-5),7))</f>
        <v>0</v>
      </c>
      <c r="H497" s="19">
        <f ca="1">OFFSET('1课程考核方式及成绩组成'!$AD$10,(ROW(H497)-5)/7,MOD((ROW(H497)-5),7))</f>
        <v>0</v>
      </c>
      <c r="I497" s="19">
        <f ca="1">OFFSET('1课程考核方式及成绩组成'!$AL$10,(ROW(I497)-5)/7,MOD((ROW(I497)-5),7))</f>
        <v>24</v>
      </c>
      <c r="J497" s="25">
        <f ca="1">IF('0信息维护'!$I$97=0,0,E497/('0信息维护'!$I$97)*'0信息维护'!$E$37*'0信息维护'!$S$27)+IF('0信息维护'!$I$98=0,0,F497/('0信息维护'!$I$98)*'0信息维护'!$E$37*'0信息维护'!$T$27)+IF('0信息维护'!$I$99=0,0,G497/('0信息维护'!$I$99)*'0信息维护'!$E$37*'0信息维护'!$U$27)+IF('0信息维护'!$I$100=0,0,H497/('0信息维护'!$I$100)*'0信息维护'!$E$37*'0信息维护'!$V$27)+IF('0信息维护'!$I$101=0,0,I497/'0信息维护'!$I$101*'0信息维护'!$I$37)</f>
        <v>0.705882352941177</v>
      </c>
      <c r="K497" s="27"/>
    </row>
    <row r="498" spans="1:11">
      <c r="A498" s="20"/>
      <c r="B498" s="20"/>
      <c r="C498" s="20"/>
      <c r="D498" s="18" t="str">
        <f>'0信息维护'!A$28</f>
        <v>课程目标4</v>
      </c>
      <c r="E498" s="19">
        <f ca="1">OFFSET('1课程考核方式及成绩组成'!$F$10,(ROW(E498)-5)/7,MOD((ROW(E498)-5),7))</f>
        <v>0</v>
      </c>
      <c r="F498" s="19">
        <f ca="1">OFFSET('1课程考核方式及成绩组成'!$N$10,(ROW(F498)-5)/7,MOD((ROW(F498)-5),7))</f>
        <v>87</v>
      </c>
      <c r="G498" s="19">
        <f ca="1">OFFSET('1课程考核方式及成绩组成'!$V$10,(ROW(G498)-5)/7,MOD((ROW(G498)-5),7))</f>
        <v>0</v>
      </c>
      <c r="H498" s="19">
        <f ca="1">OFFSET('1课程考核方式及成绩组成'!$AD$10,(ROW(H498)-5)/7,MOD((ROW(H498)-5),7))</f>
        <v>0</v>
      </c>
      <c r="I498" s="19">
        <f ca="1">OFFSET('1课程考核方式及成绩组成'!$AL$10,(ROW(I498)-5)/7,MOD((ROW(I498)-5),7))</f>
        <v>0</v>
      </c>
      <c r="J498" s="25">
        <f ca="1">IF('0信息维护'!$I$103=0,0,E498/('0信息维护'!$I$103)*'0信息维护'!$E$38*'0信息维护'!$S$28)+IF('0信息维护'!$I$104=0,0,F498/('0信息维护'!$I$104)*'0信息维护'!$E$38*'0信息维护'!$T$28)+IF('0信息维护'!$I$105=0,0,G498/('0信息维护'!$I$105)*'0信息维护'!$E$38*'0信息维护'!$U$28)+IF('0信息维护'!$I$106=0,0,H498/('0信息维护'!$I$106)*'0信息维护'!$E$38*'0信息维护'!$V$28)+IF('0信息维护'!$I$107=0,0,I498/'0信息维护'!$I$107*'0信息维护'!$I$38)</f>
        <v>0.87</v>
      </c>
      <c r="K498" s="27"/>
    </row>
    <row r="499" spans="1:11">
      <c r="A499" s="20"/>
      <c r="B499" s="20"/>
      <c r="C499" s="20"/>
      <c r="D499" s="18" t="str">
        <f>'0信息维护'!A$29</f>
        <v>课程目标5</v>
      </c>
      <c r="E499" s="19">
        <f ca="1">OFFSET('1课程考核方式及成绩组成'!$F$10,(ROW(E499)-5)/7,MOD((ROW(E499)-5),7))</f>
        <v>0</v>
      </c>
      <c r="F499" s="19">
        <f ca="1">OFFSET('1课程考核方式及成绩组成'!$N$10,(ROW(F499)-5)/7,MOD((ROW(F499)-5),7))</f>
        <v>0</v>
      </c>
      <c r="G499" s="19">
        <f ca="1">OFFSET('1课程考核方式及成绩组成'!$V$10,(ROW(G499)-5)/7,MOD((ROW(G499)-5),7))</f>
        <v>0</v>
      </c>
      <c r="H499" s="19">
        <f ca="1">OFFSET('1课程考核方式及成绩组成'!$AD$10,(ROW(H499)-5)/7,MOD((ROW(H499)-5),7))</f>
        <v>0</v>
      </c>
      <c r="I499" s="19">
        <f ca="1">OFFSET('1课程考核方式及成绩组成'!$AL$10,(ROW(I499)-5)/7,MOD((ROW(I499)-5),7))</f>
        <v>0</v>
      </c>
      <c r="J499" s="25">
        <f ca="1">IF('0信息维护'!$I$109=0,0,E499/('0信息维护'!$I$109)*'0信息维护'!$E$39*'0信息维护'!$S$29)+IF('0信息维护'!$I$110=0,0,F499/('0信息维护'!$I$110)*'0信息维护'!$E$39*'0信息维护'!$T$29)+IF('0信息维护'!$I$111=0,0,G499/('0信息维护'!$I$111)*'0信息维护'!$E$39*'0信息维护'!$U$29)+IF('0信息维护'!$I$112=0,0,H499/('0信息维护'!$I$112)*'0信息维护'!$E$39*'0信息维护'!$V$29)+IF('0信息维护'!$I$113=0,0,I499/'0信息维护'!$I$113*'0信息维护'!$I$39)</f>
        <v>0</v>
      </c>
      <c r="K499" s="27"/>
    </row>
    <row r="500" spans="1:11">
      <c r="A500" s="20"/>
      <c r="B500" s="20"/>
      <c r="C500" s="20"/>
      <c r="D500" s="18" t="str">
        <f>'0信息维护'!A$30</f>
        <v>课程目标6</v>
      </c>
      <c r="E500" s="19">
        <f ca="1">OFFSET('1课程考核方式及成绩组成'!$F$10,(ROW(E500)-5)/7,MOD((ROW(E500)-5),7))</f>
        <v>0</v>
      </c>
      <c r="F500" s="19">
        <f ca="1">OFFSET('1课程考核方式及成绩组成'!$N$10,(ROW(F500)-5)/7,MOD((ROW(F500)-5),7))</f>
        <v>0</v>
      </c>
      <c r="G500" s="19">
        <f ca="1">OFFSET('1课程考核方式及成绩组成'!$V$10,(ROW(G500)-5)/7,MOD((ROW(G500)-5),7))</f>
        <v>0</v>
      </c>
      <c r="H500" s="19">
        <f ca="1">OFFSET('1课程考核方式及成绩组成'!$AD$10,(ROW(H500)-5)/7,MOD((ROW(H500)-5),7))</f>
        <v>0</v>
      </c>
      <c r="I500" s="19">
        <f ca="1">OFFSET('1课程考核方式及成绩组成'!$AL$10,(ROW(I500)-5)/7,MOD((ROW(I500)-5),7))</f>
        <v>0</v>
      </c>
      <c r="J500" s="25">
        <f ca="1">IF('0信息维护'!$I$115=0,0,E500/('0信息维护'!$I$115)*'0信息维护'!$E$40*'0信息维护'!$S$30)+IF('0信息维护'!$I$116=0,0,F500/('0信息维护'!$I$116)*'0信息维护'!$E$40*'0信息维护'!$T$30)+IF('0信息维护'!$I$117=0,0,G500/('0信息维护'!$I$117)*'0信息维护'!$E$40*'0信息维护'!$U$30)+IF('0信息维护'!$I$118=0,0,H500/('0信息维护'!$I$118)*'0信息维护'!$E$40*'0信息维护'!$V$30)+IF('0信息维护'!$I$119=0,0,I500/'0信息维护'!$I$119*'0信息维护'!$I$40)</f>
        <v>0</v>
      </c>
      <c r="K500" s="27"/>
    </row>
    <row r="501" spans="1:11">
      <c r="A501" s="21"/>
      <c r="B501" s="21"/>
      <c r="C501" s="21"/>
      <c r="D501" s="18" t="str">
        <f>'0信息维护'!A$31</f>
        <v>课程目标7</v>
      </c>
      <c r="E501" s="19">
        <f ca="1">OFFSET('1课程考核方式及成绩组成'!$F$10,(ROW(E501)-5)/7,MOD((ROW(E501)-5),7))</f>
        <v>0</v>
      </c>
      <c r="F501" s="19">
        <f ca="1">OFFSET('1课程考核方式及成绩组成'!$N$10,(ROW(F501)-5)/7,MOD((ROW(F501)-5),7))</f>
        <v>0</v>
      </c>
      <c r="G501" s="19">
        <f ca="1">OFFSET('1课程考核方式及成绩组成'!$V$10,(ROW(G501)-5)/7,MOD((ROW(G501)-5),7))</f>
        <v>0</v>
      </c>
      <c r="H501" s="19">
        <f ca="1">OFFSET('1课程考核方式及成绩组成'!$AD$10,(ROW(H501)-5)/7,MOD((ROW(H501)-5),7))</f>
        <v>0</v>
      </c>
      <c r="I501" s="19">
        <f ca="1">OFFSET('1课程考核方式及成绩组成'!$AL$10,(ROW(I501)-5)/7,MOD((ROW(I501)-5),7))</f>
        <v>0</v>
      </c>
      <c r="J501" s="25">
        <f ca="1">IF('0信息维护'!$I$121=0,0,E501/('0信息维护'!$I$121)*'0信息维护'!$E$41*'0信息维护'!$S$31)+IF('0信息维护'!$I$122=0,0,F501/('0信息维护'!$I$122)*'0信息维护'!$E$41*'0信息维护'!$T$31)+IF('0信息维护'!$I$123=0,0,G501/('0信息维护'!$I$123)*'0信息维护'!$E$41*'0信息维护'!$U$31)+IF('0信息维护'!$I$124=0,0,H501/('0信息维护'!$I$124)*'0信息维护'!$E$41*'0信息维护'!$T$31)+IF('0信息维护'!$I$125=0,0,I501/'0信息维护'!$I$125*'0信息维护'!$I$41)</f>
        <v>0</v>
      </c>
      <c r="K501" s="30"/>
    </row>
    <row r="502" spans="1:11">
      <c r="A502" s="17">
        <v>72</v>
      </c>
      <c r="B502" s="17" t="str">
        <f ca="1">OFFSET('1课程考核方式及成绩组成'!$D$10,(ROW(B502)-5)/7,)</f>
        <v>190706029</v>
      </c>
      <c r="C502" s="17" t="str">
        <f ca="1">OFFSET('1课程考核方式及成绩组成'!$E$10,(ROW(C502)-5)/7,)</f>
        <v>谢玉婷</v>
      </c>
      <c r="D502" s="18" t="str">
        <f>'0信息维护'!A$25</f>
        <v>课程目标1</v>
      </c>
      <c r="E502" s="19">
        <f ca="1">OFFSET('1课程考核方式及成绩组成'!$F$10,(ROW(E502)-5)/7,MOD((ROW(E502)-5),7))</f>
        <v>40</v>
      </c>
      <c r="F502" s="19">
        <f ca="1">OFFSET('1课程考核方式及成绩组成'!$N$10,(ROW(F502)-5)/7,MOD((ROW(F502)-5),7))</f>
        <v>0</v>
      </c>
      <c r="G502" s="19">
        <f ca="1">OFFSET('1课程考核方式及成绩组成'!$V$10,(ROW(G502)-5)/7,MOD((ROW(G502)-5),7))</f>
        <v>0</v>
      </c>
      <c r="H502" s="19">
        <f ca="1">OFFSET('1课程考核方式及成绩组成'!$AD$10,(ROW(H502)-5)/7,MOD((ROW(H502)-5),7))</f>
        <v>0</v>
      </c>
      <c r="I502" s="19">
        <f ca="1">OFFSET('1课程考核方式及成绩组成'!$AL$10,(ROW(I502)-5)/7,MOD((ROW(I502)-5),7))</f>
        <v>25</v>
      </c>
      <c r="J502" s="25">
        <f ca="1">IF('0信息维护'!$I$85=0,0,E502/('0信息维护'!$I$85)*'0信息维护'!$E$35*'0信息维护'!$S$25)+IF('0信息维护'!$I$86=0,0,F502/('0信息维护'!$I$86)*'0信息维护'!$E$35*'0信息维护'!$T$25)+IF('0信息维护'!$I$87=0,0,G502/('0信息维护'!$I$87)*'0信息维护'!$E$35*'0信息维护'!$U$25)+IF('0信息维护'!$I$88=0,0,H502/('0信息维护'!$I$88)*'0信息维护'!$E$35*'0信息维护'!$V$25)+IF('0信息维护'!$I$89=0,0,I502/'0信息维护'!$I$89*'0信息维护'!$I$35)</f>
        <v>0.847222222222222</v>
      </c>
      <c r="K502" s="26">
        <f ca="1">J502*'0信息维护'!$D$132+J503*'0信息维护'!$D$133+J504*'0信息维护'!$D$134+J505*'0信息维护'!$D$135+J506*'0信息维护'!$D$136+J507*'0信息维护'!$D$137+J508*'0信息维护'!$D$138</f>
        <v>0.765436274509804</v>
      </c>
    </row>
    <row r="503" spans="1:14">
      <c r="A503" s="20"/>
      <c r="B503" s="20"/>
      <c r="C503" s="20"/>
      <c r="D503" s="18" t="str">
        <f>'0信息维护'!A$26</f>
        <v>课程目标2</v>
      </c>
      <c r="E503" s="19">
        <f ca="1">OFFSET('1课程考核方式及成绩组成'!$F$10,(ROW(E503)-5)/7,MOD((ROW(E503)-5),7))</f>
        <v>60</v>
      </c>
      <c r="F503" s="19">
        <f ca="1">OFFSET('1课程考核方式及成绩组成'!$N$10,(ROW(F503)-5)/7,MOD((ROW(F503)-5),7))</f>
        <v>0</v>
      </c>
      <c r="G503" s="19">
        <f ca="1">OFFSET('1课程考核方式及成绩组成'!$V$10,(ROW(G503)-5)/7,MOD((ROW(G503)-5),7))</f>
        <v>0</v>
      </c>
      <c r="H503" s="19">
        <f ca="1">OFFSET('1课程考核方式及成绩组成'!$AD$10,(ROW(H503)-5)/7,MOD((ROW(H503)-5),7))</f>
        <v>0</v>
      </c>
      <c r="I503" s="19">
        <f ca="1">OFFSET('1课程考核方式及成绩组成'!$AL$10,(ROW(I503)-5)/7,MOD((ROW(I503)-5),7))</f>
        <v>22</v>
      </c>
      <c r="J503" s="25">
        <f ca="1">IF('0信息维护'!$I$91=0,0,E503/('0信息维护'!$I$91)*'0信息维护'!$S$26*'0信息维护'!$E$36)+IF('0信息维护'!$I$92=0,0,F503/('0信息维护'!$I$92)*'0信息维护'!$T$26*'0信息维护'!$E$36)+IF('0信息维护'!$I$93=0,0,G503/('0信息维护'!$I$93)*'0信息维护'!$U$26*'0信息维护'!$E$36)+IF('0信息维护'!$I$94=0,0,H503/('0信息维护'!$I$94)*'0信息维护'!$V$26*'0信息维护'!$E$36)+IF('0信息维护'!$I$95=0,0,I503/'0信息维护'!$I$95*'0信息维护'!$I$36)</f>
        <v>0.866666666666667</v>
      </c>
      <c r="K503" s="27"/>
      <c r="N503" s="29"/>
    </row>
    <row r="504" spans="1:11">
      <c r="A504" s="20"/>
      <c r="B504" s="20"/>
      <c r="C504" s="20"/>
      <c r="D504" s="18" t="str">
        <f>'0信息维护'!A$27</f>
        <v>课程目标3</v>
      </c>
      <c r="E504" s="19">
        <f ca="1">OFFSET('1课程考核方式及成绩组成'!$F$10,(ROW(E504)-5)/7,MOD((ROW(E504)-5),7))</f>
        <v>0</v>
      </c>
      <c r="F504" s="19">
        <f ca="1">OFFSET('1课程考核方式及成绩组成'!$N$10,(ROW(F504)-5)/7,MOD((ROW(F504)-5),7))</f>
        <v>0</v>
      </c>
      <c r="G504" s="19">
        <f ca="1">OFFSET('1课程考核方式及成绩组成'!$V$10,(ROW(G504)-5)/7,MOD((ROW(G504)-5),7))</f>
        <v>0</v>
      </c>
      <c r="H504" s="19">
        <f ca="1">OFFSET('1课程考核方式及成绩组成'!$AD$10,(ROW(H504)-5)/7,MOD((ROW(H504)-5),7))</f>
        <v>0</v>
      </c>
      <c r="I504" s="19">
        <f ca="1">OFFSET('1课程考核方式及成绩组成'!$AL$10,(ROW(I504)-5)/7,MOD((ROW(I504)-5),7))</f>
        <v>18</v>
      </c>
      <c r="J504" s="25">
        <f ca="1">IF('0信息维护'!$I$97=0,0,E504/('0信息维护'!$I$97)*'0信息维护'!$E$37*'0信息维护'!$S$27)+IF('0信息维护'!$I$98=0,0,F504/('0信息维护'!$I$98)*'0信息维护'!$E$37*'0信息维护'!$T$27)+IF('0信息维护'!$I$99=0,0,G504/('0信息维护'!$I$99)*'0信息维护'!$E$37*'0信息维护'!$U$27)+IF('0信息维护'!$I$100=0,0,H504/('0信息维护'!$I$100)*'0信息维护'!$E$37*'0信息维护'!$V$27)+IF('0信息维护'!$I$101=0,0,I504/'0信息维护'!$I$101*'0信息维护'!$I$37)</f>
        <v>0.529411764705882</v>
      </c>
      <c r="K504" s="27"/>
    </row>
    <row r="505" spans="1:11">
      <c r="A505" s="20"/>
      <c r="B505" s="20"/>
      <c r="C505" s="20"/>
      <c r="D505" s="18" t="str">
        <f>'0信息维护'!A$28</f>
        <v>课程目标4</v>
      </c>
      <c r="E505" s="19">
        <f ca="1">OFFSET('1课程考核方式及成绩组成'!$F$10,(ROW(E505)-5)/7,MOD((ROW(E505)-5),7))</f>
        <v>0</v>
      </c>
      <c r="F505" s="19">
        <f ca="1">OFFSET('1课程考核方式及成绩组成'!$N$10,(ROW(F505)-5)/7,MOD((ROW(F505)-5),7))</f>
        <v>82</v>
      </c>
      <c r="G505" s="19">
        <f ca="1">OFFSET('1课程考核方式及成绩组成'!$V$10,(ROW(G505)-5)/7,MOD((ROW(G505)-5),7))</f>
        <v>0</v>
      </c>
      <c r="H505" s="19">
        <f ca="1">OFFSET('1课程考核方式及成绩组成'!$AD$10,(ROW(H505)-5)/7,MOD((ROW(H505)-5),7))</f>
        <v>0</v>
      </c>
      <c r="I505" s="19">
        <f ca="1">OFFSET('1课程考核方式及成绩组成'!$AL$10,(ROW(I505)-5)/7,MOD((ROW(I505)-5),7))</f>
        <v>0</v>
      </c>
      <c r="J505" s="25">
        <f ca="1">IF('0信息维护'!$I$103=0,0,E505/('0信息维护'!$I$103)*'0信息维护'!$E$38*'0信息维护'!$S$28)+IF('0信息维护'!$I$104=0,0,F505/('0信息维护'!$I$104)*'0信息维护'!$E$38*'0信息维护'!$T$28)+IF('0信息维护'!$I$105=0,0,G505/('0信息维护'!$I$105)*'0信息维护'!$E$38*'0信息维护'!$U$28)+IF('0信息维护'!$I$106=0,0,H505/('0信息维护'!$I$106)*'0信息维护'!$E$38*'0信息维护'!$V$28)+IF('0信息维护'!$I$107=0,0,I505/'0信息维护'!$I$107*'0信息维护'!$I$38)</f>
        <v>0.82</v>
      </c>
      <c r="K505" s="27"/>
    </row>
    <row r="506" spans="1:11">
      <c r="A506" s="20"/>
      <c r="B506" s="20"/>
      <c r="C506" s="20"/>
      <c r="D506" s="18" t="str">
        <f>'0信息维护'!A$29</f>
        <v>课程目标5</v>
      </c>
      <c r="E506" s="19">
        <f ca="1">OFFSET('1课程考核方式及成绩组成'!$F$10,(ROW(E506)-5)/7,MOD((ROW(E506)-5),7))</f>
        <v>0</v>
      </c>
      <c r="F506" s="19">
        <f ca="1">OFFSET('1课程考核方式及成绩组成'!$N$10,(ROW(F506)-5)/7,MOD((ROW(F506)-5),7))</f>
        <v>0</v>
      </c>
      <c r="G506" s="19">
        <f ca="1">OFFSET('1课程考核方式及成绩组成'!$V$10,(ROW(G506)-5)/7,MOD((ROW(G506)-5),7))</f>
        <v>0</v>
      </c>
      <c r="H506" s="19">
        <f ca="1">OFFSET('1课程考核方式及成绩组成'!$AD$10,(ROW(H506)-5)/7,MOD((ROW(H506)-5),7))</f>
        <v>0</v>
      </c>
      <c r="I506" s="19">
        <f ca="1">OFFSET('1课程考核方式及成绩组成'!$AL$10,(ROW(I506)-5)/7,MOD((ROW(I506)-5),7))</f>
        <v>0</v>
      </c>
      <c r="J506" s="25">
        <f ca="1">IF('0信息维护'!$I$109=0,0,E506/('0信息维护'!$I$109)*'0信息维护'!$E$39*'0信息维护'!$S$29)+IF('0信息维护'!$I$110=0,0,F506/('0信息维护'!$I$110)*'0信息维护'!$E$39*'0信息维护'!$T$29)+IF('0信息维护'!$I$111=0,0,G506/('0信息维护'!$I$111)*'0信息维护'!$E$39*'0信息维护'!$U$29)+IF('0信息维护'!$I$112=0,0,H506/('0信息维护'!$I$112)*'0信息维护'!$E$39*'0信息维护'!$V$29)+IF('0信息维护'!$I$113=0,0,I506/'0信息维护'!$I$113*'0信息维护'!$I$39)</f>
        <v>0</v>
      </c>
      <c r="K506" s="27"/>
    </row>
    <row r="507" spans="1:11">
      <c r="A507" s="20"/>
      <c r="B507" s="20"/>
      <c r="C507" s="20"/>
      <c r="D507" s="18" t="str">
        <f>'0信息维护'!A$30</f>
        <v>课程目标6</v>
      </c>
      <c r="E507" s="19">
        <f ca="1">OFFSET('1课程考核方式及成绩组成'!$F$10,(ROW(E507)-5)/7,MOD((ROW(E507)-5),7))</f>
        <v>0</v>
      </c>
      <c r="F507" s="19">
        <f ca="1">OFFSET('1课程考核方式及成绩组成'!$N$10,(ROW(F507)-5)/7,MOD((ROW(F507)-5),7))</f>
        <v>0</v>
      </c>
      <c r="G507" s="19">
        <f ca="1">OFFSET('1课程考核方式及成绩组成'!$V$10,(ROW(G507)-5)/7,MOD((ROW(G507)-5),7))</f>
        <v>0</v>
      </c>
      <c r="H507" s="19">
        <f ca="1">OFFSET('1课程考核方式及成绩组成'!$AD$10,(ROW(H507)-5)/7,MOD((ROW(H507)-5),7))</f>
        <v>0</v>
      </c>
      <c r="I507" s="19">
        <f ca="1">OFFSET('1课程考核方式及成绩组成'!$AL$10,(ROW(I507)-5)/7,MOD((ROW(I507)-5),7))</f>
        <v>0</v>
      </c>
      <c r="J507" s="25">
        <f ca="1">IF('0信息维护'!$I$115=0,0,E507/('0信息维护'!$I$115)*'0信息维护'!$E$40*'0信息维护'!$S$30)+IF('0信息维护'!$I$116=0,0,F507/('0信息维护'!$I$116)*'0信息维护'!$E$40*'0信息维护'!$T$30)+IF('0信息维护'!$I$117=0,0,G507/('0信息维护'!$I$117)*'0信息维护'!$E$40*'0信息维护'!$U$30)+IF('0信息维护'!$I$118=0,0,H507/('0信息维护'!$I$118)*'0信息维护'!$E$40*'0信息维护'!$V$30)+IF('0信息维护'!$I$119=0,0,I507/'0信息维护'!$I$119*'0信息维护'!$I$40)</f>
        <v>0</v>
      </c>
      <c r="K507" s="27"/>
    </row>
    <row r="508" spans="1:11">
      <c r="A508" s="21"/>
      <c r="B508" s="21"/>
      <c r="C508" s="21"/>
      <c r="D508" s="18" t="str">
        <f>'0信息维护'!A$31</f>
        <v>课程目标7</v>
      </c>
      <c r="E508" s="19">
        <f ca="1">OFFSET('1课程考核方式及成绩组成'!$F$10,(ROW(E508)-5)/7,MOD((ROW(E508)-5),7))</f>
        <v>0</v>
      </c>
      <c r="F508" s="19">
        <f ca="1">OFFSET('1课程考核方式及成绩组成'!$N$10,(ROW(F508)-5)/7,MOD((ROW(F508)-5),7))</f>
        <v>0</v>
      </c>
      <c r="G508" s="19">
        <f ca="1">OFFSET('1课程考核方式及成绩组成'!$V$10,(ROW(G508)-5)/7,MOD((ROW(G508)-5),7))</f>
        <v>0</v>
      </c>
      <c r="H508" s="19">
        <f ca="1">OFFSET('1课程考核方式及成绩组成'!$AD$10,(ROW(H508)-5)/7,MOD((ROW(H508)-5),7))</f>
        <v>0</v>
      </c>
      <c r="I508" s="19">
        <f ca="1">OFFSET('1课程考核方式及成绩组成'!$AL$10,(ROW(I508)-5)/7,MOD((ROW(I508)-5),7))</f>
        <v>0</v>
      </c>
      <c r="J508" s="25">
        <f ca="1">IF('0信息维护'!$I$121=0,0,E508/('0信息维护'!$I$121)*'0信息维护'!$E$41*'0信息维护'!$S$31)+IF('0信息维护'!$I$122=0,0,F508/('0信息维护'!$I$122)*'0信息维护'!$E$41*'0信息维护'!$T$31)+IF('0信息维护'!$I$123=0,0,G508/('0信息维护'!$I$123)*'0信息维护'!$E$41*'0信息维护'!$U$31)+IF('0信息维护'!$I$124=0,0,H508/('0信息维护'!$I$124)*'0信息维护'!$E$41*'0信息维护'!$T$31)+IF('0信息维护'!$I$125=0,0,I508/'0信息维护'!$I$125*'0信息维护'!$I$41)</f>
        <v>0</v>
      </c>
      <c r="K508" s="30"/>
    </row>
    <row r="509" spans="1:11">
      <c r="A509" s="17">
        <v>73</v>
      </c>
      <c r="B509" s="17" t="str">
        <f ca="1">OFFSET('1课程考核方式及成绩组成'!$D$10,(ROW(B509)-5)/7,)</f>
        <v>190706030</v>
      </c>
      <c r="C509" s="17" t="str">
        <f ca="1">OFFSET('1课程考核方式及成绩组成'!$E$10,(ROW(C509)-5)/7,)</f>
        <v>魏雨婷</v>
      </c>
      <c r="D509" s="18" t="str">
        <f>'0信息维护'!A$25</f>
        <v>课程目标1</v>
      </c>
      <c r="E509" s="19">
        <f ca="1">OFFSET('1课程考核方式及成绩组成'!$F$10,(ROW(E509)-5)/7,MOD((ROW(E509)-5),7))</f>
        <v>40</v>
      </c>
      <c r="F509" s="19">
        <f ca="1">OFFSET('1课程考核方式及成绩组成'!$N$10,(ROW(F509)-5)/7,MOD((ROW(F509)-5),7))</f>
        <v>0</v>
      </c>
      <c r="G509" s="19">
        <f ca="1">OFFSET('1课程考核方式及成绩组成'!$V$10,(ROW(G509)-5)/7,MOD((ROW(G509)-5),7))</f>
        <v>0</v>
      </c>
      <c r="H509" s="19">
        <f ca="1">OFFSET('1课程考核方式及成绩组成'!$AD$10,(ROW(H509)-5)/7,MOD((ROW(H509)-5),7))</f>
        <v>0</v>
      </c>
      <c r="I509" s="19">
        <f ca="1">OFFSET('1课程考核方式及成绩组成'!$AL$10,(ROW(I509)-5)/7,MOD((ROW(I509)-5),7))</f>
        <v>26</v>
      </c>
      <c r="J509" s="25">
        <f ca="1">IF('0信息维护'!$I$85=0,0,E509/('0信息维护'!$I$85)*'0信息维护'!$E$35*'0信息维护'!$S$25)+IF('0信息维护'!$I$86=0,0,F509/('0信息维护'!$I$86)*'0信息维护'!$E$35*'0信息维护'!$T$25)+IF('0信息维护'!$I$87=0,0,G509/('0信息维护'!$I$87)*'0信息维护'!$E$35*'0信息维护'!$U$25)+IF('0信息维护'!$I$88=0,0,H509/('0信息维护'!$I$88)*'0信息维护'!$E$35*'0信息维护'!$V$25)+IF('0信息维护'!$I$89=0,0,I509/'0信息维护'!$I$89*'0信息维护'!$I$35)</f>
        <v>0.861111111111111</v>
      </c>
      <c r="K509" s="26">
        <f ca="1">J509*'0信息维护'!$D$132+J510*'0信息维护'!$D$133+J511*'0信息维护'!$D$134+J512*'0信息维护'!$D$135+J513*'0信息维护'!$D$136+J514*'0信息维护'!$D$137+J515*'0信息维护'!$D$138</f>
        <v>0.733107843137255</v>
      </c>
    </row>
    <row r="510" spans="1:14">
      <c r="A510" s="20"/>
      <c r="B510" s="20"/>
      <c r="C510" s="20"/>
      <c r="D510" s="18" t="str">
        <f>'0信息维护'!A$26</f>
        <v>课程目标2</v>
      </c>
      <c r="E510" s="19">
        <f ca="1">OFFSET('1课程考核方式及成绩组成'!$F$10,(ROW(E510)-5)/7,MOD((ROW(E510)-5),7))</f>
        <v>60</v>
      </c>
      <c r="F510" s="19">
        <f ca="1">OFFSET('1课程考核方式及成绩组成'!$N$10,(ROW(F510)-5)/7,MOD((ROW(F510)-5),7))</f>
        <v>0</v>
      </c>
      <c r="G510" s="19">
        <f ca="1">OFFSET('1课程考核方式及成绩组成'!$V$10,(ROW(G510)-5)/7,MOD((ROW(G510)-5),7))</f>
        <v>0</v>
      </c>
      <c r="H510" s="19">
        <f ca="1">OFFSET('1课程考核方式及成绩组成'!$AD$10,(ROW(H510)-5)/7,MOD((ROW(H510)-5),7))</f>
        <v>0</v>
      </c>
      <c r="I510" s="19">
        <f ca="1">OFFSET('1课程考核方式及成绩组成'!$AL$10,(ROW(I510)-5)/7,MOD((ROW(I510)-5),7))</f>
        <v>18</v>
      </c>
      <c r="J510" s="25">
        <f ca="1">IF('0信息维护'!$I$91=0,0,E510/('0信息维护'!$I$91)*'0信息维护'!$S$26*'0信息维护'!$E$36)+IF('0信息维护'!$I$92=0,0,F510/('0信息维护'!$I$92)*'0信息维护'!$T$26*'0信息维护'!$E$36)+IF('0信息维护'!$I$93=0,0,G510/('0信息维护'!$I$93)*'0信息维护'!$U$26*'0信息维护'!$E$36)+IF('0信息维护'!$I$94=0,0,H510/('0信息维护'!$I$94)*'0信息维护'!$V$26*'0信息维护'!$E$36)+IF('0信息维护'!$I$95=0,0,I510/'0信息维护'!$I$95*'0信息维护'!$I$36)</f>
        <v>0.8</v>
      </c>
      <c r="K510" s="27"/>
      <c r="N510" s="29"/>
    </row>
    <row r="511" spans="1:11">
      <c r="A511" s="20"/>
      <c r="B511" s="20"/>
      <c r="C511" s="20"/>
      <c r="D511" s="18" t="str">
        <f>'0信息维护'!A$27</f>
        <v>课程目标3</v>
      </c>
      <c r="E511" s="19">
        <f ca="1">OFFSET('1课程考核方式及成绩组成'!$F$10,(ROW(E511)-5)/7,MOD((ROW(E511)-5),7))</f>
        <v>0</v>
      </c>
      <c r="F511" s="19">
        <f ca="1">OFFSET('1课程考核方式及成绩组成'!$N$10,(ROW(F511)-5)/7,MOD((ROW(F511)-5),7))</f>
        <v>0</v>
      </c>
      <c r="G511" s="19">
        <f ca="1">OFFSET('1课程考核方式及成绩组成'!$V$10,(ROW(G511)-5)/7,MOD((ROW(G511)-5),7))</f>
        <v>0</v>
      </c>
      <c r="H511" s="19">
        <f ca="1">OFFSET('1课程考核方式及成绩组成'!$AD$10,(ROW(H511)-5)/7,MOD((ROW(H511)-5),7))</f>
        <v>0</v>
      </c>
      <c r="I511" s="19">
        <f ca="1">OFFSET('1课程考核方式及成绩组成'!$AL$10,(ROW(I511)-5)/7,MOD((ROW(I511)-5),7))</f>
        <v>14</v>
      </c>
      <c r="J511" s="25">
        <f ca="1">IF('0信息维护'!$I$97=0,0,E511/('0信息维护'!$I$97)*'0信息维护'!$E$37*'0信息维护'!$S$27)+IF('0信息维护'!$I$98=0,0,F511/('0信息维护'!$I$98)*'0信息维护'!$E$37*'0信息维护'!$T$27)+IF('0信息维护'!$I$99=0,0,G511/('0信息维护'!$I$99)*'0信息维护'!$E$37*'0信息维护'!$U$27)+IF('0信息维护'!$I$100=0,0,H511/('0信息维护'!$I$100)*'0信息维护'!$E$37*'0信息维护'!$V$27)+IF('0信息维护'!$I$101=0,0,I511/'0信息维护'!$I$101*'0信息维护'!$I$37)</f>
        <v>0.411764705882353</v>
      </c>
      <c r="K511" s="27"/>
    </row>
    <row r="512" spans="1:11">
      <c r="A512" s="20"/>
      <c r="B512" s="20"/>
      <c r="C512" s="20"/>
      <c r="D512" s="18" t="str">
        <f>'0信息维护'!A$28</f>
        <v>课程目标4</v>
      </c>
      <c r="E512" s="19">
        <f ca="1">OFFSET('1课程考核方式及成绩组成'!$F$10,(ROW(E512)-5)/7,MOD((ROW(E512)-5),7))</f>
        <v>0</v>
      </c>
      <c r="F512" s="19">
        <f ca="1">OFFSET('1课程考核方式及成绩组成'!$N$10,(ROW(F512)-5)/7,MOD((ROW(F512)-5),7))</f>
        <v>87</v>
      </c>
      <c r="G512" s="19">
        <f ca="1">OFFSET('1课程考核方式及成绩组成'!$V$10,(ROW(G512)-5)/7,MOD((ROW(G512)-5),7))</f>
        <v>0</v>
      </c>
      <c r="H512" s="19">
        <f ca="1">OFFSET('1课程考核方式及成绩组成'!$AD$10,(ROW(H512)-5)/7,MOD((ROW(H512)-5),7))</f>
        <v>0</v>
      </c>
      <c r="I512" s="19">
        <f ca="1">OFFSET('1课程考核方式及成绩组成'!$AL$10,(ROW(I512)-5)/7,MOD((ROW(I512)-5),7))</f>
        <v>0</v>
      </c>
      <c r="J512" s="25">
        <f ca="1">IF('0信息维护'!$I$103=0,0,E512/('0信息维护'!$I$103)*'0信息维护'!$E$38*'0信息维护'!$S$28)+IF('0信息维护'!$I$104=0,0,F512/('0信息维护'!$I$104)*'0信息维护'!$E$38*'0信息维护'!$T$28)+IF('0信息维护'!$I$105=0,0,G512/('0信息维护'!$I$105)*'0信息维护'!$E$38*'0信息维护'!$U$28)+IF('0信息维护'!$I$106=0,0,H512/('0信息维护'!$I$106)*'0信息维护'!$E$38*'0信息维护'!$V$28)+IF('0信息维护'!$I$107=0,0,I512/'0信息维护'!$I$107*'0信息维护'!$I$38)</f>
        <v>0.87</v>
      </c>
      <c r="K512" s="27"/>
    </row>
    <row r="513" spans="1:11">
      <c r="A513" s="20"/>
      <c r="B513" s="20"/>
      <c r="C513" s="20"/>
      <c r="D513" s="18" t="str">
        <f>'0信息维护'!A$29</f>
        <v>课程目标5</v>
      </c>
      <c r="E513" s="19">
        <f ca="1">OFFSET('1课程考核方式及成绩组成'!$F$10,(ROW(E513)-5)/7,MOD((ROW(E513)-5),7))</f>
        <v>0</v>
      </c>
      <c r="F513" s="19">
        <f ca="1">OFFSET('1课程考核方式及成绩组成'!$N$10,(ROW(F513)-5)/7,MOD((ROW(F513)-5),7))</f>
        <v>0</v>
      </c>
      <c r="G513" s="19">
        <f ca="1">OFFSET('1课程考核方式及成绩组成'!$V$10,(ROW(G513)-5)/7,MOD((ROW(G513)-5),7))</f>
        <v>0</v>
      </c>
      <c r="H513" s="19">
        <f ca="1">OFFSET('1课程考核方式及成绩组成'!$AD$10,(ROW(H513)-5)/7,MOD((ROW(H513)-5),7))</f>
        <v>0</v>
      </c>
      <c r="I513" s="19">
        <f ca="1">OFFSET('1课程考核方式及成绩组成'!$AL$10,(ROW(I513)-5)/7,MOD((ROW(I513)-5),7))</f>
        <v>0</v>
      </c>
      <c r="J513" s="25">
        <f ca="1">IF('0信息维护'!$I$109=0,0,E513/('0信息维护'!$I$109)*'0信息维护'!$E$39*'0信息维护'!$S$29)+IF('0信息维护'!$I$110=0,0,F513/('0信息维护'!$I$110)*'0信息维护'!$E$39*'0信息维护'!$T$29)+IF('0信息维护'!$I$111=0,0,G513/('0信息维护'!$I$111)*'0信息维护'!$E$39*'0信息维护'!$U$29)+IF('0信息维护'!$I$112=0,0,H513/('0信息维护'!$I$112)*'0信息维护'!$E$39*'0信息维护'!$V$29)+IF('0信息维护'!$I$113=0,0,I513/'0信息维护'!$I$113*'0信息维护'!$I$39)</f>
        <v>0</v>
      </c>
      <c r="K513" s="27"/>
    </row>
    <row r="514" spans="1:11">
      <c r="A514" s="20"/>
      <c r="B514" s="20"/>
      <c r="C514" s="20"/>
      <c r="D514" s="18" t="str">
        <f>'0信息维护'!A$30</f>
        <v>课程目标6</v>
      </c>
      <c r="E514" s="19">
        <f ca="1">OFFSET('1课程考核方式及成绩组成'!$F$10,(ROW(E514)-5)/7,MOD((ROW(E514)-5),7))</f>
        <v>0</v>
      </c>
      <c r="F514" s="19">
        <f ca="1">OFFSET('1课程考核方式及成绩组成'!$N$10,(ROW(F514)-5)/7,MOD((ROW(F514)-5),7))</f>
        <v>0</v>
      </c>
      <c r="G514" s="19">
        <f ca="1">OFFSET('1课程考核方式及成绩组成'!$V$10,(ROW(G514)-5)/7,MOD((ROW(G514)-5),7))</f>
        <v>0</v>
      </c>
      <c r="H514" s="19">
        <f ca="1">OFFSET('1课程考核方式及成绩组成'!$AD$10,(ROW(H514)-5)/7,MOD((ROW(H514)-5),7))</f>
        <v>0</v>
      </c>
      <c r="I514" s="19">
        <f ca="1">OFFSET('1课程考核方式及成绩组成'!$AL$10,(ROW(I514)-5)/7,MOD((ROW(I514)-5),7))</f>
        <v>0</v>
      </c>
      <c r="J514" s="25">
        <f ca="1">IF('0信息维护'!$I$115=0,0,E514/('0信息维护'!$I$115)*'0信息维护'!$E$40*'0信息维护'!$S$30)+IF('0信息维护'!$I$116=0,0,F514/('0信息维护'!$I$116)*'0信息维护'!$E$40*'0信息维护'!$T$30)+IF('0信息维护'!$I$117=0,0,G514/('0信息维护'!$I$117)*'0信息维护'!$E$40*'0信息维护'!$U$30)+IF('0信息维护'!$I$118=0,0,H514/('0信息维护'!$I$118)*'0信息维护'!$E$40*'0信息维护'!$V$30)+IF('0信息维护'!$I$119=0,0,I514/'0信息维护'!$I$119*'0信息维护'!$I$40)</f>
        <v>0</v>
      </c>
      <c r="K514" s="27"/>
    </row>
    <row r="515" spans="1:11">
      <c r="A515" s="21"/>
      <c r="B515" s="21"/>
      <c r="C515" s="21"/>
      <c r="D515" s="18" t="str">
        <f>'0信息维护'!A$31</f>
        <v>课程目标7</v>
      </c>
      <c r="E515" s="19">
        <f ca="1">OFFSET('1课程考核方式及成绩组成'!$F$10,(ROW(E515)-5)/7,MOD((ROW(E515)-5),7))</f>
        <v>0</v>
      </c>
      <c r="F515" s="19">
        <f ca="1">OFFSET('1课程考核方式及成绩组成'!$N$10,(ROW(F515)-5)/7,MOD((ROW(F515)-5),7))</f>
        <v>0</v>
      </c>
      <c r="G515" s="19">
        <f ca="1">OFFSET('1课程考核方式及成绩组成'!$V$10,(ROW(G515)-5)/7,MOD((ROW(G515)-5),7))</f>
        <v>0</v>
      </c>
      <c r="H515" s="19">
        <f ca="1">OFFSET('1课程考核方式及成绩组成'!$AD$10,(ROW(H515)-5)/7,MOD((ROW(H515)-5),7))</f>
        <v>0</v>
      </c>
      <c r="I515" s="19">
        <f ca="1">OFFSET('1课程考核方式及成绩组成'!$AL$10,(ROW(I515)-5)/7,MOD((ROW(I515)-5),7))</f>
        <v>0</v>
      </c>
      <c r="J515" s="25">
        <f ca="1">IF('0信息维护'!$I$121=0,0,E515/('0信息维护'!$I$121)*'0信息维护'!$E$41*'0信息维护'!$S$31)+IF('0信息维护'!$I$122=0,0,F515/('0信息维护'!$I$122)*'0信息维护'!$E$41*'0信息维护'!$T$31)+IF('0信息维护'!$I$123=0,0,G515/('0信息维护'!$I$123)*'0信息维护'!$E$41*'0信息维护'!$U$31)+IF('0信息维护'!$I$124=0,0,H515/('0信息维护'!$I$124)*'0信息维护'!$E$41*'0信息维护'!$T$31)+IF('0信息维护'!$I$125=0,0,I515/'0信息维护'!$I$125*'0信息维护'!$I$41)</f>
        <v>0</v>
      </c>
      <c r="K515" s="30"/>
    </row>
    <row r="516" spans="1:11">
      <c r="A516" s="17">
        <v>74</v>
      </c>
      <c r="B516" s="17" t="str">
        <f ca="1">OFFSET('1课程考核方式及成绩组成'!$D$10,(ROW(B516)-5)/7,)</f>
        <v>210110106</v>
      </c>
      <c r="C516" s="17" t="str">
        <f ca="1">OFFSET('1课程考核方式及成绩组成'!$E$10,(ROW(C516)-5)/7,)</f>
        <v>田磊</v>
      </c>
      <c r="D516" s="18" t="str">
        <f>'0信息维护'!A$25</f>
        <v>课程目标1</v>
      </c>
      <c r="E516" s="19">
        <f ca="1">OFFSET('1课程考核方式及成绩组成'!$F$10,(ROW(E516)-5)/7,MOD((ROW(E516)-5),7))</f>
        <v>34</v>
      </c>
      <c r="F516" s="19">
        <f ca="1">OFFSET('1课程考核方式及成绩组成'!$N$10,(ROW(F516)-5)/7,MOD((ROW(F516)-5),7))</f>
        <v>0</v>
      </c>
      <c r="G516" s="19">
        <f ca="1">OFFSET('1课程考核方式及成绩组成'!$V$10,(ROW(G516)-5)/7,MOD((ROW(G516)-5),7))</f>
        <v>0</v>
      </c>
      <c r="H516" s="19">
        <f ca="1">OFFSET('1课程考核方式及成绩组成'!$AD$10,(ROW(H516)-5)/7,MOD((ROW(H516)-5),7))</f>
        <v>0</v>
      </c>
      <c r="I516" s="19">
        <f ca="1">OFFSET('1课程考核方式及成绩组成'!$AL$10,(ROW(I516)-5)/7,MOD((ROW(I516)-5),7))</f>
        <v>22</v>
      </c>
      <c r="J516" s="25">
        <f ca="1">IF('0信息维护'!$I$85=0,0,E516/('0信息维护'!$I$85)*'0信息维护'!$E$35*'0信息维护'!$S$25)+IF('0信息维护'!$I$86=0,0,F516/('0信息维护'!$I$86)*'0信息维护'!$E$35*'0信息维护'!$T$25)+IF('0信息维护'!$I$87=0,0,G516/('0信息维护'!$I$87)*'0信息维护'!$E$35*'0信息维护'!$U$25)+IF('0信息维护'!$I$88=0,0,H516/('0信息维护'!$I$88)*'0信息维护'!$E$35*'0信息维护'!$V$25)+IF('0信息维护'!$I$89=0,0,I516/'0信息维护'!$I$89*'0信息维护'!$I$35)</f>
        <v>0.730555555555556</v>
      </c>
      <c r="K516" s="26">
        <f ca="1">J516*'0信息维护'!$D$132+J517*'0信息维护'!$D$133+J518*'0信息维护'!$D$134+J519*'0信息维护'!$D$135+J520*'0信息维护'!$D$136+J521*'0信息维护'!$D$137+J522*'0信息维护'!$D$138</f>
        <v>0.706142156862745</v>
      </c>
    </row>
    <row r="517" spans="1:14">
      <c r="A517" s="20"/>
      <c r="B517" s="20"/>
      <c r="C517" s="20"/>
      <c r="D517" s="18" t="str">
        <f>'0信息维护'!A$26</f>
        <v>课程目标2</v>
      </c>
      <c r="E517" s="19">
        <f ca="1">OFFSET('1课程考核方式及成绩组成'!$F$10,(ROW(E517)-5)/7,MOD((ROW(E517)-5),7))</f>
        <v>51</v>
      </c>
      <c r="F517" s="19">
        <f ca="1">OFFSET('1课程考核方式及成绩组成'!$N$10,(ROW(F517)-5)/7,MOD((ROW(F517)-5),7))</f>
        <v>0</v>
      </c>
      <c r="G517" s="19">
        <f ca="1">OFFSET('1课程考核方式及成绩组成'!$V$10,(ROW(G517)-5)/7,MOD((ROW(G517)-5),7))</f>
        <v>0</v>
      </c>
      <c r="H517" s="19">
        <f ca="1">OFFSET('1课程考核方式及成绩组成'!$AD$10,(ROW(H517)-5)/7,MOD((ROW(H517)-5),7))</f>
        <v>0</v>
      </c>
      <c r="I517" s="19">
        <f ca="1">OFFSET('1课程考核方式及成绩组成'!$AL$10,(ROW(I517)-5)/7,MOD((ROW(I517)-5),7))</f>
        <v>17</v>
      </c>
      <c r="J517" s="25">
        <f ca="1">IF('0信息维护'!$I$91=0,0,E517/('0信息维护'!$I$91)*'0信息维护'!$S$26*'0信息维护'!$E$36)+IF('0信息维护'!$I$92=0,0,F517/('0信息维护'!$I$92)*'0信息维护'!$T$26*'0信息维护'!$E$36)+IF('0信息维护'!$I$93=0,0,G517/('0信息维护'!$I$93)*'0信息维护'!$U$26*'0信息维护'!$E$36)+IF('0信息维护'!$I$94=0,0,H517/('0信息维护'!$I$94)*'0信息维护'!$V$26*'0信息维护'!$E$36)+IF('0信息维护'!$I$95=0,0,I517/'0信息维护'!$I$95*'0信息维护'!$I$36)</f>
        <v>0.708333333333333</v>
      </c>
      <c r="K517" s="27"/>
      <c r="N517" s="29"/>
    </row>
    <row r="518" spans="1:11">
      <c r="A518" s="20"/>
      <c r="B518" s="20"/>
      <c r="C518" s="20"/>
      <c r="D518" s="18" t="str">
        <f>'0信息维护'!A$27</f>
        <v>课程目标3</v>
      </c>
      <c r="E518" s="19">
        <f ca="1">OFFSET('1课程考核方式及成绩组成'!$F$10,(ROW(E518)-5)/7,MOD((ROW(E518)-5),7))</f>
        <v>0</v>
      </c>
      <c r="F518" s="19">
        <f ca="1">OFFSET('1课程考核方式及成绩组成'!$N$10,(ROW(F518)-5)/7,MOD((ROW(F518)-5),7))</f>
        <v>0</v>
      </c>
      <c r="G518" s="19">
        <f ca="1">OFFSET('1课程考核方式及成绩组成'!$V$10,(ROW(G518)-5)/7,MOD((ROW(G518)-5),7))</f>
        <v>0</v>
      </c>
      <c r="H518" s="19">
        <f ca="1">OFFSET('1课程考核方式及成绩组成'!$AD$10,(ROW(H518)-5)/7,MOD((ROW(H518)-5),7))</f>
        <v>0</v>
      </c>
      <c r="I518" s="19">
        <f ca="1">OFFSET('1课程考核方式及成绩组成'!$AL$10,(ROW(I518)-5)/7,MOD((ROW(I518)-5),7))</f>
        <v>20</v>
      </c>
      <c r="J518" s="25">
        <f ca="1">IF('0信息维护'!$I$97=0,0,E518/('0信息维护'!$I$97)*'0信息维护'!$E$37*'0信息维护'!$S$27)+IF('0信息维护'!$I$98=0,0,F518/('0信息维护'!$I$98)*'0信息维护'!$E$37*'0信息维护'!$T$27)+IF('0信息维护'!$I$99=0,0,G518/('0信息维护'!$I$99)*'0信息维护'!$E$37*'0信息维护'!$U$27)+IF('0信息维护'!$I$100=0,0,H518/('0信息维护'!$I$100)*'0信息维护'!$E$37*'0信息维护'!$V$27)+IF('0信息维护'!$I$101=0,0,I518/'0信息维护'!$I$101*'0信息维护'!$I$37)</f>
        <v>0.588235294117647</v>
      </c>
      <c r="K518" s="27"/>
    </row>
    <row r="519" spans="1:11">
      <c r="A519" s="20"/>
      <c r="B519" s="20"/>
      <c r="C519" s="20"/>
      <c r="D519" s="18" t="str">
        <f>'0信息维护'!A$28</f>
        <v>课程目标4</v>
      </c>
      <c r="E519" s="19">
        <f ca="1">OFFSET('1课程考核方式及成绩组成'!$F$10,(ROW(E519)-5)/7,MOD((ROW(E519)-5),7))</f>
        <v>0</v>
      </c>
      <c r="F519" s="19">
        <f ca="1">OFFSET('1课程考核方式及成绩组成'!$N$10,(ROW(F519)-5)/7,MOD((ROW(F519)-5),7))</f>
        <v>79</v>
      </c>
      <c r="G519" s="19">
        <f ca="1">OFFSET('1课程考核方式及成绩组成'!$V$10,(ROW(G519)-5)/7,MOD((ROW(G519)-5),7))</f>
        <v>0</v>
      </c>
      <c r="H519" s="19">
        <f ca="1">OFFSET('1课程考核方式及成绩组成'!$AD$10,(ROW(H519)-5)/7,MOD((ROW(H519)-5),7))</f>
        <v>0</v>
      </c>
      <c r="I519" s="19">
        <f ca="1">OFFSET('1课程考核方式及成绩组成'!$AL$10,(ROW(I519)-5)/7,MOD((ROW(I519)-5),7))</f>
        <v>0</v>
      </c>
      <c r="J519" s="25">
        <f ca="1">IF('0信息维护'!$I$103=0,0,E519/('0信息维护'!$I$103)*'0信息维护'!$E$38*'0信息维护'!$S$28)+IF('0信息维护'!$I$104=0,0,F519/('0信息维护'!$I$104)*'0信息维护'!$E$38*'0信息维护'!$T$28)+IF('0信息维护'!$I$105=0,0,G519/('0信息维护'!$I$105)*'0信息维护'!$E$38*'0信息维护'!$U$28)+IF('0信息维护'!$I$106=0,0,H519/('0信息维护'!$I$106)*'0信息维护'!$E$38*'0信息维护'!$V$28)+IF('0信息维护'!$I$107=0,0,I519/'0信息维护'!$I$107*'0信息维护'!$I$38)</f>
        <v>0.79</v>
      </c>
      <c r="K519" s="27"/>
    </row>
    <row r="520" spans="1:11">
      <c r="A520" s="20"/>
      <c r="B520" s="20"/>
      <c r="C520" s="20"/>
      <c r="D520" s="18" t="str">
        <f>'0信息维护'!A$29</f>
        <v>课程目标5</v>
      </c>
      <c r="E520" s="19">
        <f ca="1">OFFSET('1课程考核方式及成绩组成'!$F$10,(ROW(E520)-5)/7,MOD((ROW(E520)-5),7))</f>
        <v>0</v>
      </c>
      <c r="F520" s="19">
        <f ca="1">OFFSET('1课程考核方式及成绩组成'!$N$10,(ROW(F520)-5)/7,MOD((ROW(F520)-5),7))</f>
        <v>0</v>
      </c>
      <c r="G520" s="19">
        <f ca="1">OFFSET('1课程考核方式及成绩组成'!$V$10,(ROW(G520)-5)/7,MOD((ROW(G520)-5),7))</f>
        <v>0</v>
      </c>
      <c r="H520" s="19">
        <f ca="1">OFFSET('1课程考核方式及成绩组成'!$AD$10,(ROW(H520)-5)/7,MOD((ROW(H520)-5),7))</f>
        <v>0</v>
      </c>
      <c r="I520" s="19">
        <f ca="1">OFFSET('1课程考核方式及成绩组成'!$AL$10,(ROW(I520)-5)/7,MOD((ROW(I520)-5),7))</f>
        <v>0</v>
      </c>
      <c r="J520" s="25">
        <f ca="1">IF('0信息维护'!$I$109=0,0,E520/('0信息维护'!$I$109)*'0信息维护'!$E$39*'0信息维护'!$S$29)+IF('0信息维护'!$I$110=0,0,F520/('0信息维护'!$I$110)*'0信息维护'!$E$39*'0信息维护'!$T$29)+IF('0信息维护'!$I$111=0,0,G520/('0信息维护'!$I$111)*'0信息维护'!$E$39*'0信息维护'!$U$29)+IF('0信息维护'!$I$112=0,0,H520/('0信息维护'!$I$112)*'0信息维护'!$E$39*'0信息维护'!$V$29)+IF('0信息维护'!$I$113=0,0,I520/'0信息维护'!$I$113*'0信息维护'!$I$39)</f>
        <v>0</v>
      </c>
      <c r="K520" s="27"/>
    </row>
    <row r="521" spans="1:11">
      <c r="A521" s="20"/>
      <c r="B521" s="20"/>
      <c r="C521" s="20"/>
      <c r="D521" s="18" t="str">
        <f>'0信息维护'!A$30</f>
        <v>课程目标6</v>
      </c>
      <c r="E521" s="19">
        <f ca="1">OFFSET('1课程考核方式及成绩组成'!$F$10,(ROW(E521)-5)/7,MOD((ROW(E521)-5),7))</f>
        <v>0</v>
      </c>
      <c r="F521" s="19">
        <f ca="1">OFFSET('1课程考核方式及成绩组成'!$N$10,(ROW(F521)-5)/7,MOD((ROW(F521)-5),7))</f>
        <v>0</v>
      </c>
      <c r="G521" s="19">
        <f ca="1">OFFSET('1课程考核方式及成绩组成'!$V$10,(ROW(G521)-5)/7,MOD((ROW(G521)-5),7))</f>
        <v>0</v>
      </c>
      <c r="H521" s="19">
        <f ca="1">OFFSET('1课程考核方式及成绩组成'!$AD$10,(ROW(H521)-5)/7,MOD((ROW(H521)-5),7))</f>
        <v>0</v>
      </c>
      <c r="I521" s="19">
        <f ca="1">OFFSET('1课程考核方式及成绩组成'!$AL$10,(ROW(I521)-5)/7,MOD((ROW(I521)-5),7))</f>
        <v>0</v>
      </c>
      <c r="J521" s="25">
        <f ca="1">IF('0信息维护'!$I$115=0,0,E521/('0信息维护'!$I$115)*'0信息维护'!$E$40*'0信息维护'!$S$30)+IF('0信息维护'!$I$116=0,0,F521/('0信息维护'!$I$116)*'0信息维护'!$E$40*'0信息维护'!$T$30)+IF('0信息维护'!$I$117=0,0,G521/('0信息维护'!$I$117)*'0信息维护'!$E$40*'0信息维护'!$U$30)+IF('0信息维护'!$I$118=0,0,H521/('0信息维护'!$I$118)*'0信息维护'!$E$40*'0信息维护'!$V$30)+IF('0信息维护'!$I$119=0,0,I521/'0信息维护'!$I$119*'0信息维护'!$I$40)</f>
        <v>0</v>
      </c>
      <c r="K521" s="27"/>
    </row>
    <row r="522" spans="1:11">
      <c r="A522" s="21"/>
      <c r="B522" s="21"/>
      <c r="C522" s="21"/>
      <c r="D522" s="18" t="str">
        <f>'0信息维护'!A$31</f>
        <v>课程目标7</v>
      </c>
      <c r="E522" s="19">
        <f ca="1">OFFSET('1课程考核方式及成绩组成'!$F$10,(ROW(E522)-5)/7,MOD((ROW(E522)-5),7))</f>
        <v>0</v>
      </c>
      <c r="F522" s="19">
        <f ca="1">OFFSET('1课程考核方式及成绩组成'!$N$10,(ROW(F522)-5)/7,MOD((ROW(F522)-5),7))</f>
        <v>0</v>
      </c>
      <c r="G522" s="19">
        <f ca="1">OFFSET('1课程考核方式及成绩组成'!$V$10,(ROW(G522)-5)/7,MOD((ROW(G522)-5),7))</f>
        <v>0</v>
      </c>
      <c r="H522" s="19">
        <f ca="1">OFFSET('1课程考核方式及成绩组成'!$AD$10,(ROW(H522)-5)/7,MOD((ROW(H522)-5),7))</f>
        <v>0</v>
      </c>
      <c r="I522" s="19">
        <f ca="1">OFFSET('1课程考核方式及成绩组成'!$AL$10,(ROW(I522)-5)/7,MOD((ROW(I522)-5),7))</f>
        <v>0</v>
      </c>
      <c r="J522" s="25">
        <f ca="1">IF('0信息维护'!$I$121=0,0,E522/('0信息维护'!$I$121)*'0信息维护'!$E$41*'0信息维护'!$S$31)+IF('0信息维护'!$I$122=0,0,F522/('0信息维护'!$I$122)*'0信息维护'!$E$41*'0信息维护'!$T$31)+IF('0信息维护'!$I$123=0,0,G522/('0信息维护'!$I$123)*'0信息维护'!$E$41*'0信息维护'!$U$31)+IF('0信息维护'!$I$124=0,0,H522/('0信息维护'!$I$124)*'0信息维护'!$E$41*'0信息维护'!$T$31)+IF('0信息维护'!$I$125=0,0,I522/'0信息维护'!$I$125*'0信息维护'!$I$41)</f>
        <v>0</v>
      </c>
      <c r="K522" s="30"/>
    </row>
    <row r="523" spans="1:11">
      <c r="A523" s="17">
        <v>75</v>
      </c>
      <c r="B523" s="17" t="str">
        <f ca="1">OFFSET('1课程考核方式及成绩组成'!$D$10,(ROW(B523)-5)/7,)</f>
        <v>210402111</v>
      </c>
      <c r="C523" s="17" t="str">
        <f ca="1">OFFSET('1课程考核方式及成绩组成'!$E$10,(ROW(C523)-5)/7,)</f>
        <v>汪博伦</v>
      </c>
      <c r="D523" s="18" t="str">
        <f>'0信息维护'!A$25</f>
        <v>课程目标1</v>
      </c>
      <c r="E523" s="19">
        <f ca="1">OFFSET('1课程考核方式及成绩组成'!$F$10,(ROW(E523)-5)/7,MOD((ROW(E523)-5),7))</f>
        <v>32</v>
      </c>
      <c r="F523" s="19">
        <f ca="1">OFFSET('1课程考核方式及成绩组成'!$N$10,(ROW(F523)-5)/7,MOD((ROW(F523)-5),7))</f>
        <v>0</v>
      </c>
      <c r="G523" s="19">
        <f ca="1">OFFSET('1课程考核方式及成绩组成'!$V$10,(ROW(G523)-5)/7,MOD((ROW(G523)-5),7))</f>
        <v>0</v>
      </c>
      <c r="H523" s="19">
        <f ca="1">OFFSET('1课程考核方式及成绩组成'!$AD$10,(ROW(H523)-5)/7,MOD((ROW(H523)-5),7))</f>
        <v>0</v>
      </c>
      <c r="I523" s="19">
        <f ca="1">OFFSET('1课程考核方式及成绩组成'!$AL$10,(ROW(I523)-5)/7,MOD((ROW(I523)-5),7))</f>
        <v>22</v>
      </c>
      <c r="J523" s="25">
        <f ca="1">IF('0信息维护'!$I$85=0,0,E523/('0信息维护'!$I$85)*'0信息维护'!$E$35*'0信息维护'!$S$25)+IF('0信息维护'!$I$86=0,0,F523/('0信息维护'!$I$86)*'0信息维护'!$E$35*'0信息维护'!$T$25)+IF('0信息维护'!$I$87=0,0,G523/('0信息维护'!$I$87)*'0信息维护'!$E$35*'0信息维护'!$U$25)+IF('0信息维护'!$I$88=0,0,H523/('0信息维护'!$I$88)*'0信息维护'!$E$35*'0信息维护'!$V$25)+IF('0信息维护'!$I$89=0,0,I523/'0信息维护'!$I$89*'0信息维护'!$I$35)</f>
        <v>0.705555555555556</v>
      </c>
      <c r="K523" s="26">
        <f ca="1">J523*'0信息维护'!$D$132+J524*'0信息维护'!$D$133+J525*'0信息维护'!$D$134+J526*'0信息维护'!$D$135+J527*'0信息维护'!$D$136+J528*'0信息维护'!$D$137+J529*'0信息维护'!$D$138</f>
        <v>0.642127450980392</v>
      </c>
    </row>
    <row r="524" spans="1:14">
      <c r="A524" s="20"/>
      <c r="B524" s="20"/>
      <c r="C524" s="20"/>
      <c r="D524" s="18" t="str">
        <f>'0信息维护'!A$26</f>
        <v>课程目标2</v>
      </c>
      <c r="E524" s="19">
        <f ca="1">OFFSET('1课程考核方式及成绩组成'!$F$10,(ROW(E524)-5)/7,MOD((ROW(E524)-5),7))</f>
        <v>50</v>
      </c>
      <c r="F524" s="19">
        <f ca="1">OFFSET('1课程考核方式及成绩组成'!$N$10,(ROW(F524)-5)/7,MOD((ROW(F524)-5),7))</f>
        <v>0</v>
      </c>
      <c r="G524" s="19">
        <f ca="1">OFFSET('1课程考核方式及成绩组成'!$V$10,(ROW(G524)-5)/7,MOD((ROW(G524)-5),7))</f>
        <v>0</v>
      </c>
      <c r="H524" s="19">
        <f ca="1">OFFSET('1课程考核方式及成绩组成'!$AD$10,(ROW(H524)-5)/7,MOD((ROW(H524)-5),7))</f>
        <v>0</v>
      </c>
      <c r="I524" s="19">
        <f ca="1">OFFSET('1课程考核方式及成绩组成'!$AL$10,(ROW(I524)-5)/7,MOD((ROW(I524)-5),7))</f>
        <v>11</v>
      </c>
      <c r="J524" s="25">
        <f ca="1">IF('0信息维护'!$I$91=0,0,E524/('0信息维护'!$I$91)*'0信息维护'!$S$26*'0信息维护'!$E$36)+IF('0信息维护'!$I$92=0,0,F524/('0信息维护'!$I$92)*'0信息维护'!$T$26*'0信息维护'!$E$36)+IF('0信息维护'!$I$93=0,0,G524/('0信息维护'!$I$93)*'0信息维护'!$U$26*'0信息维护'!$E$36)+IF('0信息维护'!$I$94=0,0,H524/('0信息维护'!$I$94)*'0信息维护'!$V$26*'0信息维护'!$E$36)+IF('0信息维护'!$I$95=0,0,I524/'0信息维护'!$I$95*'0信息维护'!$I$36)</f>
        <v>0.6</v>
      </c>
      <c r="K524" s="27"/>
      <c r="N524" s="29"/>
    </row>
    <row r="525" spans="1:11">
      <c r="A525" s="20"/>
      <c r="B525" s="20"/>
      <c r="C525" s="20"/>
      <c r="D525" s="18" t="str">
        <f>'0信息维护'!A$27</f>
        <v>课程目标3</v>
      </c>
      <c r="E525" s="19">
        <f ca="1">OFFSET('1课程考核方式及成绩组成'!$F$10,(ROW(E525)-5)/7,MOD((ROW(E525)-5),7))</f>
        <v>0</v>
      </c>
      <c r="F525" s="19">
        <f ca="1">OFFSET('1课程考核方式及成绩组成'!$N$10,(ROW(F525)-5)/7,MOD((ROW(F525)-5),7))</f>
        <v>0</v>
      </c>
      <c r="G525" s="19">
        <f ca="1">OFFSET('1课程考核方式及成绩组成'!$V$10,(ROW(G525)-5)/7,MOD((ROW(G525)-5),7))</f>
        <v>0</v>
      </c>
      <c r="H525" s="19">
        <f ca="1">OFFSET('1课程考核方式及成绩组成'!$AD$10,(ROW(H525)-5)/7,MOD((ROW(H525)-5),7))</f>
        <v>0</v>
      </c>
      <c r="I525" s="19">
        <f ca="1">OFFSET('1课程考核方式及成绩组成'!$AL$10,(ROW(I525)-5)/7,MOD((ROW(I525)-5),7))</f>
        <v>15</v>
      </c>
      <c r="J525" s="25">
        <f ca="1">IF('0信息维护'!$I$97=0,0,E525/('0信息维护'!$I$97)*'0信息维护'!$E$37*'0信息维护'!$S$27)+IF('0信息维护'!$I$98=0,0,F525/('0信息维护'!$I$98)*'0信息维护'!$E$37*'0信息维护'!$T$27)+IF('0信息维护'!$I$99=0,0,G525/('0信息维护'!$I$99)*'0信息维护'!$E$37*'0信息维护'!$U$27)+IF('0信息维护'!$I$100=0,0,H525/('0信息维护'!$I$100)*'0信息维护'!$E$37*'0信息维护'!$V$27)+IF('0信息维护'!$I$101=0,0,I525/'0信息维护'!$I$101*'0信息维护'!$I$37)</f>
        <v>0.441176470588235</v>
      </c>
      <c r="K525" s="27"/>
    </row>
    <row r="526" spans="1:11">
      <c r="A526" s="20"/>
      <c r="B526" s="20"/>
      <c r="C526" s="20"/>
      <c r="D526" s="18" t="str">
        <f>'0信息维护'!A$28</f>
        <v>课程目标4</v>
      </c>
      <c r="E526" s="19">
        <f ca="1">OFFSET('1课程考核方式及成绩组成'!$F$10,(ROW(E526)-5)/7,MOD((ROW(E526)-5),7))</f>
        <v>0</v>
      </c>
      <c r="F526" s="19">
        <f ca="1">OFFSET('1课程考核方式及成绩组成'!$N$10,(ROW(F526)-5)/7,MOD((ROW(F526)-5),7))</f>
        <v>82</v>
      </c>
      <c r="G526" s="19">
        <f ca="1">OFFSET('1课程考核方式及成绩组成'!$V$10,(ROW(G526)-5)/7,MOD((ROW(G526)-5),7))</f>
        <v>0</v>
      </c>
      <c r="H526" s="19">
        <f ca="1">OFFSET('1课程考核方式及成绩组成'!$AD$10,(ROW(H526)-5)/7,MOD((ROW(H526)-5),7))</f>
        <v>0</v>
      </c>
      <c r="I526" s="19">
        <f ca="1">OFFSET('1课程考核方式及成绩组成'!$AL$10,(ROW(I526)-5)/7,MOD((ROW(I526)-5),7))</f>
        <v>0</v>
      </c>
      <c r="J526" s="25">
        <f ca="1">IF('0信息维护'!$I$103=0,0,E526/('0信息维护'!$I$103)*'0信息维护'!$E$38*'0信息维护'!$S$28)+IF('0信息维护'!$I$104=0,0,F526/('0信息维护'!$I$104)*'0信息维护'!$E$38*'0信息维护'!$T$28)+IF('0信息维护'!$I$105=0,0,G526/('0信息维护'!$I$105)*'0信息维护'!$E$38*'0信息维护'!$U$28)+IF('0信息维护'!$I$106=0,0,H526/('0信息维护'!$I$106)*'0信息维护'!$E$38*'0信息维护'!$V$28)+IF('0信息维护'!$I$107=0,0,I526/'0信息维护'!$I$107*'0信息维护'!$I$38)</f>
        <v>0.82</v>
      </c>
      <c r="K526" s="27"/>
    </row>
    <row r="527" spans="1:11">
      <c r="A527" s="20"/>
      <c r="B527" s="20"/>
      <c r="C527" s="20"/>
      <c r="D527" s="18" t="str">
        <f>'0信息维护'!A$29</f>
        <v>课程目标5</v>
      </c>
      <c r="E527" s="19">
        <f ca="1">OFFSET('1课程考核方式及成绩组成'!$F$10,(ROW(E527)-5)/7,MOD((ROW(E527)-5),7))</f>
        <v>0</v>
      </c>
      <c r="F527" s="19">
        <f ca="1">OFFSET('1课程考核方式及成绩组成'!$N$10,(ROW(F527)-5)/7,MOD((ROW(F527)-5),7))</f>
        <v>0</v>
      </c>
      <c r="G527" s="19">
        <f ca="1">OFFSET('1课程考核方式及成绩组成'!$V$10,(ROW(G527)-5)/7,MOD((ROW(G527)-5),7))</f>
        <v>0</v>
      </c>
      <c r="H527" s="19">
        <f ca="1">OFFSET('1课程考核方式及成绩组成'!$AD$10,(ROW(H527)-5)/7,MOD((ROW(H527)-5),7))</f>
        <v>0</v>
      </c>
      <c r="I527" s="19">
        <f ca="1">OFFSET('1课程考核方式及成绩组成'!$AL$10,(ROW(I527)-5)/7,MOD((ROW(I527)-5),7))</f>
        <v>0</v>
      </c>
      <c r="J527" s="25">
        <f ca="1">IF('0信息维护'!$I$109=0,0,E527/('0信息维护'!$I$109)*'0信息维护'!$E$39*'0信息维护'!$S$29)+IF('0信息维护'!$I$110=0,0,F527/('0信息维护'!$I$110)*'0信息维护'!$E$39*'0信息维护'!$T$29)+IF('0信息维护'!$I$111=0,0,G527/('0信息维护'!$I$111)*'0信息维护'!$E$39*'0信息维护'!$U$29)+IF('0信息维护'!$I$112=0,0,H527/('0信息维护'!$I$112)*'0信息维护'!$E$39*'0信息维护'!$V$29)+IF('0信息维护'!$I$113=0,0,I527/'0信息维护'!$I$113*'0信息维护'!$I$39)</f>
        <v>0</v>
      </c>
      <c r="K527" s="27"/>
    </row>
    <row r="528" spans="1:11">
      <c r="A528" s="20"/>
      <c r="B528" s="20"/>
      <c r="C528" s="20"/>
      <c r="D528" s="18" t="str">
        <f>'0信息维护'!A$30</f>
        <v>课程目标6</v>
      </c>
      <c r="E528" s="19">
        <f ca="1">OFFSET('1课程考核方式及成绩组成'!$F$10,(ROW(E528)-5)/7,MOD((ROW(E528)-5),7))</f>
        <v>0</v>
      </c>
      <c r="F528" s="19">
        <f ca="1">OFFSET('1课程考核方式及成绩组成'!$N$10,(ROW(F528)-5)/7,MOD((ROW(F528)-5),7))</f>
        <v>0</v>
      </c>
      <c r="G528" s="19">
        <f ca="1">OFFSET('1课程考核方式及成绩组成'!$V$10,(ROW(G528)-5)/7,MOD((ROW(G528)-5),7))</f>
        <v>0</v>
      </c>
      <c r="H528" s="19">
        <f ca="1">OFFSET('1课程考核方式及成绩组成'!$AD$10,(ROW(H528)-5)/7,MOD((ROW(H528)-5),7))</f>
        <v>0</v>
      </c>
      <c r="I528" s="19">
        <f ca="1">OFFSET('1课程考核方式及成绩组成'!$AL$10,(ROW(I528)-5)/7,MOD((ROW(I528)-5),7))</f>
        <v>0</v>
      </c>
      <c r="J528" s="25">
        <f ca="1">IF('0信息维护'!$I$115=0,0,E528/('0信息维护'!$I$115)*'0信息维护'!$E$40*'0信息维护'!$S$30)+IF('0信息维护'!$I$116=0,0,F528/('0信息维护'!$I$116)*'0信息维护'!$E$40*'0信息维护'!$T$30)+IF('0信息维护'!$I$117=0,0,G528/('0信息维护'!$I$117)*'0信息维护'!$E$40*'0信息维护'!$U$30)+IF('0信息维护'!$I$118=0,0,H528/('0信息维护'!$I$118)*'0信息维护'!$E$40*'0信息维护'!$V$30)+IF('0信息维护'!$I$119=0,0,I528/'0信息维护'!$I$119*'0信息维护'!$I$40)</f>
        <v>0</v>
      </c>
      <c r="K528" s="27"/>
    </row>
    <row r="529" spans="1:11">
      <c r="A529" s="21"/>
      <c r="B529" s="21"/>
      <c r="C529" s="21"/>
      <c r="D529" s="18" t="str">
        <f>'0信息维护'!A$31</f>
        <v>课程目标7</v>
      </c>
      <c r="E529" s="19">
        <f ca="1">OFFSET('1课程考核方式及成绩组成'!$F$10,(ROW(E529)-5)/7,MOD((ROW(E529)-5),7))</f>
        <v>0</v>
      </c>
      <c r="F529" s="19">
        <f ca="1">OFFSET('1课程考核方式及成绩组成'!$N$10,(ROW(F529)-5)/7,MOD((ROW(F529)-5),7))</f>
        <v>0</v>
      </c>
      <c r="G529" s="19">
        <f ca="1">OFFSET('1课程考核方式及成绩组成'!$V$10,(ROW(G529)-5)/7,MOD((ROW(G529)-5),7))</f>
        <v>0</v>
      </c>
      <c r="H529" s="19">
        <f ca="1">OFFSET('1课程考核方式及成绩组成'!$AD$10,(ROW(H529)-5)/7,MOD((ROW(H529)-5),7))</f>
        <v>0</v>
      </c>
      <c r="I529" s="19">
        <f ca="1">OFFSET('1课程考核方式及成绩组成'!$AL$10,(ROW(I529)-5)/7,MOD((ROW(I529)-5),7))</f>
        <v>0</v>
      </c>
      <c r="J529" s="25">
        <f ca="1">IF('0信息维护'!$I$121=0,0,E529/('0信息维护'!$I$121)*'0信息维护'!$E$41*'0信息维护'!$S$31)+IF('0信息维护'!$I$122=0,0,F529/('0信息维护'!$I$122)*'0信息维护'!$E$41*'0信息维护'!$T$31)+IF('0信息维护'!$I$123=0,0,G529/('0信息维护'!$I$123)*'0信息维护'!$E$41*'0信息维护'!$U$31)+IF('0信息维护'!$I$124=0,0,H529/('0信息维护'!$I$124)*'0信息维护'!$E$41*'0信息维护'!$T$31)+IF('0信息维护'!$I$125=0,0,I529/'0信息维护'!$I$125*'0信息维护'!$I$41)</f>
        <v>0</v>
      </c>
      <c r="K529" s="30"/>
    </row>
    <row r="530" spans="1:11">
      <c r="A530" s="17">
        <v>76</v>
      </c>
      <c r="B530" s="17" t="str">
        <f ca="1">OFFSET('1课程考核方式及成绩组成'!$D$10,(ROW(B530)-5)/7,)</f>
        <v>210402112</v>
      </c>
      <c r="C530" s="17" t="str">
        <f ca="1">OFFSET('1课程考核方式及成绩组成'!$E$10,(ROW(C530)-5)/7,)</f>
        <v>李乐斌</v>
      </c>
      <c r="D530" s="18" t="str">
        <f>'0信息维护'!A$25</f>
        <v>课程目标1</v>
      </c>
      <c r="E530" s="19">
        <f ca="1">OFFSET('1课程考核方式及成绩组成'!$F$10,(ROW(E530)-5)/7,MOD((ROW(E530)-5),7))</f>
        <v>34</v>
      </c>
      <c r="F530" s="19">
        <f ca="1">OFFSET('1课程考核方式及成绩组成'!$N$10,(ROW(F530)-5)/7,MOD((ROW(F530)-5),7))</f>
        <v>0</v>
      </c>
      <c r="G530" s="19">
        <f ca="1">OFFSET('1课程考核方式及成绩组成'!$V$10,(ROW(G530)-5)/7,MOD((ROW(G530)-5),7))</f>
        <v>0</v>
      </c>
      <c r="H530" s="19">
        <f ca="1">OFFSET('1课程考核方式及成绩组成'!$AD$10,(ROW(H530)-5)/7,MOD((ROW(H530)-5),7))</f>
        <v>0</v>
      </c>
      <c r="I530" s="19">
        <f ca="1">OFFSET('1课程考核方式及成绩组成'!$AL$10,(ROW(I530)-5)/7,MOD((ROW(I530)-5),7))</f>
        <v>24</v>
      </c>
      <c r="J530" s="25">
        <f ca="1">IF('0信息维护'!$I$85=0,0,E530/('0信息维护'!$I$85)*'0信息维护'!$E$35*'0信息维护'!$S$25)+IF('0信息维护'!$I$86=0,0,F530/('0信息维护'!$I$86)*'0信息维护'!$E$35*'0信息维护'!$T$25)+IF('0信息维护'!$I$87=0,0,G530/('0信息维护'!$I$87)*'0信息维护'!$E$35*'0信息维护'!$U$25)+IF('0信息维护'!$I$88=0,0,H530/('0信息维护'!$I$88)*'0信息维护'!$E$35*'0信息维护'!$V$25)+IF('0信息维护'!$I$89=0,0,I530/'0信息维护'!$I$89*'0信息维护'!$I$35)</f>
        <v>0.758333333333333</v>
      </c>
      <c r="K530" s="26">
        <f ca="1">J530*'0信息维护'!$D$132+J531*'0信息维护'!$D$133+J532*'0信息维护'!$D$134+J533*'0信息维护'!$D$135+J534*'0信息维护'!$D$136+J535*'0信息维护'!$D$137+J536*'0信息维护'!$D$138</f>
        <v>0.695308823529412</v>
      </c>
    </row>
    <row r="531" spans="1:14">
      <c r="A531" s="20"/>
      <c r="B531" s="20"/>
      <c r="C531" s="20"/>
      <c r="D531" s="18" t="str">
        <f>'0信息维护'!A$26</f>
        <v>课程目标2</v>
      </c>
      <c r="E531" s="19">
        <f ca="1">OFFSET('1课程考核方式及成绩组成'!$F$10,(ROW(E531)-5)/7,MOD((ROW(E531)-5),7))</f>
        <v>51</v>
      </c>
      <c r="F531" s="19">
        <f ca="1">OFFSET('1课程考核方式及成绩组成'!$N$10,(ROW(F531)-5)/7,MOD((ROW(F531)-5),7))</f>
        <v>0</v>
      </c>
      <c r="G531" s="19">
        <f ca="1">OFFSET('1课程考核方式及成绩组成'!$V$10,(ROW(G531)-5)/7,MOD((ROW(G531)-5),7))</f>
        <v>0</v>
      </c>
      <c r="H531" s="19">
        <f ca="1">OFFSET('1课程考核方式及成绩组成'!$AD$10,(ROW(H531)-5)/7,MOD((ROW(H531)-5),7))</f>
        <v>0</v>
      </c>
      <c r="I531" s="19">
        <f ca="1">OFFSET('1课程考核方式及成绩组成'!$AL$10,(ROW(I531)-5)/7,MOD((ROW(I531)-5),7))</f>
        <v>17</v>
      </c>
      <c r="J531" s="25">
        <f ca="1">IF('0信息维护'!$I$91=0,0,E531/('0信息维护'!$I$91)*'0信息维护'!$S$26*'0信息维护'!$E$36)+IF('0信息维护'!$I$92=0,0,F531/('0信息维护'!$I$92)*'0信息维护'!$T$26*'0信息维护'!$E$36)+IF('0信息维护'!$I$93=0,0,G531/('0信息维护'!$I$93)*'0信息维护'!$U$26*'0信息维护'!$E$36)+IF('0信息维护'!$I$94=0,0,H531/('0信息维护'!$I$94)*'0信息维护'!$V$26*'0信息维护'!$E$36)+IF('0信息维护'!$I$95=0,0,I531/'0信息维护'!$I$95*'0信息维护'!$I$36)</f>
        <v>0.708333333333333</v>
      </c>
      <c r="K531" s="27"/>
      <c r="N531" s="29"/>
    </row>
    <row r="532" spans="1:11">
      <c r="A532" s="20"/>
      <c r="B532" s="20"/>
      <c r="C532" s="20"/>
      <c r="D532" s="18" t="str">
        <f>'0信息维护'!A$27</f>
        <v>课程目标3</v>
      </c>
      <c r="E532" s="19">
        <f ca="1">OFFSET('1课程考核方式及成绩组成'!$F$10,(ROW(E532)-5)/7,MOD((ROW(E532)-5),7))</f>
        <v>0</v>
      </c>
      <c r="F532" s="19">
        <f ca="1">OFFSET('1课程考核方式及成绩组成'!$N$10,(ROW(F532)-5)/7,MOD((ROW(F532)-5),7))</f>
        <v>0</v>
      </c>
      <c r="G532" s="19">
        <f ca="1">OFFSET('1课程考核方式及成绩组成'!$V$10,(ROW(G532)-5)/7,MOD((ROW(G532)-5),7))</f>
        <v>0</v>
      </c>
      <c r="H532" s="19">
        <f ca="1">OFFSET('1课程考核方式及成绩组成'!$AD$10,(ROW(H532)-5)/7,MOD((ROW(H532)-5),7))</f>
        <v>0</v>
      </c>
      <c r="I532" s="19">
        <f ca="1">OFFSET('1课程考核方式及成绩组成'!$AL$10,(ROW(I532)-5)/7,MOD((ROW(I532)-5),7))</f>
        <v>20</v>
      </c>
      <c r="J532" s="25">
        <f ca="1">IF('0信息维护'!$I$97=0,0,E532/('0信息维护'!$I$97)*'0信息维护'!$E$37*'0信息维护'!$S$27)+IF('0信息维护'!$I$98=0,0,F532/('0信息维护'!$I$98)*'0信息维护'!$E$37*'0信息维护'!$T$27)+IF('0信息维护'!$I$99=0,0,G532/('0信息维护'!$I$99)*'0信息维护'!$E$37*'0信息维护'!$U$27)+IF('0信息维护'!$I$100=0,0,H532/('0信息维护'!$I$100)*'0信息维护'!$E$37*'0信息维护'!$V$27)+IF('0信息维护'!$I$101=0,0,I532/'0信息维护'!$I$101*'0信息维护'!$I$37)</f>
        <v>0.588235294117647</v>
      </c>
      <c r="K532" s="27"/>
    </row>
    <row r="533" spans="1:11">
      <c r="A533" s="20"/>
      <c r="B533" s="20"/>
      <c r="C533" s="20"/>
      <c r="D533" s="18" t="str">
        <f>'0信息维护'!A$28</f>
        <v>课程目标4</v>
      </c>
      <c r="E533" s="19">
        <f ca="1">OFFSET('1课程考核方式及成绩组成'!$F$10,(ROW(E533)-5)/7,MOD((ROW(E533)-5),7))</f>
        <v>0</v>
      </c>
      <c r="F533" s="19">
        <f ca="1">OFFSET('1课程考核方式及成绩组成'!$N$10,(ROW(F533)-5)/7,MOD((ROW(F533)-5),7))</f>
        <v>74</v>
      </c>
      <c r="G533" s="19">
        <f ca="1">OFFSET('1课程考核方式及成绩组成'!$V$10,(ROW(G533)-5)/7,MOD((ROW(G533)-5),7))</f>
        <v>0</v>
      </c>
      <c r="H533" s="19">
        <f ca="1">OFFSET('1课程考核方式及成绩组成'!$AD$10,(ROW(H533)-5)/7,MOD((ROW(H533)-5),7))</f>
        <v>0</v>
      </c>
      <c r="I533" s="19">
        <f ca="1">OFFSET('1课程考核方式及成绩组成'!$AL$10,(ROW(I533)-5)/7,MOD((ROW(I533)-5),7))</f>
        <v>0</v>
      </c>
      <c r="J533" s="25">
        <f ca="1">IF('0信息维护'!$I$103=0,0,E533/('0信息维护'!$I$103)*'0信息维护'!$E$38*'0信息维护'!$S$28)+IF('0信息维护'!$I$104=0,0,F533/('0信息维护'!$I$104)*'0信息维护'!$E$38*'0信息维护'!$T$28)+IF('0信息维护'!$I$105=0,0,G533/('0信息维护'!$I$105)*'0信息维护'!$E$38*'0信息维护'!$U$28)+IF('0信息维护'!$I$106=0,0,H533/('0信息维护'!$I$106)*'0信息维护'!$E$38*'0信息维护'!$V$28)+IF('0信息维护'!$I$107=0,0,I533/'0信息维护'!$I$107*'0信息维护'!$I$38)</f>
        <v>0.74</v>
      </c>
      <c r="K533" s="27"/>
    </row>
    <row r="534" spans="1:11">
      <c r="A534" s="20"/>
      <c r="B534" s="20"/>
      <c r="C534" s="20"/>
      <c r="D534" s="18" t="str">
        <f>'0信息维护'!A$29</f>
        <v>课程目标5</v>
      </c>
      <c r="E534" s="19">
        <f ca="1">OFFSET('1课程考核方式及成绩组成'!$F$10,(ROW(E534)-5)/7,MOD((ROW(E534)-5),7))</f>
        <v>0</v>
      </c>
      <c r="F534" s="19">
        <f ca="1">OFFSET('1课程考核方式及成绩组成'!$N$10,(ROW(F534)-5)/7,MOD((ROW(F534)-5),7))</f>
        <v>0</v>
      </c>
      <c r="G534" s="19">
        <f ca="1">OFFSET('1课程考核方式及成绩组成'!$V$10,(ROW(G534)-5)/7,MOD((ROW(G534)-5),7))</f>
        <v>0</v>
      </c>
      <c r="H534" s="19">
        <f ca="1">OFFSET('1课程考核方式及成绩组成'!$AD$10,(ROW(H534)-5)/7,MOD((ROW(H534)-5),7))</f>
        <v>0</v>
      </c>
      <c r="I534" s="19">
        <f ca="1">OFFSET('1课程考核方式及成绩组成'!$AL$10,(ROW(I534)-5)/7,MOD((ROW(I534)-5),7))</f>
        <v>0</v>
      </c>
      <c r="J534" s="25">
        <f ca="1">IF('0信息维护'!$I$109=0,0,E534/('0信息维护'!$I$109)*'0信息维护'!$E$39*'0信息维护'!$S$29)+IF('0信息维护'!$I$110=0,0,F534/('0信息维护'!$I$110)*'0信息维护'!$E$39*'0信息维护'!$T$29)+IF('0信息维护'!$I$111=0,0,G534/('0信息维护'!$I$111)*'0信息维护'!$E$39*'0信息维护'!$U$29)+IF('0信息维护'!$I$112=0,0,H534/('0信息维护'!$I$112)*'0信息维护'!$E$39*'0信息维护'!$V$29)+IF('0信息维护'!$I$113=0,0,I534/'0信息维护'!$I$113*'0信息维护'!$I$39)</f>
        <v>0</v>
      </c>
      <c r="K534" s="27"/>
    </row>
    <row r="535" spans="1:11">
      <c r="A535" s="20"/>
      <c r="B535" s="20"/>
      <c r="C535" s="20"/>
      <c r="D535" s="18" t="str">
        <f>'0信息维护'!A$30</f>
        <v>课程目标6</v>
      </c>
      <c r="E535" s="19">
        <f ca="1">OFFSET('1课程考核方式及成绩组成'!$F$10,(ROW(E535)-5)/7,MOD((ROW(E535)-5),7))</f>
        <v>0</v>
      </c>
      <c r="F535" s="19">
        <f ca="1">OFFSET('1课程考核方式及成绩组成'!$N$10,(ROW(F535)-5)/7,MOD((ROW(F535)-5),7))</f>
        <v>0</v>
      </c>
      <c r="G535" s="19">
        <f ca="1">OFFSET('1课程考核方式及成绩组成'!$V$10,(ROW(G535)-5)/7,MOD((ROW(G535)-5),7))</f>
        <v>0</v>
      </c>
      <c r="H535" s="19">
        <f ca="1">OFFSET('1课程考核方式及成绩组成'!$AD$10,(ROW(H535)-5)/7,MOD((ROW(H535)-5),7))</f>
        <v>0</v>
      </c>
      <c r="I535" s="19">
        <f ca="1">OFFSET('1课程考核方式及成绩组成'!$AL$10,(ROW(I535)-5)/7,MOD((ROW(I535)-5),7))</f>
        <v>0</v>
      </c>
      <c r="J535" s="25">
        <f ca="1">IF('0信息维护'!$I$115=0,0,E535/('0信息维护'!$I$115)*'0信息维护'!$E$40*'0信息维护'!$S$30)+IF('0信息维护'!$I$116=0,0,F535/('0信息维护'!$I$116)*'0信息维护'!$E$40*'0信息维护'!$T$30)+IF('0信息维护'!$I$117=0,0,G535/('0信息维护'!$I$117)*'0信息维护'!$E$40*'0信息维护'!$U$30)+IF('0信息维护'!$I$118=0,0,H535/('0信息维护'!$I$118)*'0信息维护'!$E$40*'0信息维护'!$V$30)+IF('0信息维护'!$I$119=0,0,I535/'0信息维护'!$I$119*'0信息维护'!$I$40)</f>
        <v>0</v>
      </c>
      <c r="K535" s="27"/>
    </row>
    <row r="536" spans="1:11">
      <c r="A536" s="21"/>
      <c r="B536" s="21"/>
      <c r="C536" s="21"/>
      <c r="D536" s="18" t="str">
        <f>'0信息维护'!A$31</f>
        <v>课程目标7</v>
      </c>
      <c r="E536" s="19">
        <f ca="1">OFFSET('1课程考核方式及成绩组成'!$F$10,(ROW(E536)-5)/7,MOD((ROW(E536)-5),7))</f>
        <v>0</v>
      </c>
      <c r="F536" s="19">
        <f ca="1">OFFSET('1课程考核方式及成绩组成'!$N$10,(ROW(F536)-5)/7,MOD((ROW(F536)-5),7))</f>
        <v>0</v>
      </c>
      <c r="G536" s="19">
        <f ca="1">OFFSET('1课程考核方式及成绩组成'!$V$10,(ROW(G536)-5)/7,MOD((ROW(G536)-5),7))</f>
        <v>0</v>
      </c>
      <c r="H536" s="19">
        <f ca="1">OFFSET('1课程考核方式及成绩组成'!$AD$10,(ROW(H536)-5)/7,MOD((ROW(H536)-5),7))</f>
        <v>0</v>
      </c>
      <c r="I536" s="19">
        <f ca="1">OFFSET('1课程考核方式及成绩组成'!$AL$10,(ROW(I536)-5)/7,MOD((ROW(I536)-5),7))</f>
        <v>0</v>
      </c>
      <c r="J536" s="25">
        <f ca="1">IF('0信息维护'!$I$121=0,0,E536/('0信息维护'!$I$121)*'0信息维护'!$E$41*'0信息维护'!$S$31)+IF('0信息维护'!$I$122=0,0,F536/('0信息维护'!$I$122)*'0信息维护'!$E$41*'0信息维护'!$T$31)+IF('0信息维护'!$I$123=0,0,G536/('0信息维护'!$I$123)*'0信息维护'!$E$41*'0信息维护'!$U$31)+IF('0信息维护'!$I$124=0,0,H536/('0信息维护'!$I$124)*'0信息维护'!$E$41*'0信息维护'!$T$31)+IF('0信息维护'!$I$125=0,0,I536/'0信息维护'!$I$125*'0信息维护'!$I$41)</f>
        <v>0</v>
      </c>
      <c r="K536" s="30"/>
    </row>
    <row r="537" spans="1:11">
      <c r="A537" s="17">
        <v>77</v>
      </c>
      <c r="B537" s="17" t="str">
        <f ca="1">OFFSET('1课程考核方式及成绩组成'!$D$10,(ROW(B537)-5)/7,)</f>
        <v>210504123</v>
      </c>
      <c r="C537" s="17" t="str">
        <f ca="1">OFFSET('1课程考核方式及成绩组成'!$E$10,(ROW(C537)-5)/7,)</f>
        <v>陈小愉</v>
      </c>
      <c r="D537" s="18" t="str">
        <f>'0信息维护'!A$25</f>
        <v>课程目标1</v>
      </c>
      <c r="E537" s="19">
        <f ca="1">OFFSET('1课程考核方式及成绩组成'!$F$10,(ROW(E537)-5)/7,MOD((ROW(E537)-5),7))</f>
        <v>32</v>
      </c>
      <c r="F537" s="19">
        <f ca="1">OFFSET('1课程考核方式及成绩组成'!$N$10,(ROW(F537)-5)/7,MOD((ROW(F537)-5),7))</f>
        <v>0</v>
      </c>
      <c r="G537" s="19">
        <f ca="1">OFFSET('1课程考核方式及成绩组成'!$V$10,(ROW(G537)-5)/7,MOD((ROW(G537)-5),7))</f>
        <v>0</v>
      </c>
      <c r="H537" s="19">
        <f ca="1">OFFSET('1课程考核方式及成绩组成'!$AD$10,(ROW(H537)-5)/7,MOD((ROW(H537)-5),7))</f>
        <v>0</v>
      </c>
      <c r="I537" s="19">
        <f ca="1">OFFSET('1课程考核方式及成绩组成'!$AL$10,(ROW(I537)-5)/7,MOD((ROW(I537)-5),7))</f>
        <v>15</v>
      </c>
      <c r="J537" s="25">
        <f ca="1">IF('0信息维护'!$I$85=0,0,E537/('0信息维护'!$I$85)*'0信息维护'!$E$35*'0信息维护'!$S$25)+IF('0信息维护'!$I$86=0,0,F537/('0信息维护'!$I$86)*'0信息维护'!$E$35*'0信息维护'!$T$25)+IF('0信息维护'!$I$87=0,0,G537/('0信息维护'!$I$87)*'0信息维护'!$E$35*'0信息维护'!$U$25)+IF('0信息维护'!$I$88=0,0,H537/('0信息维护'!$I$88)*'0信息维护'!$E$35*'0信息维护'!$V$25)+IF('0信息维护'!$I$89=0,0,I537/'0信息维护'!$I$89*'0信息维护'!$I$35)</f>
        <v>0.608333333333333</v>
      </c>
      <c r="K537" s="26">
        <f ca="1">J537*'0信息维护'!$D$132+J538*'0信息维护'!$D$133+J539*'0信息维护'!$D$134+J540*'0信息维护'!$D$135+J541*'0信息维护'!$D$136+J542*'0信息维护'!$D$137+J543*'0信息维护'!$D$138</f>
        <v>0.573132352941176</v>
      </c>
    </row>
    <row r="538" spans="1:14">
      <c r="A538" s="20"/>
      <c r="B538" s="20"/>
      <c r="C538" s="20"/>
      <c r="D538" s="18" t="str">
        <f>'0信息维护'!A$26</f>
        <v>课程目标2</v>
      </c>
      <c r="E538" s="19">
        <f ca="1">OFFSET('1课程考核方式及成绩组成'!$F$10,(ROW(E538)-5)/7,MOD((ROW(E538)-5),7))</f>
        <v>48</v>
      </c>
      <c r="F538" s="19">
        <f ca="1">OFFSET('1课程考核方式及成绩组成'!$N$10,(ROW(F538)-5)/7,MOD((ROW(F538)-5),7))</f>
        <v>0</v>
      </c>
      <c r="G538" s="19">
        <f ca="1">OFFSET('1课程考核方式及成绩组成'!$V$10,(ROW(G538)-5)/7,MOD((ROW(G538)-5),7))</f>
        <v>0</v>
      </c>
      <c r="H538" s="19">
        <f ca="1">OFFSET('1课程考核方式及成绩组成'!$AD$10,(ROW(H538)-5)/7,MOD((ROW(H538)-5),7))</f>
        <v>0</v>
      </c>
      <c r="I538" s="19">
        <f ca="1">OFFSET('1课程考核方式及成绩组成'!$AL$10,(ROW(I538)-5)/7,MOD((ROW(I538)-5),7))</f>
        <v>13</v>
      </c>
      <c r="J538" s="25">
        <f ca="1">IF('0信息维护'!$I$91=0,0,E538/('0信息维护'!$I$91)*'0信息维护'!$S$26*'0信息维护'!$E$36)+IF('0信息维护'!$I$92=0,0,F538/('0信息维护'!$I$92)*'0信息维护'!$T$26*'0信息维护'!$E$36)+IF('0信息维护'!$I$93=0,0,G538/('0信息维护'!$I$93)*'0信息维护'!$U$26*'0信息维护'!$E$36)+IF('0信息维护'!$I$94=0,0,H538/('0信息维护'!$I$94)*'0信息维护'!$V$26*'0信息维护'!$E$36)+IF('0信息维护'!$I$95=0,0,I538/'0信息维护'!$I$95*'0信息维护'!$I$36)</f>
        <v>0.616666666666667</v>
      </c>
      <c r="K538" s="27"/>
      <c r="N538" s="29"/>
    </row>
    <row r="539" spans="1:11">
      <c r="A539" s="20"/>
      <c r="B539" s="20"/>
      <c r="C539" s="20"/>
      <c r="D539" s="18" t="str">
        <f>'0信息维护'!A$27</f>
        <v>课程目标3</v>
      </c>
      <c r="E539" s="19">
        <f ca="1">OFFSET('1课程考核方式及成绩组成'!$F$10,(ROW(E539)-5)/7,MOD((ROW(E539)-5),7))</f>
        <v>0</v>
      </c>
      <c r="F539" s="19">
        <f ca="1">OFFSET('1课程考核方式及成绩组成'!$N$10,(ROW(F539)-5)/7,MOD((ROW(F539)-5),7))</f>
        <v>0</v>
      </c>
      <c r="G539" s="19">
        <f ca="1">OFFSET('1课程考核方式及成绩组成'!$V$10,(ROW(G539)-5)/7,MOD((ROW(G539)-5),7))</f>
        <v>0</v>
      </c>
      <c r="H539" s="19">
        <f ca="1">OFFSET('1课程考核方式及成绩组成'!$AD$10,(ROW(H539)-5)/7,MOD((ROW(H539)-5),7))</f>
        <v>0</v>
      </c>
      <c r="I539" s="19">
        <f ca="1">OFFSET('1课程考核方式及成绩组成'!$AL$10,(ROW(I539)-5)/7,MOD((ROW(I539)-5),7))</f>
        <v>11</v>
      </c>
      <c r="J539" s="25">
        <f ca="1">IF('0信息维护'!$I$97=0,0,E539/('0信息维护'!$I$97)*'0信息维护'!$E$37*'0信息维护'!$S$27)+IF('0信息维护'!$I$98=0,0,F539/('0信息维护'!$I$98)*'0信息维护'!$E$37*'0信息维护'!$T$27)+IF('0信息维护'!$I$99=0,0,G539/('0信息维护'!$I$99)*'0信息维护'!$E$37*'0信息维护'!$U$27)+IF('0信息维护'!$I$100=0,0,H539/('0信息维护'!$I$100)*'0信息维护'!$E$37*'0信息维护'!$V$27)+IF('0信息维护'!$I$101=0,0,I539/'0信息维护'!$I$101*'0信息维护'!$I$37)</f>
        <v>0.323529411764706</v>
      </c>
      <c r="K539" s="27"/>
    </row>
    <row r="540" spans="1:11">
      <c r="A540" s="20"/>
      <c r="B540" s="20"/>
      <c r="C540" s="20"/>
      <c r="D540" s="18" t="str">
        <f>'0信息维护'!A$28</f>
        <v>课程目标4</v>
      </c>
      <c r="E540" s="19">
        <f ca="1">OFFSET('1课程考核方式及成绩组成'!$F$10,(ROW(E540)-5)/7,MOD((ROW(E540)-5),7))</f>
        <v>0</v>
      </c>
      <c r="F540" s="19">
        <f ca="1">OFFSET('1课程考核方式及成绩组成'!$N$10,(ROW(F540)-5)/7,MOD((ROW(F540)-5),7))</f>
        <v>72</v>
      </c>
      <c r="G540" s="19">
        <f ca="1">OFFSET('1课程考核方式及成绩组成'!$V$10,(ROW(G540)-5)/7,MOD((ROW(G540)-5),7))</f>
        <v>0</v>
      </c>
      <c r="H540" s="19">
        <f ca="1">OFFSET('1课程考核方式及成绩组成'!$AD$10,(ROW(H540)-5)/7,MOD((ROW(H540)-5),7))</f>
        <v>0</v>
      </c>
      <c r="I540" s="19">
        <f ca="1">OFFSET('1课程考核方式及成绩组成'!$AL$10,(ROW(I540)-5)/7,MOD((ROW(I540)-5),7))</f>
        <v>0</v>
      </c>
      <c r="J540" s="25">
        <f ca="1">IF('0信息维护'!$I$103=0,0,E540/('0信息维护'!$I$103)*'0信息维护'!$E$38*'0信息维护'!$S$28)+IF('0信息维护'!$I$104=0,0,F540/('0信息维护'!$I$104)*'0信息维护'!$E$38*'0信息维护'!$T$28)+IF('0信息维护'!$I$105=0,0,G540/('0信息维护'!$I$105)*'0信息维护'!$E$38*'0信息维护'!$U$28)+IF('0信息维护'!$I$106=0,0,H540/('0信息维护'!$I$106)*'0信息维护'!$E$38*'0信息维护'!$V$28)+IF('0信息维护'!$I$107=0,0,I540/'0信息维护'!$I$107*'0信息维护'!$I$38)</f>
        <v>0.72</v>
      </c>
      <c r="K540" s="27"/>
    </row>
    <row r="541" spans="1:11">
      <c r="A541" s="20"/>
      <c r="B541" s="20"/>
      <c r="C541" s="20"/>
      <c r="D541" s="18" t="str">
        <f>'0信息维护'!A$29</f>
        <v>课程目标5</v>
      </c>
      <c r="E541" s="19">
        <f ca="1">OFFSET('1课程考核方式及成绩组成'!$F$10,(ROW(E541)-5)/7,MOD((ROW(E541)-5),7))</f>
        <v>0</v>
      </c>
      <c r="F541" s="19">
        <f ca="1">OFFSET('1课程考核方式及成绩组成'!$N$10,(ROW(F541)-5)/7,MOD((ROW(F541)-5),7))</f>
        <v>0</v>
      </c>
      <c r="G541" s="19">
        <f ca="1">OFFSET('1课程考核方式及成绩组成'!$V$10,(ROW(G541)-5)/7,MOD((ROW(G541)-5),7))</f>
        <v>0</v>
      </c>
      <c r="H541" s="19">
        <f ca="1">OFFSET('1课程考核方式及成绩组成'!$AD$10,(ROW(H541)-5)/7,MOD((ROW(H541)-5),7))</f>
        <v>0</v>
      </c>
      <c r="I541" s="19">
        <f ca="1">OFFSET('1课程考核方式及成绩组成'!$AL$10,(ROW(I541)-5)/7,MOD((ROW(I541)-5),7))</f>
        <v>0</v>
      </c>
      <c r="J541" s="25">
        <f ca="1">IF('0信息维护'!$I$109=0,0,E541/('0信息维护'!$I$109)*'0信息维护'!$E$39*'0信息维护'!$S$29)+IF('0信息维护'!$I$110=0,0,F541/('0信息维护'!$I$110)*'0信息维护'!$E$39*'0信息维护'!$T$29)+IF('0信息维护'!$I$111=0,0,G541/('0信息维护'!$I$111)*'0信息维护'!$E$39*'0信息维护'!$U$29)+IF('0信息维护'!$I$112=0,0,H541/('0信息维护'!$I$112)*'0信息维护'!$E$39*'0信息维护'!$V$29)+IF('0信息维护'!$I$113=0,0,I541/'0信息维护'!$I$113*'0信息维护'!$I$39)</f>
        <v>0</v>
      </c>
      <c r="K541" s="27"/>
    </row>
    <row r="542" spans="1:11">
      <c r="A542" s="20"/>
      <c r="B542" s="20"/>
      <c r="C542" s="20"/>
      <c r="D542" s="18" t="str">
        <f>'0信息维护'!A$30</f>
        <v>课程目标6</v>
      </c>
      <c r="E542" s="19">
        <f ca="1">OFFSET('1课程考核方式及成绩组成'!$F$10,(ROW(E542)-5)/7,MOD((ROW(E542)-5),7))</f>
        <v>0</v>
      </c>
      <c r="F542" s="19">
        <f ca="1">OFFSET('1课程考核方式及成绩组成'!$N$10,(ROW(F542)-5)/7,MOD((ROW(F542)-5),7))</f>
        <v>0</v>
      </c>
      <c r="G542" s="19">
        <f ca="1">OFFSET('1课程考核方式及成绩组成'!$V$10,(ROW(G542)-5)/7,MOD((ROW(G542)-5),7))</f>
        <v>0</v>
      </c>
      <c r="H542" s="19">
        <f ca="1">OFFSET('1课程考核方式及成绩组成'!$AD$10,(ROW(H542)-5)/7,MOD((ROW(H542)-5),7))</f>
        <v>0</v>
      </c>
      <c r="I542" s="19">
        <f ca="1">OFFSET('1课程考核方式及成绩组成'!$AL$10,(ROW(I542)-5)/7,MOD((ROW(I542)-5),7))</f>
        <v>0</v>
      </c>
      <c r="J542" s="25">
        <f ca="1">IF('0信息维护'!$I$115=0,0,E542/('0信息维护'!$I$115)*'0信息维护'!$E$40*'0信息维护'!$S$30)+IF('0信息维护'!$I$116=0,0,F542/('0信息维护'!$I$116)*'0信息维护'!$E$40*'0信息维护'!$T$30)+IF('0信息维护'!$I$117=0,0,G542/('0信息维护'!$I$117)*'0信息维护'!$E$40*'0信息维护'!$U$30)+IF('0信息维护'!$I$118=0,0,H542/('0信息维护'!$I$118)*'0信息维护'!$E$40*'0信息维护'!$V$30)+IF('0信息维护'!$I$119=0,0,I542/'0信息维护'!$I$119*'0信息维护'!$I$40)</f>
        <v>0</v>
      </c>
      <c r="K542" s="27"/>
    </row>
    <row r="543" spans="1:11">
      <c r="A543" s="21"/>
      <c r="B543" s="21"/>
      <c r="C543" s="21"/>
      <c r="D543" s="18" t="str">
        <f>'0信息维护'!A$31</f>
        <v>课程目标7</v>
      </c>
      <c r="E543" s="19">
        <f ca="1">OFFSET('1课程考核方式及成绩组成'!$F$10,(ROW(E543)-5)/7,MOD((ROW(E543)-5),7))</f>
        <v>0</v>
      </c>
      <c r="F543" s="19">
        <f ca="1">OFFSET('1课程考核方式及成绩组成'!$N$10,(ROW(F543)-5)/7,MOD((ROW(F543)-5),7))</f>
        <v>0</v>
      </c>
      <c r="G543" s="19">
        <f ca="1">OFFSET('1课程考核方式及成绩组成'!$V$10,(ROW(G543)-5)/7,MOD((ROW(G543)-5),7))</f>
        <v>0</v>
      </c>
      <c r="H543" s="19">
        <f ca="1">OFFSET('1课程考核方式及成绩组成'!$AD$10,(ROW(H543)-5)/7,MOD((ROW(H543)-5),7))</f>
        <v>0</v>
      </c>
      <c r="I543" s="19">
        <f ca="1">OFFSET('1课程考核方式及成绩组成'!$AL$10,(ROW(I543)-5)/7,MOD((ROW(I543)-5),7))</f>
        <v>0</v>
      </c>
      <c r="J543" s="25">
        <f ca="1">IF('0信息维护'!$I$121=0,0,E543/('0信息维护'!$I$121)*'0信息维护'!$E$41*'0信息维护'!$S$31)+IF('0信息维护'!$I$122=0,0,F543/('0信息维护'!$I$122)*'0信息维护'!$E$41*'0信息维护'!$T$31)+IF('0信息维护'!$I$123=0,0,G543/('0信息维护'!$I$123)*'0信息维护'!$E$41*'0信息维护'!$U$31)+IF('0信息维护'!$I$124=0,0,H543/('0信息维护'!$I$124)*'0信息维护'!$E$41*'0信息维护'!$T$31)+IF('0信息维护'!$I$125=0,0,I543/'0信息维护'!$I$125*'0信息维护'!$I$41)</f>
        <v>0</v>
      </c>
      <c r="K543" s="30"/>
    </row>
    <row r="544" spans="1:11">
      <c r="A544" s="17">
        <v>78</v>
      </c>
      <c r="B544" s="17" t="str">
        <f ca="1">OFFSET('1课程考核方式及成绩组成'!$D$10,(ROW(B544)-5)/7,)</f>
        <v>220106101</v>
      </c>
      <c r="C544" s="17" t="str">
        <f ca="1">OFFSET('1课程考核方式及成绩组成'!$E$10,(ROW(C544)-5)/7,)</f>
        <v>伍海涵</v>
      </c>
      <c r="D544" s="18" t="str">
        <f>'0信息维护'!A$25</f>
        <v>课程目标1</v>
      </c>
      <c r="E544" s="19">
        <f ca="1">OFFSET('1课程考核方式及成绩组成'!$F$10,(ROW(E544)-5)/7,MOD((ROW(E544)-5),7))</f>
        <v>32</v>
      </c>
      <c r="F544" s="19">
        <f ca="1">OFFSET('1课程考核方式及成绩组成'!$N$10,(ROW(F544)-5)/7,MOD((ROW(F544)-5),7))</f>
        <v>0</v>
      </c>
      <c r="G544" s="19">
        <f ca="1">OFFSET('1课程考核方式及成绩组成'!$V$10,(ROW(G544)-5)/7,MOD((ROW(G544)-5),7))</f>
        <v>0</v>
      </c>
      <c r="H544" s="19">
        <f ca="1">OFFSET('1课程考核方式及成绩组成'!$AD$10,(ROW(H544)-5)/7,MOD((ROW(H544)-5),7))</f>
        <v>0</v>
      </c>
      <c r="I544" s="19">
        <f ca="1">OFFSET('1课程考核方式及成绩组成'!$AL$10,(ROW(I544)-5)/7,MOD((ROW(I544)-5),7))</f>
        <v>13</v>
      </c>
      <c r="J544" s="25">
        <f ca="1">IF('0信息维护'!$I$85=0,0,E544/('0信息维护'!$I$85)*'0信息维护'!$E$35*'0信息维护'!$S$25)+IF('0信息维护'!$I$86=0,0,F544/('0信息维护'!$I$86)*'0信息维护'!$E$35*'0信息维护'!$T$25)+IF('0信息维护'!$I$87=0,0,G544/('0信息维护'!$I$87)*'0信息维护'!$E$35*'0信息维护'!$U$25)+IF('0信息维护'!$I$88=0,0,H544/('0信息维护'!$I$88)*'0信息维护'!$E$35*'0信息维护'!$V$25)+IF('0信息维护'!$I$89=0,0,I544/'0信息维护'!$I$89*'0信息维护'!$I$35)</f>
        <v>0.580555555555556</v>
      </c>
      <c r="K544" s="26">
        <f ca="1">J544*'0信息维护'!$D$132+J545*'0信息维护'!$D$133+J546*'0信息维护'!$D$134+J547*'0信息维护'!$D$135+J548*'0信息维护'!$D$136+J549*'0信息维护'!$D$137+J550*'0信息维护'!$D$138</f>
        <v>0.642024509803922</v>
      </c>
    </row>
    <row r="545" spans="1:14">
      <c r="A545" s="20"/>
      <c r="B545" s="20"/>
      <c r="C545" s="20"/>
      <c r="D545" s="18" t="str">
        <f>'0信息维护'!A$26</f>
        <v>课程目标2</v>
      </c>
      <c r="E545" s="19">
        <f ca="1">OFFSET('1课程考核方式及成绩组成'!$F$10,(ROW(E545)-5)/7,MOD((ROW(E545)-5),7))</f>
        <v>48</v>
      </c>
      <c r="F545" s="19">
        <f ca="1">OFFSET('1课程考核方式及成绩组成'!$N$10,(ROW(F545)-5)/7,MOD((ROW(F545)-5),7))</f>
        <v>0</v>
      </c>
      <c r="G545" s="19">
        <f ca="1">OFFSET('1课程考核方式及成绩组成'!$V$10,(ROW(G545)-5)/7,MOD((ROW(G545)-5),7))</f>
        <v>0</v>
      </c>
      <c r="H545" s="19">
        <f ca="1">OFFSET('1课程考核方式及成绩组成'!$AD$10,(ROW(H545)-5)/7,MOD((ROW(H545)-5),7))</f>
        <v>0</v>
      </c>
      <c r="I545" s="19">
        <f ca="1">OFFSET('1课程考核方式及成绩组成'!$AL$10,(ROW(I545)-5)/7,MOD((ROW(I545)-5),7))</f>
        <v>19</v>
      </c>
      <c r="J545" s="25">
        <f ca="1">IF('0信息维护'!$I$91=0,0,E545/('0信息维护'!$I$91)*'0信息维护'!$S$26*'0信息维护'!$E$36)+IF('0信息维护'!$I$92=0,0,F545/('0信息维护'!$I$92)*'0信息维护'!$T$26*'0信息维护'!$E$36)+IF('0信息维护'!$I$93=0,0,G545/('0信息维护'!$I$93)*'0信息维护'!$U$26*'0信息维护'!$E$36)+IF('0信息维护'!$I$94=0,0,H545/('0信息维护'!$I$94)*'0信息维护'!$V$26*'0信息维护'!$E$36)+IF('0信息维护'!$I$95=0,0,I545/'0信息维护'!$I$95*'0信息维护'!$I$36)</f>
        <v>0.716666666666667</v>
      </c>
      <c r="K545" s="27"/>
      <c r="N545" s="29"/>
    </row>
    <row r="546" spans="1:11">
      <c r="A546" s="20"/>
      <c r="B546" s="20"/>
      <c r="C546" s="20"/>
      <c r="D546" s="18" t="str">
        <f>'0信息维护'!A$27</f>
        <v>课程目标3</v>
      </c>
      <c r="E546" s="19">
        <f ca="1">OFFSET('1课程考核方式及成绩组成'!$F$10,(ROW(E546)-5)/7,MOD((ROW(E546)-5),7))</f>
        <v>0</v>
      </c>
      <c r="F546" s="19">
        <f ca="1">OFFSET('1课程考核方式及成绩组成'!$N$10,(ROW(F546)-5)/7,MOD((ROW(F546)-5),7))</f>
        <v>0</v>
      </c>
      <c r="G546" s="19">
        <f ca="1">OFFSET('1课程考核方式及成绩组成'!$V$10,(ROW(G546)-5)/7,MOD((ROW(G546)-5),7))</f>
        <v>0</v>
      </c>
      <c r="H546" s="19">
        <f ca="1">OFFSET('1课程考核方式及成绩组成'!$AD$10,(ROW(H546)-5)/7,MOD((ROW(H546)-5),7))</f>
        <v>0</v>
      </c>
      <c r="I546" s="19">
        <f ca="1">OFFSET('1课程考核方式及成绩组成'!$AL$10,(ROW(I546)-5)/7,MOD((ROW(I546)-5),7))</f>
        <v>14</v>
      </c>
      <c r="J546" s="25">
        <f ca="1">IF('0信息维护'!$I$97=0,0,E546/('0信息维护'!$I$97)*'0信息维护'!$E$37*'0信息维护'!$S$27)+IF('0信息维护'!$I$98=0,0,F546/('0信息维护'!$I$98)*'0信息维护'!$E$37*'0信息维护'!$T$27)+IF('0信息维护'!$I$99=0,0,G546/('0信息维护'!$I$99)*'0信息维护'!$E$37*'0信息维护'!$U$27)+IF('0信息维护'!$I$100=0,0,H546/('0信息维护'!$I$100)*'0信息维护'!$E$37*'0信息维护'!$V$27)+IF('0信息维护'!$I$101=0,0,I546/'0信息维护'!$I$101*'0信息维护'!$I$37)</f>
        <v>0.411764705882353</v>
      </c>
      <c r="K546" s="27"/>
    </row>
    <row r="547" spans="1:11">
      <c r="A547" s="20"/>
      <c r="B547" s="20"/>
      <c r="C547" s="20"/>
      <c r="D547" s="18" t="str">
        <f>'0信息维护'!A$28</f>
        <v>课程目标4</v>
      </c>
      <c r="E547" s="19">
        <f ca="1">OFFSET('1课程考核方式及成绩组成'!$F$10,(ROW(E547)-5)/7,MOD((ROW(E547)-5),7))</f>
        <v>0</v>
      </c>
      <c r="F547" s="19">
        <f ca="1">OFFSET('1课程考核方式及成绩组成'!$N$10,(ROW(F547)-5)/7,MOD((ROW(F547)-5),7))</f>
        <v>79</v>
      </c>
      <c r="G547" s="19">
        <f ca="1">OFFSET('1课程考核方式及成绩组成'!$V$10,(ROW(G547)-5)/7,MOD((ROW(G547)-5),7))</f>
        <v>0</v>
      </c>
      <c r="H547" s="19">
        <f ca="1">OFFSET('1课程考核方式及成绩组成'!$AD$10,(ROW(H547)-5)/7,MOD((ROW(H547)-5),7))</f>
        <v>0</v>
      </c>
      <c r="I547" s="19">
        <f ca="1">OFFSET('1课程考核方式及成绩组成'!$AL$10,(ROW(I547)-5)/7,MOD((ROW(I547)-5),7))</f>
        <v>0</v>
      </c>
      <c r="J547" s="25">
        <f ca="1">IF('0信息维护'!$I$103=0,0,E547/('0信息维护'!$I$103)*'0信息维护'!$E$38*'0信息维护'!$S$28)+IF('0信息维护'!$I$104=0,0,F547/('0信息维护'!$I$104)*'0信息维护'!$E$38*'0信息维护'!$T$28)+IF('0信息维护'!$I$105=0,0,G547/('0信息维护'!$I$105)*'0信息维护'!$E$38*'0信息维护'!$U$28)+IF('0信息维护'!$I$106=0,0,H547/('0信息维护'!$I$106)*'0信息维护'!$E$38*'0信息维护'!$V$28)+IF('0信息维护'!$I$107=0,0,I547/'0信息维护'!$I$107*'0信息维护'!$I$38)</f>
        <v>0.79</v>
      </c>
      <c r="K547" s="27"/>
    </row>
    <row r="548" spans="1:11">
      <c r="A548" s="20"/>
      <c r="B548" s="20"/>
      <c r="C548" s="20"/>
      <c r="D548" s="18" t="str">
        <f>'0信息维护'!A$29</f>
        <v>课程目标5</v>
      </c>
      <c r="E548" s="19">
        <f ca="1">OFFSET('1课程考核方式及成绩组成'!$F$10,(ROW(E548)-5)/7,MOD((ROW(E548)-5),7))</f>
        <v>0</v>
      </c>
      <c r="F548" s="19">
        <f ca="1">OFFSET('1课程考核方式及成绩组成'!$N$10,(ROW(F548)-5)/7,MOD((ROW(F548)-5),7))</f>
        <v>0</v>
      </c>
      <c r="G548" s="19">
        <f ca="1">OFFSET('1课程考核方式及成绩组成'!$V$10,(ROW(G548)-5)/7,MOD((ROW(G548)-5),7))</f>
        <v>0</v>
      </c>
      <c r="H548" s="19">
        <f ca="1">OFFSET('1课程考核方式及成绩组成'!$AD$10,(ROW(H548)-5)/7,MOD((ROW(H548)-5),7))</f>
        <v>0</v>
      </c>
      <c r="I548" s="19">
        <f ca="1">OFFSET('1课程考核方式及成绩组成'!$AL$10,(ROW(I548)-5)/7,MOD((ROW(I548)-5),7))</f>
        <v>0</v>
      </c>
      <c r="J548" s="25">
        <f ca="1">IF('0信息维护'!$I$109=0,0,E548/('0信息维护'!$I$109)*'0信息维护'!$E$39*'0信息维护'!$S$29)+IF('0信息维护'!$I$110=0,0,F548/('0信息维护'!$I$110)*'0信息维护'!$E$39*'0信息维护'!$T$29)+IF('0信息维护'!$I$111=0,0,G548/('0信息维护'!$I$111)*'0信息维护'!$E$39*'0信息维护'!$U$29)+IF('0信息维护'!$I$112=0,0,H548/('0信息维护'!$I$112)*'0信息维护'!$E$39*'0信息维护'!$V$29)+IF('0信息维护'!$I$113=0,0,I548/'0信息维护'!$I$113*'0信息维护'!$I$39)</f>
        <v>0</v>
      </c>
      <c r="K548" s="27"/>
    </row>
    <row r="549" spans="1:11">
      <c r="A549" s="20"/>
      <c r="B549" s="20"/>
      <c r="C549" s="20"/>
      <c r="D549" s="18" t="str">
        <f>'0信息维护'!A$30</f>
        <v>课程目标6</v>
      </c>
      <c r="E549" s="19">
        <f ca="1">OFFSET('1课程考核方式及成绩组成'!$F$10,(ROW(E549)-5)/7,MOD((ROW(E549)-5),7))</f>
        <v>0</v>
      </c>
      <c r="F549" s="19">
        <f ca="1">OFFSET('1课程考核方式及成绩组成'!$N$10,(ROW(F549)-5)/7,MOD((ROW(F549)-5),7))</f>
        <v>0</v>
      </c>
      <c r="G549" s="19">
        <f ca="1">OFFSET('1课程考核方式及成绩组成'!$V$10,(ROW(G549)-5)/7,MOD((ROW(G549)-5),7))</f>
        <v>0</v>
      </c>
      <c r="H549" s="19">
        <f ca="1">OFFSET('1课程考核方式及成绩组成'!$AD$10,(ROW(H549)-5)/7,MOD((ROW(H549)-5),7))</f>
        <v>0</v>
      </c>
      <c r="I549" s="19">
        <f ca="1">OFFSET('1课程考核方式及成绩组成'!$AL$10,(ROW(I549)-5)/7,MOD((ROW(I549)-5),7))</f>
        <v>0</v>
      </c>
      <c r="J549" s="25">
        <f ca="1">IF('0信息维护'!$I$115=0,0,E549/('0信息维护'!$I$115)*'0信息维护'!$E$40*'0信息维护'!$S$30)+IF('0信息维护'!$I$116=0,0,F549/('0信息维护'!$I$116)*'0信息维护'!$E$40*'0信息维护'!$T$30)+IF('0信息维护'!$I$117=0,0,G549/('0信息维护'!$I$117)*'0信息维护'!$E$40*'0信息维护'!$U$30)+IF('0信息维护'!$I$118=0,0,H549/('0信息维护'!$I$118)*'0信息维护'!$E$40*'0信息维护'!$V$30)+IF('0信息维护'!$I$119=0,0,I549/'0信息维护'!$I$119*'0信息维护'!$I$40)</f>
        <v>0</v>
      </c>
      <c r="K549" s="27"/>
    </row>
    <row r="550" spans="1:11">
      <c r="A550" s="21"/>
      <c r="B550" s="21"/>
      <c r="C550" s="21"/>
      <c r="D550" s="18" t="str">
        <f>'0信息维护'!A$31</f>
        <v>课程目标7</v>
      </c>
      <c r="E550" s="19">
        <f ca="1">OFFSET('1课程考核方式及成绩组成'!$F$10,(ROW(E550)-5)/7,MOD((ROW(E550)-5),7))</f>
        <v>0</v>
      </c>
      <c r="F550" s="19">
        <f ca="1">OFFSET('1课程考核方式及成绩组成'!$N$10,(ROW(F550)-5)/7,MOD((ROW(F550)-5),7))</f>
        <v>0</v>
      </c>
      <c r="G550" s="19">
        <f ca="1">OFFSET('1课程考核方式及成绩组成'!$V$10,(ROW(G550)-5)/7,MOD((ROW(G550)-5),7))</f>
        <v>0</v>
      </c>
      <c r="H550" s="19">
        <f ca="1">OFFSET('1课程考核方式及成绩组成'!$AD$10,(ROW(H550)-5)/7,MOD((ROW(H550)-5),7))</f>
        <v>0</v>
      </c>
      <c r="I550" s="19">
        <f ca="1">OFFSET('1课程考核方式及成绩组成'!$AL$10,(ROW(I550)-5)/7,MOD((ROW(I550)-5),7))</f>
        <v>0</v>
      </c>
      <c r="J550" s="25">
        <f ca="1">IF('0信息维护'!$I$121=0,0,E550/('0信息维护'!$I$121)*'0信息维护'!$E$41*'0信息维护'!$S$31)+IF('0信息维护'!$I$122=0,0,F550/('0信息维护'!$I$122)*'0信息维护'!$E$41*'0信息维护'!$T$31)+IF('0信息维护'!$I$123=0,0,G550/('0信息维护'!$I$123)*'0信息维护'!$E$41*'0信息维护'!$U$31)+IF('0信息维护'!$I$124=0,0,H550/('0信息维护'!$I$124)*'0信息维护'!$E$41*'0信息维护'!$T$31)+IF('0信息维护'!$I$125=0,0,I550/'0信息维护'!$I$125*'0信息维护'!$I$41)</f>
        <v>0</v>
      </c>
      <c r="K550" s="30"/>
    </row>
    <row r="551" spans="1:11">
      <c r="A551" s="17">
        <v>79</v>
      </c>
      <c r="B551" s="17" t="str">
        <f ca="1">OFFSET('1课程考核方式及成绩组成'!$D$10,(ROW(B551)-5)/7,)</f>
        <v>220106102</v>
      </c>
      <c r="C551" s="17" t="str">
        <f ca="1">OFFSET('1课程考核方式及成绩组成'!$E$10,(ROW(C551)-5)/7,)</f>
        <v>周雍丁</v>
      </c>
      <c r="D551" s="18" t="str">
        <f>'0信息维护'!A$25</f>
        <v>课程目标1</v>
      </c>
      <c r="E551" s="19">
        <f ca="1">OFFSET('1课程考核方式及成绩组成'!$F$10,(ROW(E551)-5)/7,MOD((ROW(E551)-5),7))</f>
        <v>34</v>
      </c>
      <c r="F551" s="19">
        <f ca="1">OFFSET('1课程考核方式及成绩组成'!$N$10,(ROW(F551)-5)/7,MOD((ROW(F551)-5),7))</f>
        <v>0</v>
      </c>
      <c r="G551" s="19">
        <f ca="1">OFFSET('1课程考核方式及成绩组成'!$V$10,(ROW(G551)-5)/7,MOD((ROW(G551)-5),7))</f>
        <v>0</v>
      </c>
      <c r="H551" s="19">
        <f ca="1">OFFSET('1课程考核方式及成绩组成'!$AD$10,(ROW(H551)-5)/7,MOD((ROW(H551)-5),7))</f>
        <v>0</v>
      </c>
      <c r="I551" s="19">
        <f ca="1">OFFSET('1课程考核方式及成绩组成'!$AL$10,(ROW(I551)-5)/7,MOD((ROW(I551)-5),7))</f>
        <v>30</v>
      </c>
      <c r="J551" s="25">
        <f ca="1">IF('0信息维护'!$I$85=0,0,E551/('0信息维护'!$I$85)*'0信息维护'!$E$35*'0信息维护'!$S$25)+IF('0信息维护'!$I$86=0,0,F551/('0信息维护'!$I$86)*'0信息维护'!$E$35*'0信息维护'!$T$25)+IF('0信息维护'!$I$87=0,0,G551/('0信息维护'!$I$87)*'0信息维护'!$E$35*'0信息维护'!$U$25)+IF('0信息维护'!$I$88=0,0,H551/('0信息维护'!$I$88)*'0信息维护'!$E$35*'0信息维护'!$V$25)+IF('0信息维护'!$I$89=0,0,I551/'0信息维护'!$I$89*'0信息维护'!$I$35)</f>
        <v>0.841666666666667</v>
      </c>
      <c r="K551" s="26">
        <f ca="1">J551*'0信息维护'!$D$132+J552*'0信息维护'!$D$133+J553*'0信息维护'!$D$134+J554*'0信息维护'!$D$135+J555*'0信息维护'!$D$136+J556*'0信息维护'!$D$137+J557*'0信息维护'!$D$138</f>
        <v>0.786367647058823</v>
      </c>
    </row>
    <row r="552" spans="1:14">
      <c r="A552" s="20"/>
      <c r="B552" s="20"/>
      <c r="C552" s="20"/>
      <c r="D552" s="18" t="str">
        <f>'0信息维护'!A$26</f>
        <v>课程目标2</v>
      </c>
      <c r="E552" s="19">
        <f ca="1">OFFSET('1课程考核方式及成绩组成'!$F$10,(ROW(E552)-5)/7,MOD((ROW(E552)-5),7))</f>
        <v>52</v>
      </c>
      <c r="F552" s="19">
        <f ca="1">OFFSET('1课程考核方式及成绩组成'!$N$10,(ROW(F552)-5)/7,MOD((ROW(F552)-5),7))</f>
        <v>0</v>
      </c>
      <c r="G552" s="19">
        <f ca="1">OFFSET('1课程考核方式及成绩组成'!$V$10,(ROW(G552)-5)/7,MOD((ROW(G552)-5),7))</f>
        <v>0</v>
      </c>
      <c r="H552" s="19">
        <f ca="1">OFFSET('1课程考核方式及成绩组成'!$AD$10,(ROW(H552)-5)/7,MOD((ROW(H552)-5),7))</f>
        <v>0</v>
      </c>
      <c r="I552" s="19">
        <f ca="1">OFFSET('1课程考核方式及成绩组成'!$AL$10,(ROW(I552)-5)/7,MOD((ROW(I552)-5),7))</f>
        <v>23</v>
      </c>
      <c r="J552" s="25">
        <f ca="1">IF('0信息维护'!$I$91=0,0,E552/('0信息维护'!$I$91)*'0信息维护'!$S$26*'0信息维护'!$E$36)+IF('0信息维护'!$I$92=0,0,F552/('0信息维护'!$I$92)*'0信息维护'!$T$26*'0信息维护'!$E$36)+IF('0信息维护'!$I$93=0,0,G552/('0信息维护'!$I$93)*'0信息维护'!$U$26*'0信息维护'!$E$36)+IF('0信息维护'!$I$94=0,0,H552/('0信息维护'!$I$94)*'0信息维护'!$V$26*'0信息维护'!$E$36)+IF('0信息维护'!$I$95=0,0,I552/'0信息维护'!$I$95*'0信息维护'!$I$36)</f>
        <v>0.816666666666667</v>
      </c>
      <c r="K552" s="27"/>
      <c r="N552" s="29"/>
    </row>
    <row r="553" spans="1:11">
      <c r="A553" s="20"/>
      <c r="B553" s="20"/>
      <c r="C553" s="20"/>
      <c r="D553" s="18" t="str">
        <f>'0信息维护'!A$27</f>
        <v>课程目标3</v>
      </c>
      <c r="E553" s="19">
        <f ca="1">OFFSET('1课程考核方式及成绩组成'!$F$10,(ROW(E553)-5)/7,MOD((ROW(E553)-5),7))</f>
        <v>0</v>
      </c>
      <c r="F553" s="19">
        <f ca="1">OFFSET('1课程考核方式及成绩组成'!$N$10,(ROW(F553)-5)/7,MOD((ROW(F553)-5),7))</f>
        <v>0</v>
      </c>
      <c r="G553" s="19">
        <f ca="1">OFFSET('1课程考核方式及成绩组成'!$V$10,(ROW(G553)-5)/7,MOD((ROW(G553)-5),7))</f>
        <v>0</v>
      </c>
      <c r="H553" s="19">
        <f ca="1">OFFSET('1课程考核方式及成绩组成'!$AD$10,(ROW(H553)-5)/7,MOD((ROW(H553)-5),7))</f>
        <v>0</v>
      </c>
      <c r="I553" s="19">
        <f ca="1">OFFSET('1课程考核方式及成绩组成'!$AL$10,(ROW(I553)-5)/7,MOD((ROW(I553)-5),7))</f>
        <v>23</v>
      </c>
      <c r="J553" s="25">
        <f ca="1">IF('0信息维护'!$I$97=0,0,E553/('0信息维护'!$I$97)*'0信息维护'!$E$37*'0信息维护'!$S$27)+IF('0信息维护'!$I$98=0,0,F553/('0信息维护'!$I$98)*'0信息维护'!$E$37*'0信息维护'!$T$27)+IF('0信息维护'!$I$99=0,0,G553/('0信息维护'!$I$99)*'0信息维护'!$E$37*'0信息维护'!$U$27)+IF('0信息维护'!$I$100=0,0,H553/('0信息维护'!$I$100)*'0信息维护'!$E$37*'0信息维护'!$V$27)+IF('0信息维护'!$I$101=0,0,I553/'0信息维护'!$I$101*'0信息维护'!$I$37)</f>
        <v>0.676470588235294</v>
      </c>
      <c r="K553" s="27"/>
    </row>
    <row r="554" spans="1:11">
      <c r="A554" s="20"/>
      <c r="B554" s="20"/>
      <c r="C554" s="20"/>
      <c r="D554" s="18" t="str">
        <f>'0信息维护'!A$28</f>
        <v>课程目标4</v>
      </c>
      <c r="E554" s="19">
        <f ca="1">OFFSET('1课程考核方式及成绩组成'!$F$10,(ROW(E554)-5)/7,MOD((ROW(E554)-5),7))</f>
        <v>0</v>
      </c>
      <c r="F554" s="19">
        <f ca="1">OFFSET('1课程考核方式及成绩组成'!$N$10,(ROW(F554)-5)/7,MOD((ROW(F554)-5),7))</f>
        <v>82</v>
      </c>
      <c r="G554" s="19">
        <f ca="1">OFFSET('1课程考核方式及成绩组成'!$V$10,(ROW(G554)-5)/7,MOD((ROW(G554)-5),7))</f>
        <v>0</v>
      </c>
      <c r="H554" s="19">
        <f ca="1">OFFSET('1课程考核方式及成绩组成'!$AD$10,(ROW(H554)-5)/7,MOD((ROW(H554)-5),7))</f>
        <v>0</v>
      </c>
      <c r="I554" s="19">
        <f ca="1">OFFSET('1课程考核方式及成绩组成'!$AL$10,(ROW(I554)-5)/7,MOD((ROW(I554)-5),7))</f>
        <v>0</v>
      </c>
      <c r="J554" s="25">
        <f ca="1">IF('0信息维护'!$I$103=0,0,E554/('0信息维护'!$I$103)*'0信息维护'!$E$38*'0信息维护'!$S$28)+IF('0信息维护'!$I$104=0,0,F554/('0信息维护'!$I$104)*'0信息维护'!$E$38*'0信息维护'!$T$28)+IF('0信息维护'!$I$105=0,0,G554/('0信息维护'!$I$105)*'0信息维护'!$E$38*'0信息维护'!$U$28)+IF('0信息维护'!$I$106=0,0,H554/('0信息维护'!$I$106)*'0信息维护'!$E$38*'0信息维护'!$V$28)+IF('0信息维护'!$I$107=0,0,I554/'0信息维护'!$I$107*'0信息维护'!$I$38)</f>
        <v>0.82</v>
      </c>
      <c r="K554" s="27"/>
    </row>
    <row r="555" spans="1:11">
      <c r="A555" s="20"/>
      <c r="B555" s="20"/>
      <c r="C555" s="20"/>
      <c r="D555" s="18" t="str">
        <f>'0信息维护'!A$29</f>
        <v>课程目标5</v>
      </c>
      <c r="E555" s="19">
        <f ca="1">OFFSET('1课程考核方式及成绩组成'!$F$10,(ROW(E555)-5)/7,MOD((ROW(E555)-5),7))</f>
        <v>0</v>
      </c>
      <c r="F555" s="19">
        <f ca="1">OFFSET('1课程考核方式及成绩组成'!$N$10,(ROW(F555)-5)/7,MOD((ROW(F555)-5),7))</f>
        <v>0</v>
      </c>
      <c r="G555" s="19">
        <f ca="1">OFFSET('1课程考核方式及成绩组成'!$V$10,(ROW(G555)-5)/7,MOD((ROW(G555)-5),7))</f>
        <v>0</v>
      </c>
      <c r="H555" s="19">
        <f ca="1">OFFSET('1课程考核方式及成绩组成'!$AD$10,(ROW(H555)-5)/7,MOD((ROW(H555)-5),7))</f>
        <v>0</v>
      </c>
      <c r="I555" s="19">
        <f ca="1">OFFSET('1课程考核方式及成绩组成'!$AL$10,(ROW(I555)-5)/7,MOD((ROW(I555)-5),7))</f>
        <v>0</v>
      </c>
      <c r="J555" s="25">
        <f ca="1">IF('0信息维护'!$I$109=0,0,E555/('0信息维护'!$I$109)*'0信息维护'!$E$39*'0信息维护'!$S$29)+IF('0信息维护'!$I$110=0,0,F555/('0信息维护'!$I$110)*'0信息维护'!$E$39*'0信息维护'!$T$29)+IF('0信息维护'!$I$111=0,0,G555/('0信息维护'!$I$111)*'0信息维护'!$E$39*'0信息维护'!$U$29)+IF('0信息维护'!$I$112=0,0,H555/('0信息维护'!$I$112)*'0信息维护'!$E$39*'0信息维护'!$V$29)+IF('0信息维护'!$I$113=0,0,I555/'0信息维护'!$I$113*'0信息维护'!$I$39)</f>
        <v>0</v>
      </c>
      <c r="K555" s="27"/>
    </row>
    <row r="556" spans="1:11">
      <c r="A556" s="20"/>
      <c r="B556" s="20"/>
      <c r="C556" s="20"/>
      <c r="D556" s="18" t="str">
        <f>'0信息维护'!A$30</f>
        <v>课程目标6</v>
      </c>
      <c r="E556" s="19">
        <f ca="1">OFFSET('1课程考核方式及成绩组成'!$F$10,(ROW(E556)-5)/7,MOD((ROW(E556)-5),7))</f>
        <v>0</v>
      </c>
      <c r="F556" s="19">
        <f ca="1">OFFSET('1课程考核方式及成绩组成'!$N$10,(ROW(F556)-5)/7,MOD((ROW(F556)-5),7))</f>
        <v>0</v>
      </c>
      <c r="G556" s="19">
        <f ca="1">OFFSET('1课程考核方式及成绩组成'!$V$10,(ROW(G556)-5)/7,MOD((ROW(G556)-5),7))</f>
        <v>0</v>
      </c>
      <c r="H556" s="19">
        <f ca="1">OFFSET('1课程考核方式及成绩组成'!$AD$10,(ROW(H556)-5)/7,MOD((ROW(H556)-5),7))</f>
        <v>0</v>
      </c>
      <c r="I556" s="19">
        <f ca="1">OFFSET('1课程考核方式及成绩组成'!$AL$10,(ROW(I556)-5)/7,MOD((ROW(I556)-5),7))</f>
        <v>0</v>
      </c>
      <c r="J556" s="25">
        <f ca="1">IF('0信息维护'!$I$115=0,0,E556/('0信息维护'!$I$115)*'0信息维护'!$E$40*'0信息维护'!$S$30)+IF('0信息维护'!$I$116=0,0,F556/('0信息维护'!$I$116)*'0信息维护'!$E$40*'0信息维护'!$T$30)+IF('0信息维护'!$I$117=0,0,G556/('0信息维护'!$I$117)*'0信息维护'!$E$40*'0信息维护'!$U$30)+IF('0信息维护'!$I$118=0,0,H556/('0信息维护'!$I$118)*'0信息维护'!$E$40*'0信息维护'!$V$30)+IF('0信息维护'!$I$119=0,0,I556/'0信息维护'!$I$119*'0信息维护'!$I$40)</f>
        <v>0</v>
      </c>
      <c r="K556" s="27"/>
    </row>
    <row r="557" spans="1:11">
      <c r="A557" s="21"/>
      <c r="B557" s="21"/>
      <c r="C557" s="21"/>
      <c r="D557" s="18" t="str">
        <f>'0信息维护'!A$31</f>
        <v>课程目标7</v>
      </c>
      <c r="E557" s="19">
        <f ca="1">OFFSET('1课程考核方式及成绩组成'!$F$10,(ROW(E557)-5)/7,MOD((ROW(E557)-5),7))</f>
        <v>0</v>
      </c>
      <c r="F557" s="19">
        <f ca="1">OFFSET('1课程考核方式及成绩组成'!$N$10,(ROW(F557)-5)/7,MOD((ROW(F557)-5),7))</f>
        <v>0</v>
      </c>
      <c r="G557" s="19">
        <f ca="1">OFFSET('1课程考核方式及成绩组成'!$V$10,(ROW(G557)-5)/7,MOD((ROW(G557)-5),7))</f>
        <v>0</v>
      </c>
      <c r="H557" s="19">
        <f ca="1">OFFSET('1课程考核方式及成绩组成'!$AD$10,(ROW(H557)-5)/7,MOD((ROW(H557)-5),7))</f>
        <v>0</v>
      </c>
      <c r="I557" s="19">
        <f ca="1">OFFSET('1课程考核方式及成绩组成'!$AL$10,(ROW(I557)-5)/7,MOD((ROW(I557)-5),7))</f>
        <v>0</v>
      </c>
      <c r="J557" s="25">
        <f ca="1">IF('0信息维护'!$I$121=0,0,E557/('0信息维护'!$I$121)*'0信息维护'!$E$41*'0信息维护'!$S$31)+IF('0信息维护'!$I$122=0,0,F557/('0信息维护'!$I$122)*'0信息维护'!$E$41*'0信息维护'!$T$31)+IF('0信息维护'!$I$123=0,0,G557/('0信息维护'!$I$123)*'0信息维护'!$E$41*'0信息维护'!$U$31)+IF('0信息维护'!$I$124=0,0,H557/('0信息维护'!$I$124)*'0信息维护'!$E$41*'0信息维护'!$T$31)+IF('0信息维护'!$I$125=0,0,I557/'0信息维护'!$I$125*'0信息维护'!$I$41)</f>
        <v>0</v>
      </c>
      <c r="K557" s="30"/>
    </row>
    <row r="558" spans="1:11">
      <c r="A558" s="17">
        <v>80</v>
      </c>
      <c r="B558" s="17" t="str">
        <f ca="1">OFFSET('1课程考核方式及成绩组成'!$D$10,(ROW(B558)-5)/7,)</f>
        <v>220106103</v>
      </c>
      <c r="C558" s="17" t="str">
        <f ca="1">OFFSET('1课程考核方式及成绩组成'!$E$10,(ROW(C558)-5)/7,)</f>
        <v>李玲</v>
      </c>
      <c r="D558" s="18" t="str">
        <f>'0信息维护'!A$25</f>
        <v>课程目标1</v>
      </c>
      <c r="E558" s="19">
        <f ca="1">OFFSET('1课程考核方式及成绩组成'!$F$10,(ROW(E558)-5)/7,MOD((ROW(E558)-5),7))</f>
        <v>32</v>
      </c>
      <c r="F558" s="19">
        <f ca="1">OFFSET('1课程考核方式及成绩组成'!$N$10,(ROW(F558)-5)/7,MOD((ROW(F558)-5),7))</f>
        <v>0</v>
      </c>
      <c r="G558" s="19">
        <f ca="1">OFFSET('1课程考核方式及成绩组成'!$V$10,(ROW(G558)-5)/7,MOD((ROW(G558)-5),7))</f>
        <v>0</v>
      </c>
      <c r="H558" s="19">
        <f ca="1">OFFSET('1课程考核方式及成绩组成'!$AD$10,(ROW(H558)-5)/7,MOD((ROW(H558)-5),7))</f>
        <v>0</v>
      </c>
      <c r="I558" s="19">
        <f ca="1">OFFSET('1课程考核方式及成绩组成'!$AL$10,(ROW(I558)-5)/7,MOD((ROW(I558)-5),7))</f>
        <v>28</v>
      </c>
      <c r="J558" s="25">
        <f ca="1">IF('0信息维护'!$I$85=0,0,E558/('0信息维护'!$I$85)*'0信息维护'!$E$35*'0信息维护'!$S$25)+IF('0信息维护'!$I$86=0,0,F558/('0信息维护'!$I$86)*'0信息维护'!$E$35*'0信息维护'!$T$25)+IF('0信息维护'!$I$87=0,0,G558/('0信息维护'!$I$87)*'0信息维护'!$E$35*'0信息维护'!$U$25)+IF('0信息维护'!$I$88=0,0,H558/('0信息维护'!$I$88)*'0信息维护'!$E$35*'0信息维护'!$V$25)+IF('0信息维护'!$I$89=0,0,I558/'0信息维护'!$I$89*'0信息维护'!$I$35)</f>
        <v>0.788888888888889</v>
      </c>
      <c r="K558" s="26">
        <f ca="1">J558*'0信息维护'!$D$132+J559*'0信息维护'!$D$133+J560*'0信息维护'!$D$134+J561*'0信息维护'!$D$135+J562*'0信息维护'!$D$136+J563*'0信息维护'!$D$137+J564*'0信息维护'!$D$138</f>
        <v>0.689392156862745</v>
      </c>
    </row>
    <row r="559" spans="1:14">
      <c r="A559" s="20"/>
      <c r="B559" s="20"/>
      <c r="C559" s="20"/>
      <c r="D559" s="18" t="str">
        <f>'0信息维护'!A$26</f>
        <v>课程目标2</v>
      </c>
      <c r="E559" s="19">
        <f ca="1">OFFSET('1课程考核方式及成绩组成'!$F$10,(ROW(E559)-5)/7,MOD((ROW(E559)-5),7))</f>
        <v>48</v>
      </c>
      <c r="F559" s="19">
        <f ca="1">OFFSET('1课程考核方式及成绩组成'!$N$10,(ROW(F559)-5)/7,MOD((ROW(F559)-5),7))</f>
        <v>0</v>
      </c>
      <c r="G559" s="19">
        <f ca="1">OFFSET('1课程考核方式及成绩组成'!$V$10,(ROW(G559)-5)/7,MOD((ROW(G559)-5),7))</f>
        <v>0</v>
      </c>
      <c r="H559" s="19">
        <f ca="1">OFFSET('1课程考核方式及成绩组成'!$AD$10,(ROW(H559)-5)/7,MOD((ROW(H559)-5),7))</f>
        <v>0</v>
      </c>
      <c r="I559" s="19">
        <f ca="1">OFFSET('1课程考核方式及成绩组成'!$AL$10,(ROW(I559)-5)/7,MOD((ROW(I559)-5),7))</f>
        <v>17</v>
      </c>
      <c r="J559" s="25">
        <f ca="1">IF('0信息维护'!$I$91=0,0,E559/('0信息维护'!$I$91)*'0信息维护'!$S$26*'0信息维护'!$E$36)+IF('0信息维护'!$I$92=0,0,F559/('0信息维护'!$I$92)*'0信息维护'!$T$26*'0信息维护'!$E$36)+IF('0信息维护'!$I$93=0,0,G559/('0信息维护'!$I$93)*'0信息维护'!$U$26*'0信息维护'!$E$36)+IF('0信息维护'!$I$94=0,0,H559/('0信息维护'!$I$94)*'0信息维护'!$V$26*'0信息维护'!$E$36)+IF('0信息维护'!$I$95=0,0,I559/'0信息维护'!$I$95*'0信息维护'!$I$36)</f>
        <v>0.683333333333333</v>
      </c>
      <c r="K559" s="27"/>
      <c r="N559" s="29"/>
    </row>
    <row r="560" spans="1:11">
      <c r="A560" s="20"/>
      <c r="B560" s="20"/>
      <c r="C560" s="20"/>
      <c r="D560" s="18" t="str">
        <f>'0信息维护'!A$27</f>
        <v>课程目标3</v>
      </c>
      <c r="E560" s="19">
        <f ca="1">OFFSET('1课程考核方式及成绩组成'!$F$10,(ROW(E560)-5)/7,MOD((ROW(E560)-5),7))</f>
        <v>0</v>
      </c>
      <c r="F560" s="19">
        <f ca="1">OFFSET('1课程考核方式及成绩组成'!$N$10,(ROW(F560)-5)/7,MOD((ROW(F560)-5),7))</f>
        <v>0</v>
      </c>
      <c r="G560" s="19">
        <f ca="1">OFFSET('1课程考核方式及成绩组成'!$V$10,(ROW(G560)-5)/7,MOD((ROW(G560)-5),7))</f>
        <v>0</v>
      </c>
      <c r="H560" s="19">
        <f ca="1">OFFSET('1课程考核方式及成绩组成'!$AD$10,(ROW(H560)-5)/7,MOD((ROW(H560)-5),7))</f>
        <v>0</v>
      </c>
      <c r="I560" s="19">
        <f ca="1">OFFSET('1课程考核方式及成绩组成'!$AL$10,(ROW(I560)-5)/7,MOD((ROW(I560)-5),7))</f>
        <v>20</v>
      </c>
      <c r="J560" s="25">
        <f ca="1">IF('0信息维护'!$I$97=0,0,E560/('0信息维护'!$I$97)*'0信息维护'!$E$37*'0信息维护'!$S$27)+IF('0信息维护'!$I$98=0,0,F560/('0信息维护'!$I$98)*'0信息维护'!$E$37*'0信息维护'!$T$27)+IF('0信息维护'!$I$99=0,0,G560/('0信息维护'!$I$99)*'0信息维护'!$E$37*'0信息维护'!$U$27)+IF('0信息维护'!$I$100=0,0,H560/('0信息维护'!$I$100)*'0信息维护'!$E$37*'0信息维护'!$V$27)+IF('0信息维护'!$I$101=0,0,I560/'0信息维护'!$I$101*'0信息维护'!$I$37)</f>
        <v>0.588235294117647</v>
      </c>
      <c r="K560" s="27"/>
    </row>
    <row r="561" spans="1:11">
      <c r="A561" s="20"/>
      <c r="B561" s="20"/>
      <c r="C561" s="20"/>
      <c r="D561" s="18" t="str">
        <f>'0信息维护'!A$28</f>
        <v>课程目标4</v>
      </c>
      <c r="E561" s="19">
        <f ca="1">OFFSET('1课程考核方式及成绩组成'!$F$10,(ROW(E561)-5)/7,MOD((ROW(E561)-5),7))</f>
        <v>0</v>
      </c>
      <c r="F561" s="19">
        <f ca="1">OFFSET('1课程考核方式及成绩组成'!$N$10,(ROW(F561)-5)/7,MOD((ROW(F561)-5),7))</f>
        <v>73</v>
      </c>
      <c r="G561" s="19">
        <f ca="1">OFFSET('1课程考核方式及成绩组成'!$V$10,(ROW(G561)-5)/7,MOD((ROW(G561)-5),7))</f>
        <v>0</v>
      </c>
      <c r="H561" s="19">
        <f ca="1">OFFSET('1课程考核方式及成绩组成'!$AD$10,(ROW(H561)-5)/7,MOD((ROW(H561)-5),7))</f>
        <v>0</v>
      </c>
      <c r="I561" s="19">
        <f ca="1">OFFSET('1课程考核方式及成绩组成'!$AL$10,(ROW(I561)-5)/7,MOD((ROW(I561)-5),7))</f>
        <v>0</v>
      </c>
      <c r="J561" s="25">
        <f ca="1">IF('0信息维护'!$I$103=0,0,E561/('0信息维护'!$I$103)*'0信息维护'!$E$38*'0信息维护'!$S$28)+IF('0信息维护'!$I$104=0,0,F561/('0信息维护'!$I$104)*'0信息维护'!$E$38*'0信息维护'!$T$28)+IF('0信息维护'!$I$105=0,0,G561/('0信息维护'!$I$105)*'0信息维护'!$E$38*'0信息维护'!$U$28)+IF('0信息维护'!$I$106=0,0,H561/('0信息维护'!$I$106)*'0信息维护'!$E$38*'0信息维护'!$V$28)+IF('0信息维护'!$I$107=0,0,I561/'0信息维护'!$I$107*'0信息维护'!$I$38)</f>
        <v>0.73</v>
      </c>
      <c r="K561" s="27"/>
    </row>
    <row r="562" spans="1:11">
      <c r="A562" s="20"/>
      <c r="B562" s="20"/>
      <c r="C562" s="20"/>
      <c r="D562" s="18" t="str">
        <f>'0信息维护'!A$29</f>
        <v>课程目标5</v>
      </c>
      <c r="E562" s="19">
        <f ca="1">OFFSET('1课程考核方式及成绩组成'!$F$10,(ROW(E562)-5)/7,MOD((ROW(E562)-5),7))</f>
        <v>0</v>
      </c>
      <c r="F562" s="19">
        <f ca="1">OFFSET('1课程考核方式及成绩组成'!$N$10,(ROW(F562)-5)/7,MOD((ROW(F562)-5),7))</f>
        <v>0</v>
      </c>
      <c r="G562" s="19">
        <f ca="1">OFFSET('1课程考核方式及成绩组成'!$V$10,(ROW(G562)-5)/7,MOD((ROW(G562)-5),7))</f>
        <v>0</v>
      </c>
      <c r="H562" s="19">
        <f ca="1">OFFSET('1课程考核方式及成绩组成'!$AD$10,(ROW(H562)-5)/7,MOD((ROW(H562)-5),7))</f>
        <v>0</v>
      </c>
      <c r="I562" s="19">
        <f ca="1">OFFSET('1课程考核方式及成绩组成'!$AL$10,(ROW(I562)-5)/7,MOD((ROW(I562)-5),7))</f>
        <v>0</v>
      </c>
      <c r="J562" s="25">
        <f ca="1">IF('0信息维护'!$I$109=0,0,E562/('0信息维护'!$I$109)*'0信息维护'!$E$39*'0信息维护'!$S$29)+IF('0信息维护'!$I$110=0,0,F562/('0信息维护'!$I$110)*'0信息维护'!$E$39*'0信息维护'!$T$29)+IF('0信息维护'!$I$111=0,0,G562/('0信息维护'!$I$111)*'0信息维护'!$E$39*'0信息维护'!$U$29)+IF('0信息维护'!$I$112=0,0,H562/('0信息维护'!$I$112)*'0信息维护'!$E$39*'0信息维护'!$V$29)+IF('0信息维护'!$I$113=0,0,I562/'0信息维护'!$I$113*'0信息维护'!$I$39)</f>
        <v>0</v>
      </c>
      <c r="K562" s="27"/>
    </row>
    <row r="563" spans="1:11">
      <c r="A563" s="20"/>
      <c r="B563" s="20"/>
      <c r="C563" s="20"/>
      <c r="D563" s="18" t="str">
        <f>'0信息维护'!A$30</f>
        <v>课程目标6</v>
      </c>
      <c r="E563" s="19">
        <f ca="1">OFFSET('1课程考核方式及成绩组成'!$F$10,(ROW(E563)-5)/7,MOD((ROW(E563)-5),7))</f>
        <v>0</v>
      </c>
      <c r="F563" s="19">
        <f ca="1">OFFSET('1课程考核方式及成绩组成'!$N$10,(ROW(F563)-5)/7,MOD((ROW(F563)-5),7))</f>
        <v>0</v>
      </c>
      <c r="G563" s="19">
        <f ca="1">OFFSET('1课程考核方式及成绩组成'!$V$10,(ROW(G563)-5)/7,MOD((ROW(G563)-5),7))</f>
        <v>0</v>
      </c>
      <c r="H563" s="19">
        <f ca="1">OFFSET('1课程考核方式及成绩组成'!$AD$10,(ROW(H563)-5)/7,MOD((ROW(H563)-5),7))</f>
        <v>0</v>
      </c>
      <c r="I563" s="19">
        <f ca="1">OFFSET('1课程考核方式及成绩组成'!$AL$10,(ROW(I563)-5)/7,MOD((ROW(I563)-5),7))</f>
        <v>0</v>
      </c>
      <c r="J563" s="25">
        <f ca="1">IF('0信息维护'!$I$115=0,0,E563/('0信息维护'!$I$115)*'0信息维护'!$E$40*'0信息维护'!$S$30)+IF('0信息维护'!$I$116=0,0,F563/('0信息维护'!$I$116)*'0信息维护'!$E$40*'0信息维护'!$T$30)+IF('0信息维护'!$I$117=0,0,G563/('0信息维护'!$I$117)*'0信息维护'!$E$40*'0信息维护'!$U$30)+IF('0信息维护'!$I$118=0,0,H563/('0信息维护'!$I$118)*'0信息维护'!$E$40*'0信息维护'!$V$30)+IF('0信息维护'!$I$119=0,0,I563/'0信息维护'!$I$119*'0信息维护'!$I$40)</f>
        <v>0</v>
      </c>
      <c r="K563" s="27"/>
    </row>
    <row r="564" spans="1:11">
      <c r="A564" s="21"/>
      <c r="B564" s="21"/>
      <c r="C564" s="21"/>
      <c r="D564" s="18" t="str">
        <f>'0信息维护'!A$31</f>
        <v>课程目标7</v>
      </c>
      <c r="E564" s="19">
        <f ca="1">OFFSET('1课程考核方式及成绩组成'!$F$10,(ROW(E564)-5)/7,MOD((ROW(E564)-5),7))</f>
        <v>0</v>
      </c>
      <c r="F564" s="19">
        <f ca="1">OFFSET('1课程考核方式及成绩组成'!$N$10,(ROW(F564)-5)/7,MOD((ROW(F564)-5),7))</f>
        <v>0</v>
      </c>
      <c r="G564" s="19">
        <f ca="1">OFFSET('1课程考核方式及成绩组成'!$V$10,(ROW(G564)-5)/7,MOD((ROW(G564)-5),7))</f>
        <v>0</v>
      </c>
      <c r="H564" s="19">
        <f ca="1">OFFSET('1课程考核方式及成绩组成'!$AD$10,(ROW(H564)-5)/7,MOD((ROW(H564)-5),7))</f>
        <v>0</v>
      </c>
      <c r="I564" s="19">
        <f ca="1">OFFSET('1课程考核方式及成绩组成'!$AL$10,(ROW(I564)-5)/7,MOD((ROW(I564)-5),7))</f>
        <v>0</v>
      </c>
      <c r="J564" s="25">
        <f ca="1">IF('0信息维护'!$I$121=0,0,E564/('0信息维护'!$I$121)*'0信息维护'!$E$41*'0信息维护'!$S$31)+IF('0信息维护'!$I$122=0,0,F564/('0信息维护'!$I$122)*'0信息维护'!$E$41*'0信息维护'!$T$31)+IF('0信息维护'!$I$123=0,0,G564/('0信息维护'!$I$123)*'0信息维护'!$E$41*'0信息维护'!$U$31)+IF('0信息维护'!$I$124=0,0,H564/('0信息维护'!$I$124)*'0信息维护'!$E$41*'0信息维护'!$T$31)+IF('0信息维护'!$I$125=0,0,I564/'0信息维护'!$I$125*'0信息维护'!$I$41)</f>
        <v>0</v>
      </c>
      <c r="K564" s="30"/>
    </row>
    <row r="565" spans="1:11">
      <c r="A565" s="17">
        <v>81</v>
      </c>
      <c r="B565" s="17" t="str">
        <f ca="1">OFFSET('1课程考核方式及成绩组成'!$D$10,(ROW(B565)-5)/7,)</f>
        <v>220106104</v>
      </c>
      <c r="C565" s="17" t="str">
        <f ca="1">OFFSET('1课程考核方式及成绩组成'!$E$10,(ROW(C565)-5)/7,)</f>
        <v>刘川</v>
      </c>
      <c r="D565" s="18" t="str">
        <f>'0信息维护'!A$25</f>
        <v>课程目标1</v>
      </c>
      <c r="E565" s="19">
        <f ca="1">OFFSET('1课程考核方式及成绩组成'!$F$10,(ROW(E565)-5)/7,MOD((ROW(E565)-5),7))</f>
        <v>34</v>
      </c>
      <c r="F565" s="19">
        <f ca="1">OFFSET('1课程考核方式及成绩组成'!$N$10,(ROW(F565)-5)/7,MOD((ROW(F565)-5),7))</f>
        <v>0</v>
      </c>
      <c r="G565" s="19">
        <f ca="1">OFFSET('1课程考核方式及成绩组成'!$V$10,(ROW(G565)-5)/7,MOD((ROW(G565)-5),7))</f>
        <v>0</v>
      </c>
      <c r="H565" s="19">
        <f ca="1">OFFSET('1课程考核方式及成绩组成'!$AD$10,(ROW(H565)-5)/7,MOD((ROW(H565)-5),7))</f>
        <v>0</v>
      </c>
      <c r="I565" s="19">
        <f ca="1">OFFSET('1课程考核方式及成绩组成'!$AL$10,(ROW(I565)-5)/7,MOD((ROW(I565)-5),7))</f>
        <v>28</v>
      </c>
      <c r="J565" s="25">
        <f ca="1">IF('0信息维护'!$I$85=0,0,E565/('0信息维护'!$I$85)*'0信息维护'!$E$35*'0信息维护'!$S$25)+IF('0信息维护'!$I$86=0,0,F565/('0信息维护'!$I$86)*'0信息维护'!$E$35*'0信息维护'!$T$25)+IF('0信息维护'!$I$87=0,0,G565/('0信息维护'!$I$87)*'0信息维护'!$E$35*'0信息维护'!$U$25)+IF('0信息维护'!$I$88=0,0,H565/('0信息维护'!$I$88)*'0信息维护'!$E$35*'0信息维护'!$V$25)+IF('0信息维护'!$I$89=0,0,I565/'0信息维护'!$I$89*'0信息维护'!$I$35)</f>
        <v>0.813888888888889</v>
      </c>
      <c r="K565" s="26">
        <f ca="1">J565*'0信息维护'!$D$132+J566*'0信息维护'!$D$133+J567*'0信息维护'!$D$134+J568*'0信息维护'!$D$135+J569*'0信息维护'!$D$136+J570*'0信息维护'!$D$137+J571*'0信息维护'!$D$138</f>
        <v>0.803406862745098</v>
      </c>
    </row>
    <row r="566" spans="1:14">
      <c r="A566" s="20"/>
      <c r="B566" s="20"/>
      <c r="C566" s="20"/>
      <c r="D566" s="18" t="str">
        <f>'0信息维护'!A$26</f>
        <v>课程目标2</v>
      </c>
      <c r="E566" s="19">
        <f ca="1">OFFSET('1课程考核方式及成绩组成'!$F$10,(ROW(E566)-5)/7,MOD((ROW(E566)-5),7))</f>
        <v>53</v>
      </c>
      <c r="F566" s="19">
        <f ca="1">OFFSET('1课程考核方式及成绩组成'!$N$10,(ROW(F566)-5)/7,MOD((ROW(F566)-5),7))</f>
        <v>0</v>
      </c>
      <c r="G566" s="19">
        <f ca="1">OFFSET('1课程考核方式及成绩组成'!$V$10,(ROW(G566)-5)/7,MOD((ROW(G566)-5),7))</f>
        <v>0</v>
      </c>
      <c r="H566" s="19">
        <f ca="1">OFFSET('1课程考核方式及成绩组成'!$AD$10,(ROW(H566)-5)/7,MOD((ROW(H566)-5),7))</f>
        <v>0</v>
      </c>
      <c r="I566" s="19">
        <f ca="1">OFFSET('1课程考核方式及成绩组成'!$AL$10,(ROW(I566)-5)/7,MOD((ROW(I566)-5),7))</f>
        <v>22</v>
      </c>
      <c r="J566" s="25">
        <f ca="1">IF('0信息维护'!$I$91=0,0,E566/('0信息维护'!$I$91)*'0信息维护'!$S$26*'0信息维护'!$E$36)+IF('0信息维护'!$I$92=0,0,F566/('0信息维护'!$I$92)*'0信息维护'!$T$26*'0信息维护'!$E$36)+IF('0信息维护'!$I$93=0,0,G566/('0信息维护'!$I$93)*'0信息维护'!$U$26*'0信息维护'!$E$36)+IF('0信息维护'!$I$94=0,0,H566/('0信息维护'!$I$94)*'0信息维护'!$V$26*'0信息维护'!$E$36)+IF('0信息维护'!$I$95=0,0,I566/'0信息维护'!$I$95*'0信息维护'!$I$36)</f>
        <v>0.808333333333333</v>
      </c>
      <c r="K566" s="27"/>
      <c r="N566" s="29"/>
    </row>
    <row r="567" spans="1:11">
      <c r="A567" s="20"/>
      <c r="B567" s="20"/>
      <c r="C567" s="20"/>
      <c r="D567" s="18" t="str">
        <f>'0信息维护'!A$27</f>
        <v>课程目标3</v>
      </c>
      <c r="E567" s="19">
        <f ca="1">OFFSET('1课程考核方式及成绩组成'!$F$10,(ROW(E567)-5)/7,MOD((ROW(E567)-5),7))</f>
        <v>0</v>
      </c>
      <c r="F567" s="19">
        <f ca="1">OFFSET('1课程考核方式及成绩组成'!$N$10,(ROW(F567)-5)/7,MOD((ROW(F567)-5),7))</f>
        <v>0</v>
      </c>
      <c r="G567" s="19">
        <f ca="1">OFFSET('1课程考核方式及成绩组成'!$V$10,(ROW(G567)-5)/7,MOD((ROW(G567)-5),7))</f>
        <v>0</v>
      </c>
      <c r="H567" s="19">
        <f ca="1">OFFSET('1课程考核方式及成绩组成'!$AD$10,(ROW(H567)-5)/7,MOD((ROW(H567)-5),7))</f>
        <v>0</v>
      </c>
      <c r="I567" s="19">
        <f ca="1">OFFSET('1课程考核方式及成绩组成'!$AL$10,(ROW(I567)-5)/7,MOD((ROW(I567)-5),7))</f>
        <v>25</v>
      </c>
      <c r="J567" s="25">
        <f ca="1">IF('0信息维护'!$I$97=0,0,E567/('0信息维护'!$I$97)*'0信息维护'!$E$37*'0信息维护'!$S$27)+IF('0信息维护'!$I$98=0,0,F567/('0信息维护'!$I$98)*'0信息维护'!$E$37*'0信息维护'!$T$27)+IF('0信息维护'!$I$99=0,0,G567/('0信息维护'!$I$99)*'0信息维护'!$E$37*'0信息维护'!$U$27)+IF('0信息维护'!$I$100=0,0,H567/('0信息维护'!$I$100)*'0信息维护'!$E$37*'0信息维护'!$V$27)+IF('0信息维护'!$I$101=0,0,I567/'0信息维护'!$I$101*'0信息维护'!$I$37)</f>
        <v>0.735294117647059</v>
      </c>
      <c r="K567" s="27"/>
    </row>
    <row r="568" spans="1:11">
      <c r="A568" s="20"/>
      <c r="B568" s="20"/>
      <c r="C568" s="20"/>
      <c r="D568" s="18" t="str">
        <f>'0信息维护'!A$28</f>
        <v>课程目标4</v>
      </c>
      <c r="E568" s="19">
        <f ca="1">OFFSET('1课程考核方式及成绩组成'!$F$10,(ROW(E568)-5)/7,MOD((ROW(E568)-5),7))</f>
        <v>0</v>
      </c>
      <c r="F568" s="19">
        <f ca="1">OFFSET('1课程考核方式及成绩组成'!$N$10,(ROW(F568)-5)/7,MOD((ROW(F568)-5),7))</f>
        <v>85</v>
      </c>
      <c r="G568" s="19">
        <f ca="1">OFFSET('1课程考核方式及成绩组成'!$V$10,(ROW(G568)-5)/7,MOD((ROW(G568)-5),7))</f>
        <v>0</v>
      </c>
      <c r="H568" s="19">
        <f ca="1">OFFSET('1课程考核方式及成绩组成'!$AD$10,(ROW(H568)-5)/7,MOD((ROW(H568)-5),7))</f>
        <v>0</v>
      </c>
      <c r="I568" s="19">
        <f ca="1">OFFSET('1课程考核方式及成绩组成'!$AL$10,(ROW(I568)-5)/7,MOD((ROW(I568)-5),7))</f>
        <v>0</v>
      </c>
      <c r="J568" s="25">
        <f ca="1">IF('0信息维护'!$I$103=0,0,E568/('0信息维护'!$I$103)*'0信息维护'!$E$38*'0信息维护'!$S$28)+IF('0信息维护'!$I$104=0,0,F568/('0信息维护'!$I$104)*'0信息维护'!$E$38*'0信息维护'!$T$28)+IF('0信息维护'!$I$105=0,0,G568/('0信息维护'!$I$105)*'0信息维护'!$E$38*'0信息维护'!$U$28)+IF('0信息维护'!$I$106=0,0,H568/('0信息维护'!$I$106)*'0信息维护'!$E$38*'0信息维护'!$V$28)+IF('0信息维护'!$I$107=0,0,I568/'0信息维护'!$I$107*'0信息维护'!$I$38)</f>
        <v>0.85</v>
      </c>
      <c r="K568" s="27"/>
    </row>
    <row r="569" spans="1:11">
      <c r="A569" s="20"/>
      <c r="B569" s="20"/>
      <c r="C569" s="20"/>
      <c r="D569" s="18" t="str">
        <f>'0信息维护'!A$29</f>
        <v>课程目标5</v>
      </c>
      <c r="E569" s="19">
        <f ca="1">OFFSET('1课程考核方式及成绩组成'!$F$10,(ROW(E569)-5)/7,MOD((ROW(E569)-5),7))</f>
        <v>0</v>
      </c>
      <c r="F569" s="19">
        <f ca="1">OFFSET('1课程考核方式及成绩组成'!$N$10,(ROW(F569)-5)/7,MOD((ROW(F569)-5),7))</f>
        <v>0</v>
      </c>
      <c r="G569" s="19">
        <f ca="1">OFFSET('1课程考核方式及成绩组成'!$V$10,(ROW(G569)-5)/7,MOD((ROW(G569)-5),7))</f>
        <v>0</v>
      </c>
      <c r="H569" s="19">
        <f ca="1">OFFSET('1课程考核方式及成绩组成'!$AD$10,(ROW(H569)-5)/7,MOD((ROW(H569)-5),7))</f>
        <v>0</v>
      </c>
      <c r="I569" s="19">
        <f ca="1">OFFSET('1课程考核方式及成绩组成'!$AL$10,(ROW(I569)-5)/7,MOD((ROW(I569)-5),7))</f>
        <v>0</v>
      </c>
      <c r="J569" s="25">
        <f ca="1">IF('0信息维护'!$I$109=0,0,E569/('0信息维护'!$I$109)*'0信息维护'!$E$39*'0信息维护'!$S$29)+IF('0信息维护'!$I$110=0,0,F569/('0信息维护'!$I$110)*'0信息维护'!$E$39*'0信息维护'!$T$29)+IF('0信息维护'!$I$111=0,0,G569/('0信息维护'!$I$111)*'0信息维护'!$E$39*'0信息维护'!$U$29)+IF('0信息维护'!$I$112=0,0,H569/('0信息维护'!$I$112)*'0信息维护'!$E$39*'0信息维护'!$V$29)+IF('0信息维护'!$I$113=0,0,I569/'0信息维护'!$I$113*'0信息维护'!$I$39)</f>
        <v>0</v>
      </c>
      <c r="K569" s="27"/>
    </row>
    <row r="570" spans="1:11">
      <c r="A570" s="20"/>
      <c r="B570" s="20"/>
      <c r="C570" s="20"/>
      <c r="D570" s="18" t="str">
        <f>'0信息维护'!A$30</f>
        <v>课程目标6</v>
      </c>
      <c r="E570" s="19">
        <f ca="1">OFFSET('1课程考核方式及成绩组成'!$F$10,(ROW(E570)-5)/7,MOD((ROW(E570)-5),7))</f>
        <v>0</v>
      </c>
      <c r="F570" s="19">
        <f ca="1">OFFSET('1课程考核方式及成绩组成'!$N$10,(ROW(F570)-5)/7,MOD((ROW(F570)-5),7))</f>
        <v>0</v>
      </c>
      <c r="G570" s="19">
        <f ca="1">OFFSET('1课程考核方式及成绩组成'!$V$10,(ROW(G570)-5)/7,MOD((ROW(G570)-5),7))</f>
        <v>0</v>
      </c>
      <c r="H570" s="19">
        <f ca="1">OFFSET('1课程考核方式及成绩组成'!$AD$10,(ROW(H570)-5)/7,MOD((ROW(H570)-5),7))</f>
        <v>0</v>
      </c>
      <c r="I570" s="19">
        <f ca="1">OFFSET('1课程考核方式及成绩组成'!$AL$10,(ROW(I570)-5)/7,MOD((ROW(I570)-5),7))</f>
        <v>0</v>
      </c>
      <c r="J570" s="25">
        <f ca="1">IF('0信息维护'!$I$115=0,0,E570/('0信息维护'!$I$115)*'0信息维护'!$E$40*'0信息维护'!$S$30)+IF('0信息维护'!$I$116=0,0,F570/('0信息维护'!$I$116)*'0信息维护'!$E$40*'0信息维护'!$T$30)+IF('0信息维护'!$I$117=0,0,G570/('0信息维护'!$I$117)*'0信息维护'!$E$40*'0信息维护'!$U$30)+IF('0信息维护'!$I$118=0,0,H570/('0信息维护'!$I$118)*'0信息维护'!$E$40*'0信息维护'!$V$30)+IF('0信息维护'!$I$119=0,0,I570/'0信息维护'!$I$119*'0信息维护'!$I$40)</f>
        <v>0</v>
      </c>
      <c r="K570" s="27"/>
    </row>
    <row r="571" spans="1:11">
      <c r="A571" s="21"/>
      <c r="B571" s="21"/>
      <c r="C571" s="21"/>
      <c r="D571" s="18" t="str">
        <f>'0信息维护'!A$31</f>
        <v>课程目标7</v>
      </c>
      <c r="E571" s="19">
        <f ca="1">OFFSET('1课程考核方式及成绩组成'!$F$10,(ROW(E571)-5)/7,MOD((ROW(E571)-5),7))</f>
        <v>0</v>
      </c>
      <c r="F571" s="19">
        <f ca="1">OFFSET('1课程考核方式及成绩组成'!$N$10,(ROW(F571)-5)/7,MOD((ROW(F571)-5),7))</f>
        <v>0</v>
      </c>
      <c r="G571" s="19">
        <f ca="1">OFFSET('1课程考核方式及成绩组成'!$V$10,(ROW(G571)-5)/7,MOD((ROW(G571)-5),7))</f>
        <v>0</v>
      </c>
      <c r="H571" s="19">
        <f ca="1">OFFSET('1课程考核方式及成绩组成'!$AD$10,(ROW(H571)-5)/7,MOD((ROW(H571)-5),7))</f>
        <v>0</v>
      </c>
      <c r="I571" s="19">
        <f ca="1">OFFSET('1课程考核方式及成绩组成'!$AL$10,(ROW(I571)-5)/7,MOD((ROW(I571)-5),7))</f>
        <v>0</v>
      </c>
      <c r="J571" s="25">
        <f ca="1">IF('0信息维护'!$I$121=0,0,E571/('0信息维护'!$I$121)*'0信息维护'!$E$41*'0信息维护'!$S$31)+IF('0信息维护'!$I$122=0,0,F571/('0信息维护'!$I$122)*'0信息维护'!$E$41*'0信息维护'!$T$31)+IF('0信息维护'!$I$123=0,0,G571/('0信息维护'!$I$123)*'0信息维护'!$E$41*'0信息维护'!$U$31)+IF('0信息维护'!$I$124=0,0,H571/('0信息维护'!$I$124)*'0信息维护'!$E$41*'0信息维护'!$T$31)+IF('0信息维护'!$I$125=0,0,I571/'0信息维护'!$I$125*'0信息维护'!$I$41)</f>
        <v>0</v>
      </c>
      <c r="K571" s="30"/>
    </row>
    <row r="572" spans="1:11">
      <c r="A572" s="17">
        <v>82</v>
      </c>
      <c r="B572" s="17" t="str">
        <f ca="1">OFFSET('1课程考核方式及成绩组成'!$D$10,(ROW(B572)-5)/7,)</f>
        <v>220106105</v>
      </c>
      <c r="C572" s="17" t="str">
        <f ca="1">OFFSET('1课程考核方式及成绩组成'!$E$10,(ROW(C572)-5)/7,)</f>
        <v>王瑶</v>
      </c>
      <c r="D572" s="18" t="str">
        <f>'0信息维护'!A$25</f>
        <v>课程目标1</v>
      </c>
      <c r="E572" s="19">
        <f ca="1">OFFSET('1课程考核方式及成绩组成'!$F$10,(ROW(E572)-5)/7,MOD((ROW(E572)-5),7))</f>
        <v>34</v>
      </c>
      <c r="F572" s="19">
        <f ca="1">OFFSET('1课程考核方式及成绩组成'!$N$10,(ROW(F572)-5)/7,MOD((ROW(F572)-5),7))</f>
        <v>0</v>
      </c>
      <c r="G572" s="19">
        <f ca="1">OFFSET('1课程考核方式及成绩组成'!$V$10,(ROW(G572)-5)/7,MOD((ROW(G572)-5),7))</f>
        <v>0</v>
      </c>
      <c r="H572" s="19">
        <f ca="1">OFFSET('1课程考核方式及成绩组成'!$AD$10,(ROW(H572)-5)/7,MOD((ROW(H572)-5),7))</f>
        <v>0</v>
      </c>
      <c r="I572" s="19">
        <f ca="1">OFFSET('1课程考核方式及成绩组成'!$AL$10,(ROW(I572)-5)/7,MOD((ROW(I572)-5),7))</f>
        <v>25</v>
      </c>
      <c r="J572" s="25">
        <f ca="1">IF('0信息维护'!$I$85=0,0,E572/('0信息维护'!$I$85)*'0信息维护'!$E$35*'0信息维护'!$S$25)+IF('0信息维护'!$I$86=0,0,F572/('0信息维护'!$I$86)*'0信息维护'!$E$35*'0信息维护'!$T$25)+IF('0信息维护'!$I$87=0,0,G572/('0信息维护'!$I$87)*'0信息维护'!$E$35*'0信息维护'!$U$25)+IF('0信息维护'!$I$88=0,0,H572/('0信息维护'!$I$88)*'0信息维护'!$E$35*'0信息维护'!$V$25)+IF('0信息维护'!$I$89=0,0,I572/'0信息维护'!$I$89*'0信息维护'!$I$35)</f>
        <v>0.772222222222222</v>
      </c>
      <c r="K572" s="26">
        <f ca="1">J572*'0信息维护'!$D$132+J573*'0信息维护'!$D$133+J574*'0信息维护'!$D$134+J575*'0信息维护'!$D$135+J576*'0信息维护'!$D$136+J577*'0信息维护'!$D$137+J578*'0信息维护'!$D$138</f>
        <v>0.61656862745098</v>
      </c>
    </row>
    <row r="573" spans="1:14">
      <c r="A573" s="20"/>
      <c r="B573" s="20"/>
      <c r="C573" s="20"/>
      <c r="D573" s="18" t="str">
        <f>'0信息维护'!A$26</f>
        <v>课程目标2</v>
      </c>
      <c r="E573" s="19">
        <f ca="1">OFFSET('1课程考核方式及成绩组成'!$F$10,(ROW(E573)-5)/7,MOD((ROW(E573)-5),7))</f>
        <v>51</v>
      </c>
      <c r="F573" s="19">
        <f ca="1">OFFSET('1课程考核方式及成绩组成'!$N$10,(ROW(F573)-5)/7,MOD((ROW(F573)-5),7))</f>
        <v>0</v>
      </c>
      <c r="G573" s="19">
        <f ca="1">OFFSET('1课程考核方式及成绩组成'!$V$10,(ROW(G573)-5)/7,MOD((ROW(G573)-5),7))</f>
        <v>0</v>
      </c>
      <c r="H573" s="19">
        <f ca="1">OFFSET('1课程考核方式及成绩组成'!$AD$10,(ROW(H573)-5)/7,MOD((ROW(H573)-5),7))</f>
        <v>0</v>
      </c>
      <c r="I573" s="19">
        <f ca="1">OFFSET('1课程考核方式及成绩组成'!$AL$10,(ROW(I573)-5)/7,MOD((ROW(I573)-5),7))</f>
        <v>12</v>
      </c>
      <c r="J573" s="25">
        <f ca="1">IF('0信息维护'!$I$91=0,0,E573/('0信息维护'!$I$91)*'0信息维护'!$S$26*'0信息维护'!$E$36)+IF('0信息维护'!$I$92=0,0,F573/('0信息维护'!$I$92)*'0信息维护'!$T$26*'0信息维护'!$E$36)+IF('0信息维护'!$I$93=0,0,G573/('0信息维护'!$I$93)*'0信息维护'!$U$26*'0信息维护'!$E$36)+IF('0信息维护'!$I$94=0,0,H573/('0信息维护'!$I$94)*'0信息维护'!$V$26*'0信息维护'!$E$36)+IF('0信息维护'!$I$95=0,0,I573/'0信息维护'!$I$95*'0信息维护'!$I$36)</f>
        <v>0.625</v>
      </c>
      <c r="K573" s="27"/>
      <c r="N573" s="29"/>
    </row>
    <row r="574" spans="1:11">
      <c r="A574" s="20"/>
      <c r="B574" s="20"/>
      <c r="C574" s="20"/>
      <c r="D574" s="18" t="str">
        <f>'0信息维护'!A$27</f>
        <v>课程目标3</v>
      </c>
      <c r="E574" s="19">
        <f ca="1">OFFSET('1课程考核方式及成绩组成'!$F$10,(ROW(E574)-5)/7,MOD((ROW(E574)-5),7))</f>
        <v>0</v>
      </c>
      <c r="F574" s="19">
        <f ca="1">OFFSET('1课程考核方式及成绩组成'!$N$10,(ROW(F574)-5)/7,MOD((ROW(F574)-5),7))</f>
        <v>0</v>
      </c>
      <c r="G574" s="19">
        <f ca="1">OFFSET('1课程考核方式及成绩组成'!$V$10,(ROW(G574)-5)/7,MOD((ROW(G574)-5),7))</f>
        <v>0</v>
      </c>
      <c r="H574" s="19">
        <f ca="1">OFFSET('1课程考核方式及成绩组成'!$AD$10,(ROW(H574)-5)/7,MOD((ROW(H574)-5),7))</f>
        <v>0</v>
      </c>
      <c r="I574" s="19">
        <f ca="1">OFFSET('1课程考核方式及成绩组成'!$AL$10,(ROW(I574)-5)/7,MOD((ROW(I574)-5),7))</f>
        <v>12</v>
      </c>
      <c r="J574" s="25">
        <f ca="1">IF('0信息维护'!$I$97=0,0,E574/('0信息维护'!$I$97)*'0信息维护'!$E$37*'0信息维护'!$S$27)+IF('0信息维护'!$I$98=0,0,F574/('0信息维护'!$I$98)*'0信息维护'!$E$37*'0信息维护'!$T$27)+IF('0信息维护'!$I$99=0,0,G574/('0信息维护'!$I$99)*'0信息维护'!$E$37*'0信息维护'!$U$27)+IF('0信息维护'!$I$100=0,0,H574/('0信息维护'!$I$100)*'0信息维护'!$E$37*'0信息维护'!$V$27)+IF('0信息维护'!$I$101=0,0,I574/'0信息维护'!$I$101*'0信息维护'!$I$37)</f>
        <v>0.352941176470588</v>
      </c>
      <c r="K574" s="27"/>
    </row>
    <row r="575" spans="1:11">
      <c r="A575" s="20"/>
      <c r="B575" s="20"/>
      <c r="C575" s="20"/>
      <c r="D575" s="18" t="str">
        <f>'0信息维护'!A$28</f>
        <v>课程目标4</v>
      </c>
      <c r="E575" s="19">
        <f ca="1">OFFSET('1课程考核方式及成绩组成'!$F$10,(ROW(E575)-5)/7,MOD((ROW(E575)-5),7))</f>
        <v>0</v>
      </c>
      <c r="F575" s="19">
        <f ca="1">OFFSET('1课程考核方式及成绩组成'!$N$10,(ROW(F575)-5)/7,MOD((ROW(F575)-5),7))</f>
        <v>75</v>
      </c>
      <c r="G575" s="19">
        <f ca="1">OFFSET('1课程考核方式及成绩组成'!$V$10,(ROW(G575)-5)/7,MOD((ROW(G575)-5),7))</f>
        <v>0</v>
      </c>
      <c r="H575" s="19">
        <f ca="1">OFFSET('1课程考核方式及成绩组成'!$AD$10,(ROW(H575)-5)/7,MOD((ROW(H575)-5),7))</f>
        <v>0</v>
      </c>
      <c r="I575" s="19">
        <f ca="1">OFFSET('1课程考核方式及成绩组成'!$AL$10,(ROW(I575)-5)/7,MOD((ROW(I575)-5),7))</f>
        <v>0</v>
      </c>
      <c r="J575" s="25">
        <f ca="1">IF('0信息维护'!$I$103=0,0,E575/('0信息维护'!$I$103)*'0信息维护'!$E$38*'0信息维护'!$S$28)+IF('0信息维护'!$I$104=0,0,F575/('0信息维护'!$I$104)*'0信息维护'!$E$38*'0信息维护'!$T$28)+IF('0信息维护'!$I$105=0,0,G575/('0信息维护'!$I$105)*'0信息维护'!$E$38*'0信息维护'!$U$28)+IF('0信息维护'!$I$106=0,0,H575/('0信息维护'!$I$106)*'0信息维护'!$E$38*'0信息维护'!$V$28)+IF('0信息维护'!$I$107=0,0,I575/'0信息维护'!$I$107*'0信息维护'!$I$38)</f>
        <v>0.75</v>
      </c>
      <c r="K575" s="27"/>
    </row>
    <row r="576" spans="1:11">
      <c r="A576" s="20"/>
      <c r="B576" s="20"/>
      <c r="C576" s="20"/>
      <c r="D576" s="18" t="str">
        <f>'0信息维护'!A$29</f>
        <v>课程目标5</v>
      </c>
      <c r="E576" s="19">
        <f ca="1">OFFSET('1课程考核方式及成绩组成'!$F$10,(ROW(E576)-5)/7,MOD((ROW(E576)-5),7))</f>
        <v>0</v>
      </c>
      <c r="F576" s="19">
        <f ca="1">OFFSET('1课程考核方式及成绩组成'!$N$10,(ROW(F576)-5)/7,MOD((ROW(F576)-5),7))</f>
        <v>0</v>
      </c>
      <c r="G576" s="19">
        <f ca="1">OFFSET('1课程考核方式及成绩组成'!$V$10,(ROW(G576)-5)/7,MOD((ROW(G576)-5),7))</f>
        <v>0</v>
      </c>
      <c r="H576" s="19">
        <f ca="1">OFFSET('1课程考核方式及成绩组成'!$AD$10,(ROW(H576)-5)/7,MOD((ROW(H576)-5),7))</f>
        <v>0</v>
      </c>
      <c r="I576" s="19">
        <f ca="1">OFFSET('1课程考核方式及成绩组成'!$AL$10,(ROW(I576)-5)/7,MOD((ROW(I576)-5),7))</f>
        <v>0</v>
      </c>
      <c r="J576" s="25">
        <f ca="1">IF('0信息维护'!$I$109=0,0,E576/('0信息维护'!$I$109)*'0信息维护'!$E$39*'0信息维护'!$S$29)+IF('0信息维护'!$I$110=0,0,F576/('0信息维护'!$I$110)*'0信息维护'!$E$39*'0信息维护'!$T$29)+IF('0信息维护'!$I$111=0,0,G576/('0信息维护'!$I$111)*'0信息维护'!$E$39*'0信息维护'!$U$29)+IF('0信息维护'!$I$112=0,0,H576/('0信息维护'!$I$112)*'0信息维护'!$E$39*'0信息维护'!$V$29)+IF('0信息维护'!$I$113=0,0,I576/'0信息维护'!$I$113*'0信息维护'!$I$39)</f>
        <v>0</v>
      </c>
      <c r="K576" s="27"/>
    </row>
    <row r="577" spans="1:11">
      <c r="A577" s="20"/>
      <c r="B577" s="20"/>
      <c r="C577" s="20"/>
      <c r="D577" s="18" t="str">
        <f>'0信息维护'!A$30</f>
        <v>课程目标6</v>
      </c>
      <c r="E577" s="19">
        <f ca="1">OFFSET('1课程考核方式及成绩组成'!$F$10,(ROW(E577)-5)/7,MOD((ROW(E577)-5),7))</f>
        <v>0</v>
      </c>
      <c r="F577" s="19">
        <f ca="1">OFFSET('1课程考核方式及成绩组成'!$N$10,(ROW(F577)-5)/7,MOD((ROW(F577)-5),7))</f>
        <v>0</v>
      </c>
      <c r="G577" s="19">
        <f ca="1">OFFSET('1课程考核方式及成绩组成'!$V$10,(ROW(G577)-5)/7,MOD((ROW(G577)-5),7))</f>
        <v>0</v>
      </c>
      <c r="H577" s="19">
        <f ca="1">OFFSET('1课程考核方式及成绩组成'!$AD$10,(ROW(H577)-5)/7,MOD((ROW(H577)-5),7))</f>
        <v>0</v>
      </c>
      <c r="I577" s="19">
        <f ca="1">OFFSET('1课程考核方式及成绩组成'!$AL$10,(ROW(I577)-5)/7,MOD((ROW(I577)-5),7))</f>
        <v>0</v>
      </c>
      <c r="J577" s="25">
        <f ca="1">IF('0信息维护'!$I$115=0,0,E577/('0信息维护'!$I$115)*'0信息维护'!$E$40*'0信息维护'!$S$30)+IF('0信息维护'!$I$116=0,0,F577/('0信息维护'!$I$116)*'0信息维护'!$E$40*'0信息维护'!$T$30)+IF('0信息维护'!$I$117=0,0,G577/('0信息维护'!$I$117)*'0信息维护'!$E$40*'0信息维护'!$U$30)+IF('0信息维护'!$I$118=0,0,H577/('0信息维护'!$I$118)*'0信息维护'!$E$40*'0信息维护'!$V$30)+IF('0信息维护'!$I$119=0,0,I577/'0信息维护'!$I$119*'0信息维护'!$I$40)</f>
        <v>0</v>
      </c>
      <c r="K577" s="27"/>
    </row>
    <row r="578" spans="1:11">
      <c r="A578" s="21"/>
      <c r="B578" s="21"/>
      <c r="C578" s="21"/>
      <c r="D578" s="18" t="str">
        <f>'0信息维护'!A$31</f>
        <v>课程目标7</v>
      </c>
      <c r="E578" s="19">
        <f ca="1">OFFSET('1课程考核方式及成绩组成'!$F$10,(ROW(E578)-5)/7,MOD((ROW(E578)-5),7))</f>
        <v>0</v>
      </c>
      <c r="F578" s="19">
        <f ca="1">OFFSET('1课程考核方式及成绩组成'!$N$10,(ROW(F578)-5)/7,MOD((ROW(F578)-5),7))</f>
        <v>0</v>
      </c>
      <c r="G578" s="19">
        <f ca="1">OFFSET('1课程考核方式及成绩组成'!$V$10,(ROW(G578)-5)/7,MOD((ROW(G578)-5),7))</f>
        <v>0</v>
      </c>
      <c r="H578" s="19">
        <f ca="1">OFFSET('1课程考核方式及成绩组成'!$AD$10,(ROW(H578)-5)/7,MOD((ROW(H578)-5),7))</f>
        <v>0</v>
      </c>
      <c r="I578" s="19">
        <f ca="1">OFFSET('1课程考核方式及成绩组成'!$AL$10,(ROW(I578)-5)/7,MOD((ROW(I578)-5),7))</f>
        <v>0</v>
      </c>
      <c r="J578" s="25">
        <f ca="1">IF('0信息维护'!$I$121=0,0,E578/('0信息维护'!$I$121)*'0信息维护'!$E$41*'0信息维护'!$S$31)+IF('0信息维护'!$I$122=0,0,F578/('0信息维护'!$I$122)*'0信息维护'!$E$41*'0信息维护'!$T$31)+IF('0信息维护'!$I$123=0,0,G578/('0信息维护'!$I$123)*'0信息维护'!$E$41*'0信息维护'!$U$31)+IF('0信息维护'!$I$124=0,0,H578/('0信息维护'!$I$124)*'0信息维护'!$E$41*'0信息维护'!$T$31)+IF('0信息维护'!$I$125=0,0,I578/'0信息维护'!$I$125*'0信息维护'!$I$41)</f>
        <v>0</v>
      </c>
      <c r="K578" s="30"/>
    </row>
    <row r="579" spans="1:11">
      <c r="A579" s="17">
        <v>83</v>
      </c>
      <c r="B579" s="17" t="str">
        <f ca="1">OFFSET('1课程考核方式及成绩组成'!$D$10,(ROW(B579)-5)/7,)</f>
        <v>220106106</v>
      </c>
      <c r="C579" s="17" t="str">
        <f ca="1">OFFSET('1课程考核方式及成绩组成'!$E$10,(ROW(C579)-5)/7,)</f>
        <v>吴耀东</v>
      </c>
      <c r="D579" s="18" t="str">
        <f>'0信息维护'!A$25</f>
        <v>课程目标1</v>
      </c>
      <c r="E579" s="19">
        <f ca="1">OFFSET('1课程考核方式及成绩组成'!$F$10,(ROW(E579)-5)/7,MOD((ROW(E579)-5),7))</f>
        <v>34</v>
      </c>
      <c r="F579" s="19">
        <f ca="1">OFFSET('1课程考核方式及成绩组成'!$N$10,(ROW(F579)-5)/7,MOD((ROW(F579)-5),7))</f>
        <v>0</v>
      </c>
      <c r="G579" s="19">
        <f ca="1">OFFSET('1课程考核方式及成绩组成'!$V$10,(ROW(G579)-5)/7,MOD((ROW(G579)-5),7))</f>
        <v>0</v>
      </c>
      <c r="H579" s="19">
        <f ca="1">OFFSET('1课程考核方式及成绩组成'!$AD$10,(ROW(H579)-5)/7,MOD((ROW(H579)-5),7))</f>
        <v>0</v>
      </c>
      <c r="I579" s="19">
        <f ca="1">OFFSET('1课程考核方式及成绩组成'!$AL$10,(ROW(I579)-5)/7,MOD((ROW(I579)-5),7))</f>
        <v>25</v>
      </c>
      <c r="J579" s="25">
        <f ca="1">IF('0信息维护'!$I$85=0,0,E579/('0信息维护'!$I$85)*'0信息维护'!$E$35*'0信息维护'!$S$25)+IF('0信息维护'!$I$86=0,0,F579/('0信息维护'!$I$86)*'0信息维护'!$E$35*'0信息维护'!$T$25)+IF('0信息维护'!$I$87=0,0,G579/('0信息维护'!$I$87)*'0信息维护'!$E$35*'0信息维护'!$U$25)+IF('0信息维护'!$I$88=0,0,H579/('0信息维护'!$I$88)*'0信息维护'!$E$35*'0信息维护'!$V$25)+IF('0信息维护'!$I$89=0,0,I579/'0信息维护'!$I$89*'0信息维护'!$I$35)</f>
        <v>0.772222222222222</v>
      </c>
      <c r="K579" s="26">
        <f ca="1">J579*'0信息维护'!$D$132+J580*'0信息维护'!$D$133+J581*'0信息维护'!$D$134+J582*'0信息维护'!$D$135+J583*'0信息维护'!$D$136+J584*'0信息维护'!$D$137+J585*'0信息维护'!$D$138</f>
        <v>0.737098039215686</v>
      </c>
    </row>
    <row r="580" spans="1:14">
      <c r="A580" s="20"/>
      <c r="B580" s="20"/>
      <c r="C580" s="20"/>
      <c r="D580" s="18" t="str">
        <f>'0信息维护'!A$26</f>
        <v>课程目标2</v>
      </c>
      <c r="E580" s="19">
        <f ca="1">OFFSET('1课程考核方式及成绩组成'!$F$10,(ROW(E580)-5)/7,MOD((ROW(E580)-5),7))</f>
        <v>51</v>
      </c>
      <c r="F580" s="19">
        <f ca="1">OFFSET('1课程考核方式及成绩组成'!$N$10,(ROW(F580)-5)/7,MOD((ROW(F580)-5),7))</f>
        <v>0</v>
      </c>
      <c r="G580" s="19">
        <f ca="1">OFFSET('1课程考核方式及成绩组成'!$V$10,(ROW(G580)-5)/7,MOD((ROW(G580)-5),7))</f>
        <v>0</v>
      </c>
      <c r="H580" s="19">
        <f ca="1">OFFSET('1课程考核方式及成绩组成'!$AD$10,(ROW(H580)-5)/7,MOD((ROW(H580)-5),7))</f>
        <v>0</v>
      </c>
      <c r="I580" s="19">
        <f ca="1">OFFSET('1课程考核方式及成绩组成'!$AL$10,(ROW(I580)-5)/7,MOD((ROW(I580)-5),7))</f>
        <v>13</v>
      </c>
      <c r="J580" s="25">
        <f ca="1">IF('0信息维护'!$I$91=0,0,E580/('0信息维护'!$I$91)*'0信息维护'!$S$26*'0信息维护'!$E$36)+IF('0信息维护'!$I$92=0,0,F580/('0信息维护'!$I$92)*'0信息维护'!$T$26*'0信息维护'!$E$36)+IF('0信息维护'!$I$93=0,0,G580/('0信息维护'!$I$93)*'0信息维护'!$U$26*'0信息维护'!$E$36)+IF('0信息维护'!$I$94=0,0,H580/('0信息维护'!$I$94)*'0信息维护'!$V$26*'0信息维护'!$E$36)+IF('0信息维护'!$I$95=0,0,I580/'0信息维护'!$I$95*'0信息维护'!$I$36)</f>
        <v>0.641666666666667</v>
      </c>
      <c r="K580" s="27"/>
      <c r="N580" s="29"/>
    </row>
    <row r="581" spans="1:11">
      <c r="A581" s="20"/>
      <c r="B581" s="20"/>
      <c r="C581" s="20"/>
      <c r="D581" s="18" t="str">
        <f>'0信息维护'!A$27</f>
        <v>课程目标3</v>
      </c>
      <c r="E581" s="19">
        <f ca="1">OFFSET('1课程考核方式及成绩组成'!$F$10,(ROW(E581)-5)/7,MOD((ROW(E581)-5),7))</f>
        <v>0</v>
      </c>
      <c r="F581" s="19">
        <f ca="1">OFFSET('1课程考核方式及成绩组成'!$N$10,(ROW(F581)-5)/7,MOD((ROW(F581)-5),7))</f>
        <v>0</v>
      </c>
      <c r="G581" s="19">
        <f ca="1">OFFSET('1课程考核方式及成绩组成'!$V$10,(ROW(G581)-5)/7,MOD((ROW(G581)-5),7))</f>
        <v>0</v>
      </c>
      <c r="H581" s="19">
        <f ca="1">OFFSET('1课程考核方式及成绩组成'!$AD$10,(ROW(H581)-5)/7,MOD((ROW(H581)-5),7))</f>
        <v>0</v>
      </c>
      <c r="I581" s="19">
        <f ca="1">OFFSET('1课程考核方式及成绩组成'!$AL$10,(ROW(I581)-5)/7,MOD((ROW(I581)-5),7))</f>
        <v>22</v>
      </c>
      <c r="J581" s="25">
        <f ca="1">IF('0信息维护'!$I$97=0,0,E581/('0信息维护'!$I$97)*'0信息维护'!$E$37*'0信息维护'!$S$27)+IF('0信息维护'!$I$98=0,0,F581/('0信息维护'!$I$98)*'0信息维护'!$E$37*'0信息维护'!$T$27)+IF('0信息维护'!$I$99=0,0,G581/('0信息维护'!$I$99)*'0信息维护'!$E$37*'0信息维护'!$U$27)+IF('0信息维护'!$I$100=0,0,H581/('0信息维护'!$I$100)*'0信息维护'!$E$37*'0信息维护'!$V$27)+IF('0信息维护'!$I$101=0,0,I581/'0信息维护'!$I$101*'0信息维护'!$I$37)</f>
        <v>0.647058823529412</v>
      </c>
      <c r="K581" s="27"/>
    </row>
    <row r="582" spans="1:11">
      <c r="A582" s="20"/>
      <c r="B582" s="20"/>
      <c r="C582" s="20"/>
      <c r="D582" s="18" t="str">
        <f>'0信息维护'!A$28</f>
        <v>课程目标4</v>
      </c>
      <c r="E582" s="19">
        <f ca="1">OFFSET('1课程考核方式及成绩组成'!$F$10,(ROW(E582)-5)/7,MOD((ROW(E582)-5),7))</f>
        <v>0</v>
      </c>
      <c r="F582" s="19">
        <f ca="1">OFFSET('1课程考核方式及成绩组成'!$N$10,(ROW(F582)-5)/7,MOD((ROW(F582)-5),7))</f>
        <v>89</v>
      </c>
      <c r="G582" s="19">
        <f ca="1">OFFSET('1课程考核方式及成绩组成'!$V$10,(ROW(G582)-5)/7,MOD((ROW(G582)-5),7))</f>
        <v>0</v>
      </c>
      <c r="H582" s="19">
        <f ca="1">OFFSET('1课程考核方式及成绩组成'!$AD$10,(ROW(H582)-5)/7,MOD((ROW(H582)-5),7))</f>
        <v>0</v>
      </c>
      <c r="I582" s="19">
        <f ca="1">OFFSET('1课程考核方式及成绩组成'!$AL$10,(ROW(I582)-5)/7,MOD((ROW(I582)-5),7))</f>
        <v>0</v>
      </c>
      <c r="J582" s="25">
        <f ca="1">IF('0信息维护'!$I$103=0,0,E582/('0信息维护'!$I$103)*'0信息维护'!$E$38*'0信息维护'!$S$28)+IF('0信息维护'!$I$104=0,0,F582/('0信息维护'!$I$104)*'0信息维护'!$E$38*'0信息维护'!$T$28)+IF('0信息维护'!$I$105=0,0,G582/('0信息维护'!$I$105)*'0信息维护'!$E$38*'0信息维护'!$U$28)+IF('0信息维护'!$I$106=0,0,H582/('0信息维护'!$I$106)*'0信息维护'!$E$38*'0信息维护'!$V$28)+IF('0信息维护'!$I$107=0,0,I582/'0信息维护'!$I$107*'0信息维护'!$I$38)</f>
        <v>0.89</v>
      </c>
      <c r="K582" s="27"/>
    </row>
    <row r="583" spans="1:11">
      <c r="A583" s="20"/>
      <c r="B583" s="20"/>
      <c r="C583" s="20"/>
      <c r="D583" s="18" t="str">
        <f>'0信息维护'!A$29</f>
        <v>课程目标5</v>
      </c>
      <c r="E583" s="19">
        <f ca="1">OFFSET('1课程考核方式及成绩组成'!$F$10,(ROW(E583)-5)/7,MOD((ROW(E583)-5),7))</f>
        <v>0</v>
      </c>
      <c r="F583" s="19">
        <f ca="1">OFFSET('1课程考核方式及成绩组成'!$N$10,(ROW(F583)-5)/7,MOD((ROW(F583)-5),7))</f>
        <v>0</v>
      </c>
      <c r="G583" s="19">
        <f ca="1">OFFSET('1课程考核方式及成绩组成'!$V$10,(ROW(G583)-5)/7,MOD((ROW(G583)-5),7))</f>
        <v>0</v>
      </c>
      <c r="H583" s="19">
        <f ca="1">OFFSET('1课程考核方式及成绩组成'!$AD$10,(ROW(H583)-5)/7,MOD((ROW(H583)-5),7))</f>
        <v>0</v>
      </c>
      <c r="I583" s="19">
        <f ca="1">OFFSET('1课程考核方式及成绩组成'!$AL$10,(ROW(I583)-5)/7,MOD((ROW(I583)-5),7))</f>
        <v>0</v>
      </c>
      <c r="J583" s="25">
        <f ca="1">IF('0信息维护'!$I$109=0,0,E583/('0信息维护'!$I$109)*'0信息维护'!$E$39*'0信息维护'!$S$29)+IF('0信息维护'!$I$110=0,0,F583/('0信息维护'!$I$110)*'0信息维护'!$E$39*'0信息维护'!$T$29)+IF('0信息维护'!$I$111=0,0,G583/('0信息维护'!$I$111)*'0信息维护'!$E$39*'0信息维护'!$U$29)+IF('0信息维护'!$I$112=0,0,H583/('0信息维护'!$I$112)*'0信息维护'!$E$39*'0信息维护'!$V$29)+IF('0信息维护'!$I$113=0,0,I583/'0信息维护'!$I$113*'0信息维护'!$I$39)</f>
        <v>0</v>
      </c>
      <c r="K583" s="27"/>
    </row>
    <row r="584" spans="1:11">
      <c r="A584" s="20"/>
      <c r="B584" s="20"/>
      <c r="C584" s="20"/>
      <c r="D584" s="18" t="str">
        <f>'0信息维护'!A$30</f>
        <v>课程目标6</v>
      </c>
      <c r="E584" s="19">
        <f ca="1">OFFSET('1课程考核方式及成绩组成'!$F$10,(ROW(E584)-5)/7,MOD((ROW(E584)-5),7))</f>
        <v>0</v>
      </c>
      <c r="F584" s="19">
        <f ca="1">OFFSET('1课程考核方式及成绩组成'!$N$10,(ROW(F584)-5)/7,MOD((ROW(F584)-5),7))</f>
        <v>0</v>
      </c>
      <c r="G584" s="19">
        <f ca="1">OFFSET('1课程考核方式及成绩组成'!$V$10,(ROW(G584)-5)/7,MOD((ROW(G584)-5),7))</f>
        <v>0</v>
      </c>
      <c r="H584" s="19">
        <f ca="1">OFFSET('1课程考核方式及成绩组成'!$AD$10,(ROW(H584)-5)/7,MOD((ROW(H584)-5),7))</f>
        <v>0</v>
      </c>
      <c r="I584" s="19">
        <f ca="1">OFFSET('1课程考核方式及成绩组成'!$AL$10,(ROW(I584)-5)/7,MOD((ROW(I584)-5),7))</f>
        <v>0</v>
      </c>
      <c r="J584" s="25">
        <f ca="1">IF('0信息维护'!$I$115=0,0,E584/('0信息维护'!$I$115)*'0信息维护'!$E$40*'0信息维护'!$S$30)+IF('0信息维护'!$I$116=0,0,F584/('0信息维护'!$I$116)*'0信息维护'!$E$40*'0信息维护'!$T$30)+IF('0信息维护'!$I$117=0,0,G584/('0信息维护'!$I$117)*'0信息维护'!$E$40*'0信息维护'!$U$30)+IF('0信息维护'!$I$118=0,0,H584/('0信息维护'!$I$118)*'0信息维护'!$E$40*'0信息维护'!$V$30)+IF('0信息维护'!$I$119=0,0,I584/'0信息维护'!$I$119*'0信息维护'!$I$40)</f>
        <v>0</v>
      </c>
      <c r="K584" s="27"/>
    </row>
    <row r="585" spans="1:11">
      <c r="A585" s="21"/>
      <c r="B585" s="21"/>
      <c r="C585" s="21"/>
      <c r="D585" s="18" t="str">
        <f>'0信息维护'!A$31</f>
        <v>课程目标7</v>
      </c>
      <c r="E585" s="19">
        <f ca="1">OFFSET('1课程考核方式及成绩组成'!$F$10,(ROW(E585)-5)/7,MOD((ROW(E585)-5),7))</f>
        <v>0</v>
      </c>
      <c r="F585" s="19">
        <f ca="1">OFFSET('1课程考核方式及成绩组成'!$N$10,(ROW(F585)-5)/7,MOD((ROW(F585)-5),7))</f>
        <v>0</v>
      </c>
      <c r="G585" s="19">
        <f ca="1">OFFSET('1课程考核方式及成绩组成'!$V$10,(ROW(G585)-5)/7,MOD((ROW(G585)-5),7))</f>
        <v>0</v>
      </c>
      <c r="H585" s="19">
        <f ca="1">OFFSET('1课程考核方式及成绩组成'!$AD$10,(ROW(H585)-5)/7,MOD((ROW(H585)-5),7))</f>
        <v>0</v>
      </c>
      <c r="I585" s="19">
        <f ca="1">OFFSET('1课程考核方式及成绩组成'!$AL$10,(ROW(I585)-5)/7,MOD((ROW(I585)-5),7))</f>
        <v>0</v>
      </c>
      <c r="J585" s="25">
        <f ca="1">IF('0信息维护'!$I$121=0,0,E585/('0信息维护'!$I$121)*'0信息维护'!$E$41*'0信息维护'!$S$31)+IF('0信息维护'!$I$122=0,0,F585/('0信息维护'!$I$122)*'0信息维护'!$E$41*'0信息维护'!$T$31)+IF('0信息维护'!$I$123=0,0,G585/('0信息维护'!$I$123)*'0信息维护'!$E$41*'0信息维护'!$U$31)+IF('0信息维护'!$I$124=0,0,H585/('0信息维护'!$I$124)*'0信息维护'!$E$41*'0信息维护'!$T$31)+IF('0信息维护'!$I$125=0,0,I585/'0信息维护'!$I$125*'0信息维护'!$I$41)</f>
        <v>0</v>
      </c>
      <c r="K585" s="30"/>
    </row>
    <row r="586" spans="1:11">
      <c r="A586" s="17">
        <v>84</v>
      </c>
      <c r="B586" s="17" t="str">
        <f ca="1">OFFSET('1课程考核方式及成绩组成'!$D$10,(ROW(B586)-5)/7,)</f>
        <v>220106107</v>
      </c>
      <c r="C586" s="17" t="str">
        <f ca="1">OFFSET('1课程考核方式及成绩组成'!$E$10,(ROW(C586)-5)/7,)</f>
        <v>段高飞</v>
      </c>
      <c r="D586" s="18" t="str">
        <f>'0信息维护'!A$25</f>
        <v>课程目标1</v>
      </c>
      <c r="E586" s="19">
        <f ca="1">OFFSET('1课程考核方式及成绩组成'!$F$10,(ROW(E586)-5)/7,MOD((ROW(E586)-5),7))</f>
        <v>34</v>
      </c>
      <c r="F586" s="19">
        <f ca="1">OFFSET('1课程考核方式及成绩组成'!$N$10,(ROW(F586)-5)/7,MOD((ROW(F586)-5),7))</f>
        <v>0</v>
      </c>
      <c r="G586" s="19">
        <f ca="1">OFFSET('1课程考核方式及成绩组成'!$V$10,(ROW(G586)-5)/7,MOD((ROW(G586)-5),7))</f>
        <v>0</v>
      </c>
      <c r="H586" s="19">
        <f ca="1">OFFSET('1课程考核方式及成绩组成'!$AD$10,(ROW(H586)-5)/7,MOD((ROW(H586)-5),7))</f>
        <v>0</v>
      </c>
      <c r="I586" s="19">
        <f ca="1">OFFSET('1课程考核方式及成绩组成'!$AL$10,(ROW(I586)-5)/7,MOD((ROW(I586)-5),7))</f>
        <v>32</v>
      </c>
      <c r="J586" s="25">
        <f ca="1">IF('0信息维护'!$I$85=0,0,E586/('0信息维护'!$I$85)*'0信息维护'!$E$35*'0信息维护'!$S$25)+IF('0信息维护'!$I$86=0,0,F586/('0信息维护'!$I$86)*'0信息维护'!$E$35*'0信息维护'!$T$25)+IF('0信息维护'!$I$87=0,0,G586/('0信息维护'!$I$87)*'0信息维护'!$E$35*'0信息维护'!$U$25)+IF('0信息维护'!$I$88=0,0,H586/('0信息维护'!$I$88)*'0信息维护'!$E$35*'0信息维护'!$V$25)+IF('0信息维护'!$I$89=0,0,I586/'0信息维护'!$I$89*'0信息维护'!$I$35)</f>
        <v>0.869444444444444</v>
      </c>
      <c r="K586" s="26">
        <f ca="1">J586*'0信息维护'!$D$132+J587*'0信息维护'!$D$133+J588*'0信息维护'!$D$134+J589*'0信息维护'!$D$135+J590*'0信息维护'!$D$136+J591*'0信息维护'!$D$137+J592*'0信息维护'!$D$138</f>
        <v>0.78168137254902</v>
      </c>
    </row>
    <row r="587" spans="1:14">
      <c r="A587" s="20"/>
      <c r="B587" s="20"/>
      <c r="C587" s="20"/>
      <c r="D587" s="18" t="str">
        <f>'0信息维护'!A$26</f>
        <v>课程目标2</v>
      </c>
      <c r="E587" s="19">
        <f ca="1">OFFSET('1课程考核方式及成绩组成'!$F$10,(ROW(E587)-5)/7,MOD((ROW(E587)-5),7))</f>
        <v>51</v>
      </c>
      <c r="F587" s="19">
        <f ca="1">OFFSET('1课程考核方式及成绩组成'!$N$10,(ROW(F587)-5)/7,MOD((ROW(F587)-5),7))</f>
        <v>0</v>
      </c>
      <c r="G587" s="19">
        <f ca="1">OFFSET('1课程考核方式及成绩组成'!$V$10,(ROW(G587)-5)/7,MOD((ROW(G587)-5),7))</f>
        <v>0</v>
      </c>
      <c r="H587" s="19">
        <f ca="1">OFFSET('1课程考核方式及成绩组成'!$AD$10,(ROW(H587)-5)/7,MOD((ROW(H587)-5),7))</f>
        <v>0</v>
      </c>
      <c r="I587" s="19">
        <f ca="1">OFFSET('1课程考核方式及成绩组成'!$AL$10,(ROW(I587)-5)/7,MOD((ROW(I587)-5),7))</f>
        <v>22</v>
      </c>
      <c r="J587" s="25">
        <f ca="1">IF('0信息维护'!$I$91=0,0,E587/('0信息维护'!$I$91)*'0信息维护'!$S$26*'0信息维护'!$E$36)+IF('0信息维护'!$I$92=0,0,F587/('0信息维护'!$I$92)*'0信息维护'!$T$26*'0信息维护'!$E$36)+IF('0信息维护'!$I$93=0,0,G587/('0信息维护'!$I$93)*'0信息维护'!$U$26*'0信息维护'!$E$36)+IF('0信息维护'!$I$94=0,0,H587/('0信息维护'!$I$94)*'0信息维护'!$V$26*'0信息维护'!$E$36)+IF('0信息维护'!$I$95=0,0,I587/'0信息维护'!$I$95*'0信息维护'!$I$36)</f>
        <v>0.791666666666667</v>
      </c>
      <c r="K587" s="27"/>
      <c r="N587" s="29"/>
    </row>
    <row r="588" spans="1:11">
      <c r="A588" s="20"/>
      <c r="B588" s="20"/>
      <c r="C588" s="20"/>
      <c r="D588" s="18" t="str">
        <f>'0信息维护'!A$27</f>
        <v>课程目标3</v>
      </c>
      <c r="E588" s="19">
        <f ca="1">OFFSET('1课程考核方式及成绩组成'!$F$10,(ROW(E588)-5)/7,MOD((ROW(E588)-5),7))</f>
        <v>0</v>
      </c>
      <c r="F588" s="19">
        <f ca="1">OFFSET('1课程考核方式及成绩组成'!$N$10,(ROW(F588)-5)/7,MOD((ROW(F588)-5),7))</f>
        <v>0</v>
      </c>
      <c r="G588" s="19">
        <f ca="1">OFFSET('1课程考核方式及成绩组成'!$V$10,(ROW(G588)-5)/7,MOD((ROW(G588)-5),7))</f>
        <v>0</v>
      </c>
      <c r="H588" s="19">
        <f ca="1">OFFSET('1课程考核方式及成绩组成'!$AD$10,(ROW(H588)-5)/7,MOD((ROW(H588)-5),7))</f>
        <v>0</v>
      </c>
      <c r="I588" s="19">
        <f ca="1">OFFSET('1课程考核方式及成绩组成'!$AL$10,(ROW(I588)-5)/7,MOD((ROW(I588)-5),7))</f>
        <v>22</v>
      </c>
      <c r="J588" s="25">
        <f ca="1">IF('0信息维护'!$I$97=0,0,E588/('0信息维护'!$I$97)*'0信息维护'!$E$37*'0信息维护'!$S$27)+IF('0信息维护'!$I$98=0,0,F588/('0信息维护'!$I$98)*'0信息维护'!$E$37*'0信息维护'!$T$27)+IF('0信息维护'!$I$99=0,0,G588/('0信息维护'!$I$99)*'0信息维护'!$E$37*'0信息维护'!$U$27)+IF('0信息维护'!$I$100=0,0,H588/('0信息维护'!$I$100)*'0信息维护'!$E$37*'0信息维护'!$V$27)+IF('0信息维护'!$I$101=0,0,I588/'0信息维护'!$I$101*'0信息维护'!$I$37)</f>
        <v>0.647058823529412</v>
      </c>
      <c r="K588" s="27"/>
    </row>
    <row r="589" spans="1:11">
      <c r="A589" s="20"/>
      <c r="B589" s="20"/>
      <c r="C589" s="20"/>
      <c r="D589" s="18" t="str">
        <f>'0信息维护'!A$28</f>
        <v>课程目标4</v>
      </c>
      <c r="E589" s="19">
        <f ca="1">OFFSET('1课程考核方式及成绩组成'!$F$10,(ROW(E589)-5)/7,MOD((ROW(E589)-5),7))</f>
        <v>0</v>
      </c>
      <c r="F589" s="19">
        <f ca="1">OFFSET('1课程考核方式及成绩组成'!$N$10,(ROW(F589)-5)/7,MOD((ROW(F589)-5),7))</f>
        <v>84</v>
      </c>
      <c r="G589" s="19">
        <f ca="1">OFFSET('1课程考核方式及成绩组成'!$V$10,(ROW(G589)-5)/7,MOD((ROW(G589)-5),7))</f>
        <v>0</v>
      </c>
      <c r="H589" s="19">
        <f ca="1">OFFSET('1课程考核方式及成绩组成'!$AD$10,(ROW(H589)-5)/7,MOD((ROW(H589)-5),7))</f>
        <v>0</v>
      </c>
      <c r="I589" s="19">
        <f ca="1">OFFSET('1课程考核方式及成绩组成'!$AL$10,(ROW(I589)-5)/7,MOD((ROW(I589)-5),7))</f>
        <v>0</v>
      </c>
      <c r="J589" s="25">
        <f ca="1">IF('0信息维护'!$I$103=0,0,E589/('0信息维护'!$I$103)*'0信息维护'!$E$38*'0信息维护'!$S$28)+IF('0信息维护'!$I$104=0,0,F589/('0信息维护'!$I$104)*'0信息维护'!$E$38*'0信息维护'!$T$28)+IF('0信息维护'!$I$105=0,0,G589/('0信息维护'!$I$105)*'0信息维护'!$E$38*'0信息维护'!$U$28)+IF('0信息维护'!$I$106=0,0,H589/('0信息维护'!$I$106)*'0信息维护'!$E$38*'0信息维护'!$V$28)+IF('0信息维护'!$I$107=0,0,I589/'0信息维护'!$I$107*'0信息维护'!$I$38)</f>
        <v>0.84</v>
      </c>
      <c r="K589" s="27"/>
    </row>
    <row r="590" spans="1:11">
      <c r="A590" s="20"/>
      <c r="B590" s="20"/>
      <c r="C590" s="20"/>
      <c r="D590" s="18" t="str">
        <f>'0信息维护'!A$29</f>
        <v>课程目标5</v>
      </c>
      <c r="E590" s="19">
        <f ca="1">OFFSET('1课程考核方式及成绩组成'!$F$10,(ROW(E590)-5)/7,MOD((ROW(E590)-5),7))</f>
        <v>0</v>
      </c>
      <c r="F590" s="19">
        <f ca="1">OFFSET('1课程考核方式及成绩组成'!$N$10,(ROW(F590)-5)/7,MOD((ROW(F590)-5),7))</f>
        <v>0</v>
      </c>
      <c r="G590" s="19">
        <f ca="1">OFFSET('1课程考核方式及成绩组成'!$V$10,(ROW(G590)-5)/7,MOD((ROW(G590)-5),7))</f>
        <v>0</v>
      </c>
      <c r="H590" s="19">
        <f ca="1">OFFSET('1课程考核方式及成绩组成'!$AD$10,(ROW(H590)-5)/7,MOD((ROW(H590)-5),7))</f>
        <v>0</v>
      </c>
      <c r="I590" s="19">
        <f ca="1">OFFSET('1课程考核方式及成绩组成'!$AL$10,(ROW(I590)-5)/7,MOD((ROW(I590)-5),7))</f>
        <v>0</v>
      </c>
      <c r="J590" s="25">
        <f ca="1">IF('0信息维护'!$I$109=0,0,E590/('0信息维护'!$I$109)*'0信息维护'!$E$39*'0信息维护'!$S$29)+IF('0信息维护'!$I$110=0,0,F590/('0信息维护'!$I$110)*'0信息维护'!$E$39*'0信息维护'!$T$29)+IF('0信息维护'!$I$111=0,0,G590/('0信息维护'!$I$111)*'0信息维护'!$E$39*'0信息维护'!$U$29)+IF('0信息维护'!$I$112=0,0,H590/('0信息维护'!$I$112)*'0信息维护'!$E$39*'0信息维护'!$V$29)+IF('0信息维护'!$I$113=0,0,I590/'0信息维护'!$I$113*'0信息维护'!$I$39)</f>
        <v>0</v>
      </c>
      <c r="K590" s="27"/>
    </row>
    <row r="591" spans="1:11">
      <c r="A591" s="20"/>
      <c r="B591" s="20"/>
      <c r="C591" s="20"/>
      <c r="D591" s="18" t="str">
        <f>'0信息维护'!A$30</f>
        <v>课程目标6</v>
      </c>
      <c r="E591" s="19">
        <f ca="1">OFFSET('1课程考核方式及成绩组成'!$F$10,(ROW(E591)-5)/7,MOD((ROW(E591)-5),7))</f>
        <v>0</v>
      </c>
      <c r="F591" s="19">
        <f ca="1">OFFSET('1课程考核方式及成绩组成'!$N$10,(ROW(F591)-5)/7,MOD((ROW(F591)-5),7))</f>
        <v>0</v>
      </c>
      <c r="G591" s="19">
        <f ca="1">OFFSET('1课程考核方式及成绩组成'!$V$10,(ROW(G591)-5)/7,MOD((ROW(G591)-5),7))</f>
        <v>0</v>
      </c>
      <c r="H591" s="19">
        <f ca="1">OFFSET('1课程考核方式及成绩组成'!$AD$10,(ROW(H591)-5)/7,MOD((ROW(H591)-5),7))</f>
        <v>0</v>
      </c>
      <c r="I591" s="19">
        <f ca="1">OFFSET('1课程考核方式及成绩组成'!$AL$10,(ROW(I591)-5)/7,MOD((ROW(I591)-5),7))</f>
        <v>0</v>
      </c>
      <c r="J591" s="25">
        <f ca="1">IF('0信息维护'!$I$115=0,0,E591/('0信息维护'!$I$115)*'0信息维护'!$E$40*'0信息维护'!$S$30)+IF('0信息维护'!$I$116=0,0,F591/('0信息维护'!$I$116)*'0信息维护'!$E$40*'0信息维护'!$T$30)+IF('0信息维护'!$I$117=0,0,G591/('0信息维护'!$I$117)*'0信息维护'!$E$40*'0信息维护'!$U$30)+IF('0信息维护'!$I$118=0,0,H591/('0信息维护'!$I$118)*'0信息维护'!$E$40*'0信息维护'!$V$30)+IF('0信息维护'!$I$119=0,0,I591/'0信息维护'!$I$119*'0信息维护'!$I$40)</f>
        <v>0</v>
      </c>
      <c r="K591" s="27"/>
    </row>
    <row r="592" spans="1:11">
      <c r="A592" s="21"/>
      <c r="B592" s="21"/>
      <c r="C592" s="21"/>
      <c r="D592" s="18" t="str">
        <f>'0信息维护'!A$31</f>
        <v>课程目标7</v>
      </c>
      <c r="E592" s="19">
        <f ca="1">OFFSET('1课程考核方式及成绩组成'!$F$10,(ROW(E592)-5)/7,MOD((ROW(E592)-5),7))</f>
        <v>0</v>
      </c>
      <c r="F592" s="19">
        <f ca="1">OFFSET('1课程考核方式及成绩组成'!$N$10,(ROW(F592)-5)/7,MOD((ROW(F592)-5),7))</f>
        <v>0</v>
      </c>
      <c r="G592" s="19">
        <f ca="1">OFFSET('1课程考核方式及成绩组成'!$V$10,(ROW(G592)-5)/7,MOD((ROW(G592)-5),7))</f>
        <v>0</v>
      </c>
      <c r="H592" s="19">
        <f ca="1">OFFSET('1课程考核方式及成绩组成'!$AD$10,(ROW(H592)-5)/7,MOD((ROW(H592)-5),7))</f>
        <v>0</v>
      </c>
      <c r="I592" s="19">
        <f ca="1">OFFSET('1课程考核方式及成绩组成'!$AL$10,(ROW(I592)-5)/7,MOD((ROW(I592)-5),7))</f>
        <v>0</v>
      </c>
      <c r="J592" s="25">
        <f ca="1">IF('0信息维护'!$I$121=0,0,E592/('0信息维护'!$I$121)*'0信息维护'!$E$41*'0信息维护'!$S$31)+IF('0信息维护'!$I$122=0,0,F592/('0信息维护'!$I$122)*'0信息维护'!$E$41*'0信息维护'!$T$31)+IF('0信息维护'!$I$123=0,0,G592/('0信息维护'!$I$123)*'0信息维护'!$E$41*'0信息维护'!$U$31)+IF('0信息维护'!$I$124=0,0,H592/('0信息维护'!$I$124)*'0信息维护'!$E$41*'0信息维护'!$T$31)+IF('0信息维护'!$I$125=0,0,I592/'0信息维护'!$I$125*'0信息维护'!$I$41)</f>
        <v>0</v>
      </c>
      <c r="K592" s="30"/>
    </row>
    <row r="593" spans="1:11">
      <c r="A593" s="17">
        <v>85</v>
      </c>
      <c r="B593" s="17" t="str">
        <f ca="1">OFFSET('1课程考核方式及成绩组成'!$D$10,(ROW(B593)-5)/7,)</f>
        <v>220106108</v>
      </c>
      <c r="C593" s="17" t="str">
        <f ca="1">OFFSET('1课程考核方式及成绩组成'!$E$10,(ROW(C593)-5)/7,)</f>
        <v>马明月</v>
      </c>
      <c r="D593" s="18" t="str">
        <f>'0信息维护'!A$25</f>
        <v>课程目标1</v>
      </c>
      <c r="E593" s="19">
        <f ca="1">OFFSET('1课程考核方式及成绩组成'!$F$10,(ROW(E593)-5)/7,MOD((ROW(E593)-5),7))</f>
        <v>32</v>
      </c>
      <c r="F593" s="19">
        <f ca="1">OFFSET('1课程考核方式及成绩组成'!$N$10,(ROW(F593)-5)/7,MOD((ROW(F593)-5),7))</f>
        <v>0</v>
      </c>
      <c r="G593" s="19">
        <f ca="1">OFFSET('1课程考核方式及成绩组成'!$V$10,(ROW(G593)-5)/7,MOD((ROW(G593)-5),7))</f>
        <v>0</v>
      </c>
      <c r="H593" s="19">
        <f ca="1">OFFSET('1课程考核方式及成绩组成'!$AD$10,(ROW(H593)-5)/7,MOD((ROW(H593)-5),7))</f>
        <v>0</v>
      </c>
      <c r="I593" s="19">
        <f ca="1">OFFSET('1课程考核方式及成绩组成'!$AL$10,(ROW(I593)-5)/7,MOD((ROW(I593)-5),7))</f>
        <v>24</v>
      </c>
      <c r="J593" s="25">
        <f ca="1">IF('0信息维护'!$I$85=0,0,E593/('0信息维护'!$I$85)*'0信息维护'!$E$35*'0信息维护'!$S$25)+IF('0信息维护'!$I$86=0,0,F593/('0信息维护'!$I$86)*'0信息维护'!$E$35*'0信息维护'!$T$25)+IF('0信息维护'!$I$87=0,0,G593/('0信息维护'!$I$87)*'0信息维护'!$E$35*'0信息维护'!$U$25)+IF('0信息维护'!$I$88=0,0,H593/('0信息维护'!$I$88)*'0信息维护'!$E$35*'0信息维护'!$V$25)+IF('0信息维护'!$I$89=0,0,I593/'0信息维护'!$I$89*'0信息维护'!$I$35)</f>
        <v>0.733333333333333</v>
      </c>
      <c r="K593" s="26">
        <f ca="1">J593*'0信息维护'!$D$132+J594*'0信息维护'!$D$133+J595*'0信息维护'!$D$134+J596*'0信息维护'!$D$135+J597*'0信息维护'!$D$136+J598*'0信息维护'!$D$137+J599*'0信息维护'!$D$138</f>
        <v>0.683941176470588</v>
      </c>
    </row>
    <row r="594" spans="1:14">
      <c r="A594" s="20"/>
      <c r="B594" s="20"/>
      <c r="C594" s="20"/>
      <c r="D594" s="18" t="str">
        <f>'0信息维护'!A$26</f>
        <v>课程目标2</v>
      </c>
      <c r="E594" s="19">
        <f ca="1">OFFSET('1课程考核方式及成绩组成'!$F$10,(ROW(E594)-5)/7,MOD((ROW(E594)-5),7))</f>
        <v>48</v>
      </c>
      <c r="F594" s="19">
        <f ca="1">OFFSET('1课程考核方式及成绩组成'!$N$10,(ROW(F594)-5)/7,MOD((ROW(F594)-5),7))</f>
        <v>0</v>
      </c>
      <c r="G594" s="19">
        <f ca="1">OFFSET('1课程考核方式及成绩组成'!$V$10,(ROW(G594)-5)/7,MOD((ROW(G594)-5),7))</f>
        <v>0</v>
      </c>
      <c r="H594" s="19">
        <f ca="1">OFFSET('1课程考核方式及成绩组成'!$AD$10,(ROW(H594)-5)/7,MOD((ROW(H594)-5),7))</f>
        <v>0</v>
      </c>
      <c r="I594" s="19">
        <f ca="1">OFFSET('1课程考核方式及成绩组成'!$AL$10,(ROW(I594)-5)/7,MOD((ROW(I594)-5),7))</f>
        <v>21</v>
      </c>
      <c r="J594" s="25">
        <f ca="1">IF('0信息维护'!$I$91=0,0,E594/('0信息维护'!$I$91)*'0信息维护'!$S$26*'0信息维护'!$E$36)+IF('0信息维护'!$I$92=0,0,F594/('0信息维护'!$I$92)*'0信息维护'!$T$26*'0信息维护'!$E$36)+IF('0信息维护'!$I$93=0,0,G594/('0信息维护'!$I$93)*'0信息维护'!$U$26*'0信息维护'!$E$36)+IF('0信息维护'!$I$94=0,0,H594/('0信息维护'!$I$94)*'0信息维护'!$V$26*'0信息维护'!$E$36)+IF('0信息维护'!$I$95=0,0,I594/'0信息维护'!$I$95*'0信息维护'!$I$36)</f>
        <v>0.75</v>
      </c>
      <c r="K594" s="27"/>
      <c r="N594" s="29"/>
    </row>
    <row r="595" spans="1:11">
      <c r="A595" s="20"/>
      <c r="B595" s="20"/>
      <c r="C595" s="20"/>
      <c r="D595" s="18" t="str">
        <f>'0信息维护'!A$27</f>
        <v>课程目标3</v>
      </c>
      <c r="E595" s="19">
        <f ca="1">OFFSET('1课程考核方式及成绩组成'!$F$10,(ROW(E595)-5)/7,MOD((ROW(E595)-5),7))</f>
        <v>0</v>
      </c>
      <c r="F595" s="19">
        <f ca="1">OFFSET('1课程考核方式及成绩组成'!$N$10,(ROW(F595)-5)/7,MOD((ROW(F595)-5),7))</f>
        <v>0</v>
      </c>
      <c r="G595" s="19">
        <f ca="1">OFFSET('1课程考核方式及成绩组成'!$V$10,(ROW(G595)-5)/7,MOD((ROW(G595)-5),7))</f>
        <v>0</v>
      </c>
      <c r="H595" s="19">
        <f ca="1">OFFSET('1课程考核方式及成绩组成'!$AD$10,(ROW(H595)-5)/7,MOD((ROW(H595)-5),7))</f>
        <v>0</v>
      </c>
      <c r="I595" s="19">
        <f ca="1">OFFSET('1课程考核方式及成绩组成'!$AL$10,(ROW(I595)-5)/7,MOD((ROW(I595)-5),7))</f>
        <v>14</v>
      </c>
      <c r="J595" s="25">
        <f ca="1">IF('0信息维护'!$I$97=0,0,E595/('0信息维护'!$I$97)*'0信息维护'!$E$37*'0信息维护'!$S$27)+IF('0信息维护'!$I$98=0,0,F595/('0信息维护'!$I$98)*'0信息维护'!$E$37*'0信息维护'!$T$27)+IF('0信息维护'!$I$99=0,0,G595/('0信息维护'!$I$99)*'0信息维护'!$E$37*'0信息维护'!$U$27)+IF('0信息维护'!$I$100=0,0,H595/('0信息维护'!$I$100)*'0信息维护'!$E$37*'0信息维护'!$V$27)+IF('0信息维护'!$I$101=0,0,I595/'0信息维护'!$I$101*'0信息维护'!$I$37)</f>
        <v>0.411764705882353</v>
      </c>
      <c r="K595" s="27"/>
    </row>
    <row r="596" spans="1:11">
      <c r="A596" s="20"/>
      <c r="B596" s="20"/>
      <c r="C596" s="20"/>
      <c r="D596" s="18" t="str">
        <f>'0信息维护'!A$28</f>
        <v>课程目标4</v>
      </c>
      <c r="E596" s="19">
        <f ca="1">OFFSET('1课程考核方式及成绩组成'!$F$10,(ROW(E596)-5)/7,MOD((ROW(E596)-5),7))</f>
        <v>0</v>
      </c>
      <c r="F596" s="19">
        <f ca="1">OFFSET('1课程考核方式及成绩组成'!$N$10,(ROW(F596)-5)/7,MOD((ROW(F596)-5),7))</f>
        <v>82</v>
      </c>
      <c r="G596" s="19">
        <f ca="1">OFFSET('1课程考核方式及成绩组成'!$V$10,(ROW(G596)-5)/7,MOD((ROW(G596)-5),7))</f>
        <v>0</v>
      </c>
      <c r="H596" s="19">
        <f ca="1">OFFSET('1课程考核方式及成绩组成'!$AD$10,(ROW(H596)-5)/7,MOD((ROW(H596)-5),7))</f>
        <v>0</v>
      </c>
      <c r="I596" s="19">
        <f ca="1">OFFSET('1课程考核方式及成绩组成'!$AL$10,(ROW(I596)-5)/7,MOD((ROW(I596)-5),7))</f>
        <v>0</v>
      </c>
      <c r="J596" s="25">
        <f ca="1">IF('0信息维护'!$I$103=0,0,E596/('0信息维护'!$I$103)*'0信息维护'!$E$38*'0信息维护'!$S$28)+IF('0信息维护'!$I$104=0,0,F596/('0信息维护'!$I$104)*'0信息维护'!$E$38*'0信息维护'!$T$28)+IF('0信息维护'!$I$105=0,0,G596/('0信息维护'!$I$105)*'0信息维护'!$E$38*'0信息维护'!$U$28)+IF('0信息维护'!$I$106=0,0,H596/('0信息维护'!$I$106)*'0信息维护'!$E$38*'0信息维护'!$V$28)+IF('0信息维护'!$I$107=0,0,I596/'0信息维护'!$I$107*'0信息维护'!$I$38)</f>
        <v>0.82</v>
      </c>
      <c r="K596" s="27"/>
    </row>
    <row r="597" spans="1:11">
      <c r="A597" s="20"/>
      <c r="B597" s="20"/>
      <c r="C597" s="20"/>
      <c r="D597" s="18" t="str">
        <f>'0信息维护'!A$29</f>
        <v>课程目标5</v>
      </c>
      <c r="E597" s="19">
        <f ca="1">OFFSET('1课程考核方式及成绩组成'!$F$10,(ROW(E597)-5)/7,MOD((ROW(E597)-5),7))</f>
        <v>0</v>
      </c>
      <c r="F597" s="19">
        <f ca="1">OFFSET('1课程考核方式及成绩组成'!$N$10,(ROW(F597)-5)/7,MOD((ROW(F597)-5),7))</f>
        <v>0</v>
      </c>
      <c r="G597" s="19">
        <f ca="1">OFFSET('1课程考核方式及成绩组成'!$V$10,(ROW(G597)-5)/7,MOD((ROW(G597)-5),7))</f>
        <v>0</v>
      </c>
      <c r="H597" s="19">
        <f ca="1">OFFSET('1课程考核方式及成绩组成'!$AD$10,(ROW(H597)-5)/7,MOD((ROW(H597)-5),7))</f>
        <v>0</v>
      </c>
      <c r="I597" s="19">
        <f ca="1">OFFSET('1课程考核方式及成绩组成'!$AL$10,(ROW(I597)-5)/7,MOD((ROW(I597)-5),7))</f>
        <v>0</v>
      </c>
      <c r="J597" s="25">
        <f ca="1">IF('0信息维护'!$I$109=0,0,E597/('0信息维护'!$I$109)*'0信息维护'!$E$39*'0信息维护'!$S$29)+IF('0信息维护'!$I$110=0,0,F597/('0信息维护'!$I$110)*'0信息维护'!$E$39*'0信息维护'!$T$29)+IF('0信息维护'!$I$111=0,0,G597/('0信息维护'!$I$111)*'0信息维护'!$E$39*'0信息维护'!$U$29)+IF('0信息维护'!$I$112=0,0,H597/('0信息维护'!$I$112)*'0信息维护'!$E$39*'0信息维护'!$V$29)+IF('0信息维护'!$I$113=0,0,I597/'0信息维护'!$I$113*'0信息维护'!$I$39)</f>
        <v>0</v>
      </c>
      <c r="K597" s="27"/>
    </row>
    <row r="598" spans="1:11">
      <c r="A598" s="20"/>
      <c r="B598" s="20"/>
      <c r="C598" s="20"/>
      <c r="D598" s="18" t="str">
        <f>'0信息维护'!A$30</f>
        <v>课程目标6</v>
      </c>
      <c r="E598" s="19">
        <f ca="1">OFFSET('1课程考核方式及成绩组成'!$F$10,(ROW(E598)-5)/7,MOD((ROW(E598)-5),7))</f>
        <v>0</v>
      </c>
      <c r="F598" s="19">
        <f ca="1">OFFSET('1课程考核方式及成绩组成'!$N$10,(ROW(F598)-5)/7,MOD((ROW(F598)-5),7))</f>
        <v>0</v>
      </c>
      <c r="G598" s="19">
        <f ca="1">OFFSET('1课程考核方式及成绩组成'!$V$10,(ROW(G598)-5)/7,MOD((ROW(G598)-5),7))</f>
        <v>0</v>
      </c>
      <c r="H598" s="19">
        <f ca="1">OFFSET('1课程考核方式及成绩组成'!$AD$10,(ROW(H598)-5)/7,MOD((ROW(H598)-5),7))</f>
        <v>0</v>
      </c>
      <c r="I598" s="19">
        <f ca="1">OFFSET('1课程考核方式及成绩组成'!$AL$10,(ROW(I598)-5)/7,MOD((ROW(I598)-5),7))</f>
        <v>0</v>
      </c>
      <c r="J598" s="25">
        <f ca="1">IF('0信息维护'!$I$115=0,0,E598/('0信息维护'!$I$115)*'0信息维护'!$E$40*'0信息维护'!$S$30)+IF('0信息维护'!$I$116=0,0,F598/('0信息维护'!$I$116)*'0信息维护'!$E$40*'0信息维护'!$T$30)+IF('0信息维护'!$I$117=0,0,G598/('0信息维护'!$I$117)*'0信息维护'!$E$40*'0信息维护'!$U$30)+IF('0信息维护'!$I$118=0,0,H598/('0信息维护'!$I$118)*'0信息维护'!$E$40*'0信息维护'!$V$30)+IF('0信息维护'!$I$119=0,0,I598/'0信息维护'!$I$119*'0信息维护'!$I$40)</f>
        <v>0</v>
      </c>
      <c r="K598" s="27"/>
    </row>
    <row r="599" spans="1:11">
      <c r="A599" s="21"/>
      <c r="B599" s="21"/>
      <c r="C599" s="21"/>
      <c r="D599" s="18" t="str">
        <f>'0信息维护'!A$31</f>
        <v>课程目标7</v>
      </c>
      <c r="E599" s="19">
        <f ca="1">OFFSET('1课程考核方式及成绩组成'!$F$10,(ROW(E599)-5)/7,MOD((ROW(E599)-5),7))</f>
        <v>0</v>
      </c>
      <c r="F599" s="19">
        <f ca="1">OFFSET('1课程考核方式及成绩组成'!$N$10,(ROW(F599)-5)/7,MOD((ROW(F599)-5),7))</f>
        <v>0</v>
      </c>
      <c r="G599" s="19">
        <f ca="1">OFFSET('1课程考核方式及成绩组成'!$V$10,(ROW(G599)-5)/7,MOD((ROW(G599)-5),7))</f>
        <v>0</v>
      </c>
      <c r="H599" s="19">
        <f ca="1">OFFSET('1课程考核方式及成绩组成'!$AD$10,(ROW(H599)-5)/7,MOD((ROW(H599)-5),7))</f>
        <v>0</v>
      </c>
      <c r="I599" s="19">
        <f ca="1">OFFSET('1课程考核方式及成绩组成'!$AL$10,(ROW(I599)-5)/7,MOD((ROW(I599)-5),7))</f>
        <v>0</v>
      </c>
      <c r="J599" s="25">
        <f ca="1">IF('0信息维护'!$I$121=0,0,E599/('0信息维护'!$I$121)*'0信息维护'!$E$41*'0信息维护'!$S$31)+IF('0信息维护'!$I$122=0,0,F599/('0信息维护'!$I$122)*'0信息维护'!$E$41*'0信息维护'!$T$31)+IF('0信息维护'!$I$123=0,0,G599/('0信息维护'!$I$123)*'0信息维护'!$E$41*'0信息维护'!$U$31)+IF('0信息维护'!$I$124=0,0,H599/('0信息维护'!$I$124)*'0信息维护'!$E$41*'0信息维护'!$T$31)+IF('0信息维护'!$I$125=0,0,I599/'0信息维护'!$I$125*'0信息维护'!$I$41)</f>
        <v>0</v>
      </c>
      <c r="K599" s="30"/>
    </row>
    <row r="600" spans="1:11">
      <c r="A600" s="17">
        <v>86</v>
      </c>
      <c r="B600" s="17" t="str">
        <f ca="1">OFFSET('1课程考核方式及成绩组成'!$D$10,(ROW(B600)-5)/7,)</f>
        <v>220106109</v>
      </c>
      <c r="C600" s="17" t="str">
        <f ca="1">OFFSET('1课程考核方式及成绩组成'!$E$10,(ROW(C600)-5)/7,)</f>
        <v>余乐</v>
      </c>
      <c r="D600" s="18" t="str">
        <f>'0信息维护'!A$25</f>
        <v>课程目标1</v>
      </c>
      <c r="E600" s="19">
        <f ca="1">OFFSET('1课程考核方式及成绩组成'!$F$10,(ROW(E600)-5)/7,MOD((ROW(E600)-5),7))</f>
        <v>33</v>
      </c>
      <c r="F600" s="19">
        <f ca="1">OFFSET('1课程考核方式及成绩组成'!$N$10,(ROW(F600)-5)/7,MOD((ROW(F600)-5),7))</f>
        <v>0</v>
      </c>
      <c r="G600" s="19">
        <f ca="1">OFFSET('1课程考核方式及成绩组成'!$V$10,(ROW(G600)-5)/7,MOD((ROW(G600)-5),7))</f>
        <v>0</v>
      </c>
      <c r="H600" s="19">
        <f ca="1">OFFSET('1课程考核方式及成绩组成'!$AD$10,(ROW(H600)-5)/7,MOD((ROW(H600)-5),7))</f>
        <v>0</v>
      </c>
      <c r="I600" s="19">
        <f ca="1">OFFSET('1课程考核方式及成绩组成'!$AL$10,(ROW(I600)-5)/7,MOD((ROW(I600)-5),7))</f>
        <v>32</v>
      </c>
      <c r="J600" s="25">
        <f ca="1">IF('0信息维护'!$I$85=0,0,E600/('0信息维护'!$I$85)*'0信息维护'!$E$35*'0信息维护'!$S$25)+IF('0信息维护'!$I$86=0,0,F600/('0信息维护'!$I$86)*'0信息维护'!$E$35*'0信息维护'!$T$25)+IF('0信息维护'!$I$87=0,0,G600/('0信息维护'!$I$87)*'0信息维护'!$E$35*'0信息维护'!$U$25)+IF('0信息维护'!$I$88=0,0,H600/('0信息维护'!$I$88)*'0信息维护'!$E$35*'0信息维护'!$V$25)+IF('0信息维护'!$I$89=0,0,I600/'0信息维护'!$I$89*'0信息维护'!$I$35)</f>
        <v>0.856944444444444</v>
      </c>
      <c r="K600" s="26">
        <f ca="1">J600*'0信息维护'!$D$132+J601*'0信息维护'!$D$133+J602*'0信息维护'!$D$134+J603*'0信息维护'!$D$135+J604*'0信息维护'!$D$136+J605*'0信息维护'!$D$137+J606*'0信息维护'!$D$138</f>
        <v>0.658335784313726</v>
      </c>
    </row>
    <row r="601" spans="1:14">
      <c r="A601" s="20"/>
      <c r="B601" s="20"/>
      <c r="C601" s="20"/>
      <c r="D601" s="18" t="str">
        <f>'0信息维护'!A$26</f>
        <v>课程目标2</v>
      </c>
      <c r="E601" s="19">
        <f ca="1">OFFSET('1课程考核方式及成绩组成'!$F$10,(ROW(E601)-5)/7,MOD((ROW(E601)-5),7))</f>
        <v>51</v>
      </c>
      <c r="F601" s="19">
        <f ca="1">OFFSET('1课程考核方式及成绩组成'!$N$10,(ROW(F601)-5)/7,MOD((ROW(F601)-5),7))</f>
        <v>0</v>
      </c>
      <c r="G601" s="19">
        <f ca="1">OFFSET('1课程考核方式及成绩组成'!$V$10,(ROW(G601)-5)/7,MOD((ROW(G601)-5),7))</f>
        <v>0</v>
      </c>
      <c r="H601" s="19">
        <f ca="1">OFFSET('1课程考核方式及成绩组成'!$AD$10,(ROW(H601)-5)/7,MOD((ROW(H601)-5),7))</f>
        <v>0</v>
      </c>
      <c r="I601" s="19">
        <f ca="1">OFFSET('1课程考核方式及成绩组成'!$AL$10,(ROW(I601)-5)/7,MOD((ROW(I601)-5),7))</f>
        <v>14</v>
      </c>
      <c r="J601" s="25">
        <f ca="1">IF('0信息维护'!$I$91=0,0,E601/('0信息维护'!$I$91)*'0信息维护'!$S$26*'0信息维护'!$E$36)+IF('0信息维护'!$I$92=0,0,F601/('0信息维护'!$I$92)*'0信息维护'!$T$26*'0信息维护'!$E$36)+IF('0信息维护'!$I$93=0,0,G601/('0信息维护'!$I$93)*'0信息维护'!$U$26*'0信息维护'!$E$36)+IF('0信息维护'!$I$94=0,0,H601/('0信息维护'!$I$94)*'0信息维护'!$V$26*'0信息维护'!$E$36)+IF('0信息维护'!$I$95=0,0,I601/'0信息维护'!$I$95*'0信息维护'!$I$36)</f>
        <v>0.658333333333333</v>
      </c>
      <c r="K601" s="27"/>
      <c r="N601" s="29"/>
    </row>
    <row r="602" spans="1:11">
      <c r="A602" s="20"/>
      <c r="B602" s="20"/>
      <c r="C602" s="20"/>
      <c r="D602" s="18" t="str">
        <f>'0信息维护'!A$27</f>
        <v>课程目标3</v>
      </c>
      <c r="E602" s="19">
        <f ca="1">OFFSET('1课程考核方式及成绩组成'!$F$10,(ROW(E602)-5)/7,MOD((ROW(E602)-5),7))</f>
        <v>0</v>
      </c>
      <c r="F602" s="19">
        <f ca="1">OFFSET('1课程考核方式及成绩组成'!$N$10,(ROW(F602)-5)/7,MOD((ROW(F602)-5),7))</f>
        <v>0</v>
      </c>
      <c r="G602" s="19">
        <f ca="1">OFFSET('1课程考核方式及成绩组成'!$V$10,(ROW(G602)-5)/7,MOD((ROW(G602)-5),7))</f>
        <v>0</v>
      </c>
      <c r="H602" s="19">
        <f ca="1">OFFSET('1课程考核方式及成绩组成'!$AD$10,(ROW(H602)-5)/7,MOD((ROW(H602)-5),7))</f>
        <v>0</v>
      </c>
      <c r="I602" s="19">
        <f ca="1">OFFSET('1课程考核方式及成绩组成'!$AL$10,(ROW(I602)-5)/7,MOD((ROW(I602)-5),7))</f>
        <v>15</v>
      </c>
      <c r="J602" s="25">
        <f ca="1">IF('0信息维护'!$I$97=0,0,E602/('0信息维护'!$I$97)*'0信息维护'!$E$37*'0信息维护'!$S$27)+IF('0信息维护'!$I$98=0,0,F602/('0信息维护'!$I$98)*'0信息维护'!$E$37*'0信息维护'!$T$27)+IF('0信息维护'!$I$99=0,0,G602/('0信息维护'!$I$99)*'0信息维护'!$E$37*'0信息维护'!$U$27)+IF('0信息维护'!$I$100=0,0,H602/('0信息维护'!$I$100)*'0信息维护'!$E$37*'0信息维护'!$V$27)+IF('0信息维护'!$I$101=0,0,I602/'0信息维护'!$I$101*'0信息维护'!$I$37)</f>
        <v>0.441176470588235</v>
      </c>
      <c r="K602" s="27"/>
    </row>
    <row r="603" spans="1:11">
      <c r="A603" s="20"/>
      <c r="B603" s="20"/>
      <c r="C603" s="20"/>
      <c r="D603" s="18" t="str">
        <f>'0信息维护'!A$28</f>
        <v>课程目标4</v>
      </c>
      <c r="E603" s="19">
        <f ca="1">OFFSET('1课程考核方式及成绩组成'!$F$10,(ROW(E603)-5)/7,MOD((ROW(E603)-5),7))</f>
        <v>0</v>
      </c>
      <c r="F603" s="19">
        <f ca="1">OFFSET('1课程考核方式及成绩组成'!$N$10,(ROW(F603)-5)/7,MOD((ROW(F603)-5),7))</f>
        <v>74</v>
      </c>
      <c r="G603" s="19">
        <f ca="1">OFFSET('1课程考核方式及成绩组成'!$V$10,(ROW(G603)-5)/7,MOD((ROW(G603)-5),7))</f>
        <v>0</v>
      </c>
      <c r="H603" s="19">
        <f ca="1">OFFSET('1课程考核方式及成绩组成'!$AD$10,(ROW(H603)-5)/7,MOD((ROW(H603)-5),7))</f>
        <v>0</v>
      </c>
      <c r="I603" s="19">
        <f ca="1">OFFSET('1课程考核方式及成绩组成'!$AL$10,(ROW(I603)-5)/7,MOD((ROW(I603)-5),7))</f>
        <v>0</v>
      </c>
      <c r="J603" s="25">
        <f ca="1">IF('0信息维护'!$I$103=0,0,E603/('0信息维护'!$I$103)*'0信息维护'!$E$38*'0信息维护'!$S$28)+IF('0信息维护'!$I$104=0,0,F603/('0信息维护'!$I$104)*'0信息维护'!$E$38*'0信息维护'!$T$28)+IF('0信息维护'!$I$105=0,0,G603/('0信息维护'!$I$105)*'0信息维护'!$E$38*'0信息维护'!$U$28)+IF('0信息维护'!$I$106=0,0,H603/('0信息维护'!$I$106)*'0信息维护'!$E$38*'0信息维护'!$V$28)+IF('0信息维护'!$I$107=0,0,I603/'0信息维护'!$I$107*'0信息维护'!$I$38)</f>
        <v>0.74</v>
      </c>
      <c r="K603" s="27"/>
    </row>
    <row r="604" spans="1:11">
      <c r="A604" s="20"/>
      <c r="B604" s="20"/>
      <c r="C604" s="20"/>
      <c r="D604" s="18" t="str">
        <f>'0信息维护'!A$29</f>
        <v>课程目标5</v>
      </c>
      <c r="E604" s="19">
        <f ca="1">OFFSET('1课程考核方式及成绩组成'!$F$10,(ROW(E604)-5)/7,MOD((ROW(E604)-5),7))</f>
        <v>0</v>
      </c>
      <c r="F604" s="19">
        <f ca="1">OFFSET('1课程考核方式及成绩组成'!$N$10,(ROW(F604)-5)/7,MOD((ROW(F604)-5),7))</f>
        <v>0</v>
      </c>
      <c r="G604" s="19">
        <f ca="1">OFFSET('1课程考核方式及成绩组成'!$V$10,(ROW(G604)-5)/7,MOD((ROW(G604)-5),7))</f>
        <v>0</v>
      </c>
      <c r="H604" s="19">
        <f ca="1">OFFSET('1课程考核方式及成绩组成'!$AD$10,(ROW(H604)-5)/7,MOD((ROW(H604)-5),7))</f>
        <v>0</v>
      </c>
      <c r="I604" s="19">
        <f ca="1">OFFSET('1课程考核方式及成绩组成'!$AL$10,(ROW(I604)-5)/7,MOD((ROW(I604)-5),7))</f>
        <v>0</v>
      </c>
      <c r="J604" s="25">
        <f ca="1">IF('0信息维护'!$I$109=0,0,E604/('0信息维护'!$I$109)*'0信息维护'!$E$39*'0信息维护'!$S$29)+IF('0信息维护'!$I$110=0,0,F604/('0信息维护'!$I$110)*'0信息维护'!$E$39*'0信息维护'!$T$29)+IF('0信息维护'!$I$111=0,0,G604/('0信息维护'!$I$111)*'0信息维护'!$E$39*'0信息维护'!$U$29)+IF('0信息维护'!$I$112=0,0,H604/('0信息维护'!$I$112)*'0信息维护'!$E$39*'0信息维护'!$V$29)+IF('0信息维护'!$I$113=0,0,I604/'0信息维护'!$I$113*'0信息维护'!$I$39)</f>
        <v>0</v>
      </c>
      <c r="K604" s="27"/>
    </row>
    <row r="605" spans="1:11">
      <c r="A605" s="20"/>
      <c r="B605" s="20"/>
      <c r="C605" s="20"/>
      <c r="D605" s="18" t="str">
        <f>'0信息维护'!A$30</f>
        <v>课程目标6</v>
      </c>
      <c r="E605" s="19">
        <f ca="1">OFFSET('1课程考核方式及成绩组成'!$F$10,(ROW(E605)-5)/7,MOD((ROW(E605)-5),7))</f>
        <v>0</v>
      </c>
      <c r="F605" s="19">
        <f ca="1">OFFSET('1课程考核方式及成绩组成'!$N$10,(ROW(F605)-5)/7,MOD((ROW(F605)-5),7))</f>
        <v>0</v>
      </c>
      <c r="G605" s="19">
        <f ca="1">OFFSET('1课程考核方式及成绩组成'!$V$10,(ROW(G605)-5)/7,MOD((ROW(G605)-5),7))</f>
        <v>0</v>
      </c>
      <c r="H605" s="19">
        <f ca="1">OFFSET('1课程考核方式及成绩组成'!$AD$10,(ROW(H605)-5)/7,MOD((ROW(H605)-5),7))</f>
        <v>0</v>
      </c>
      <c r="I605" s="19">
        <f ca="1">OFFSET('1课程考核方式及成绩组成'!$AL$10,(ROW(I605)-5)/7,MOD((ROW(I605)-5),7))</f>
        <v>0</v>
      </c>
      <c r="J605" s="25">
        <f ca="1">IF('0信息维护'!$I$115=0,0,E605/('0信息维护'!$I$115)*'0信息维护'!$E$40*'0信息维护'!$S$30)+IF('0信息维护'!$I$116=0,0,F605/('0信息维护'!$I$116)*'0信息维护'!$E$40*'0信息维护'!$T$30)+IF('0信息维护'!$I$117=0,0,G605/('0信息维护'!$I$117)*'0信息维护'!$E$40*'0信息维护'!$U$30)+IF('0信息维护'!$I$118=0,0,H605/('0信息维护'!$I$118)*'0信息维护'!$E$40*'0信息维护'!$V$30)+IF('0信息维护'!$I$119=0,0,I605/'0信息维护'!$I$119*'0信息维护'!$I$40)</f>
        <v>0</v>
      </c>
      <c r="K605" s="27"/>
    </row>
    <row r="606" spans="1:11">
      <c r="A606" s="21"/>
      <c r="B606" s="21"/>
      <c r="C606" s="21"/>
      <c r="D606" s="18" t="str">
        <f>'0信息维护'!A$31</f>
        <v>课程目标7</v>
      </c>
      <c r="E606" s="19">
        <f ca="1">OFFSET('1课程考核方式及成绩组成'!$F$10,(ROW(E606)-5)/7,MOD((ROW(E606)-5),7))</f>
        <v>0</v>
      </c>
      <c r="F606" s="19">
        <f ca="1">OFFSET('1课程考核方式及成绩组成'!$N$10,(ROW(F606)-5)/7,MOD((ROW(F606)-5),7))</f>
        <v>0</v>
      </c>
      <c r="G606" s="19">
        <f ca="1">OFFSET('1课程考核方式及成绩组成'!$V$10,(ROW(G606)-5)/7,MOD((ROW(G606)-5),7))</f>
        <v>0</v>
      </c>
      <c r="H606" s="19">
        <f ca="1">OFFSET('1课程考核方式及成绩组成'!$AD$10,(ROW(H606)-5)/7,MOD((ROW(H606)-5),7))</f>
        <v>0</v>
      </c>
      <c r="I606" s="19">
        <f ca="1">OFFSET('1课程考核方式及成绩组成'!$AL$10,(ROW(I606)-5)/7,MOD((ROW(I606)-5),7))</f>
        <v>0</v>
      </c>
      <c r="J606" s="25">
        <f ca="1">IF('0信息维护'!$I$121=0,0,E606/('0信息维护'!$I$121)*'0信息维护'!$E$41*'0信息维护'!$S$31)+IF('0信息维护'!$I$122=0,0,F606/('0信息维护'!$I$122)*'0信息维护'!$E$41*'0信息维护'!$T$31)+IF('0信息维护'!$I$123=0,0,G606/('0信息维护'!$I$123)*'0信息维护'!$E$41*'0信息维护'!$U$31)+IF('0信息维护'!$I$124=0,0,H606/('0信息维护'!$I$124)*'0信息维护'!$E$41*'0信息维护'!$T$31)+IF('0信息维护'!$I$125=0,0,I606/'0信息维护'!$I$125*'0信息维护'!$I$41)</f>
        <v>0</v>
      </c>
      <c r="K606" s="30"/>
    </row>
    <row r="607" spans="1:11">
      <c r="A607" s="17">
        <v>87</v>
      </c>
      <c r="B607" s="17" t="str">
        <f ca="1">OFFSET('1课程考核方式及成绩组成'!$D$10,(ROW(B607)-5)/7,)</f>
        <v>220106110</v>
      </c>
      <c r="C607" s="17" t="str">
        <f ca="1">OFFSET('1课程考核方式及成绩组成'!$E$10,(ROW(C607)-5)/7,)</f>
        <v>任金凤</v>
      </c>
      <c r="D607" s="18" t="str">
        <f>'0信息维护'!A$25</f>
        <v>课程目标1</v>
      </c>
      <c r="E607" s="19">
        <f ca="1">OFFSET('1课程考核方式及成绩组成'!$F$10,(ROW(E607)-5)/7,MOD((ROW(E607)-5),7))</f>
        <v>32</v>
      </c>
      <c r="F607" s="19">
        <f ca="1">OFFSET('1课程考核方式及成绩组成'!$N$10,(ROW(F607)-5)/7,MOD((ROW(F607)-5),7))</f>
        <v>0</v>
      </c>
      <c r="G607" s="19">
        <f ca="1">OFFSET('1课程考核方式及成绩组成'!$V$10,(ROW(G607)-5)/7,MOD((ROW(G607)-5),7))</f>
        <v>0</v>
      </c>
      <c r="H607" s="19">
        <f ca="1">OFFSET('1课程考核方式及成绩组成'!$AD$10,(ROW(H607)-5)/7,MOD((ROW(H607)-5),7))</f>
        <v>0</v>
      </c>
      <c r="I607" s="19">
        <f ca="1">OFFSET('1课程考核方式及成绩组成'!$AL$10,(ROW(I607)-5)/7,MOD((ROW(I607)-5),7))</f>
        <v>18</v>
      </c>
      <c r="J607" s="25">
        <f ca="1">IF('0信息维护'!$I$85=0,0,E607/('0信息维护'!$I$85)*'0信息维护'!$E$35*'0信息维护'!$S$25)+IF('0信息维护'!$I$86=0,0,F607/('0信息维护'!$I$86)*'0信息维护'!$E$35*'0信息维护'!$T$25)+IF('0信息维护'!$I$87=0,0,G607/('0信息维护'!$I$87)*'0信息维护'!$E$35*'0信息维护'!$U$25)+IF('0信息维护'!$I$88=0,0,H607/('0信息维护'!$I$88)*'0信息维护'!$E$35*'0信息维护'!$V$25)+IF('0信息维护'!$I$89=0,0,I607/'0信息维护'!$I$89*'0信息维护'!$I$35)</f>
        <v>0.65</v>
      </c>
      <c r="K607" s="26">
        <f ca="1">J607*'0信息维护'!$D$132+J608*'0信息维护'!$D$133+J609*'0信息维护'!$D$134+J610*'0信息维护'!$D$135+J611*'0信息维护'!$D$136+J612*'0信息维护'!$D$137+J613*'0信息维护'!$D$138</f>
        <v>0.664441176470588</v>
      </c>
    </row>
    <row r="608" spans="1:14">
      <c r="A608" s="20"/>
      <c r="B608" s="20"/>
      <c r="C608" s="20"/>
      <c r="D608" s="18" t="str">
        <f>'0信息维护'!A$26</f>
        <v>课程目标2</v>
      </c>
      <c r="E608" s="19">
        <f ca="1">OFFSET('1课程考核方式及成绩组成'!$F$10,(ROW(E608)-5)/7,MOD((ROW(E608)-5),7))</f>
        <v>48</v>
      </c>
      <c r="F608" s="19">
        <f ca="1">OFFSET('1课程考核方式及成绩组成'!$N$10,(ROW(F608)-5)/7,MOD((ROW(F608)-5),7))</f>
        <v>0</v>
      </c>
      <c r="G608" s="19">
        <f ca="1">OFFSET('1课程考核方式及成绩组成'!$V$10,(ROW(G608)-5)/7,MOD((ROW(G608)-5),7))</f>
        <v>0</v>
      </c>
      <c r="H608" s="19">
        <f ca="1">OFFSET('1课程考核方式及成绩组成'!$AD$10,(ROW(H608)-5)/7,MOD((ROW(H608)-5),7))</f>
        <v>0</v>
      </c>
      <c r="I608" s="19">
        <f ca="1">OFFSET('1课程考核方式及成绩组成'!$AL$10,(ROW(I608)-5)/7,MOD((ROW(I608)-5),7))</f>
        <v>19</v>
      </c>
      <c r="J608" s="25">
        <f ca="1">IF('0信息维护'!$I$91=0,0,E608/('0信息维护'!$I$91)*'0信息维护'!$S$26*'0信息维护'!$E$36)+IF('0信息维护'!$I$92=0,0,F608/('0信息维护'!$I$92)*'0信息维护'!$T$26*'0信息维护'!$E$36)+IF('0信息维护'!$I$93=0,0,G608/('0信息维护'!$I$93)*'0信息维护'!$U$26*'0信息维护'!$E$36)+IF('0信息维护'!$I$94=0,0,H608/('0信息维护'!$I$94)*'0信息维护'!$V$26*'0信息维护'!$E$36)+IF('0信息维护'!$I$95=0,0,I608/'0信息维护'!$I$95*'0信息维护'!$I$36)</f>
        <v>0.716666666666667</v>
      </c>
      <c r="K608" s="27"/>
      <c r="N608" s="29"/>
    </row>
    <row r="609" spans="1:11">
      <c r="A609" s="20"/>
      <c r="B609" s="20"/>
      <c r="C609" s="20"/>
      <c r="D609" s="18" t="str">
        <f>'0信息维护'!A$27</f>
        <v>课程目标3</v>
      </c>
      <c r="E609" s="19">
        <f ca="1">OFFSET('1课程考核方式及成绩组成'!$F$10,(ROW(E609)-5)/7,MOD((ROW(E609)-5),7))</f>
        <v>0</v>
      </c>
      <c r="F609" s="19">
        <f ca="1">OFFSET('1课程考核方式及成绩组成'!$N$10,(ROW(F609)-5)/7,MOD((ROW(F609)-5),7))</f>
        <v>0</v>
      </c>
      <c r="G609" s="19">
        <f ca="1">OFFSET('1课程考核方式及成绩组成'!$V$10,(ROW(G609)-5)/7,MOD((ROW(G609)-5),7))</f>
        <v>0</v>
      </c>
      <c r="H609" s="19">
        <f ca="1">OFFSET('1课程考核方式及成绩组成'!$AD$10,(ROW(H609)-5)/7,MOD((ROW(H609)-5),7))</f>
        <v>0</v>
      </c>
      <c r="I609" s="19">
        <f ca="1">OFFSET('1课程考核方式及成绩组成'!$AL$10,(ROW(I609)-5)/7,MOD((ROW(I609)-5),7))</f>
        <v>14</v>
      </c>
      <c r="J609" s="25">
        <f ca="1">IF('0信息维护'!$I$97=0,0,E609/('0信息维护'!$I$97)*'0信息维护'!$E$37*'0信息维护'!$S$27)+IF('0信息维护'!$I$98=0,0,F609/('0信息维护'!$I$98)*'0信息维护'!$E$37*'0信息维护'!$T$27)+IF('0信息维护'!$I$99=0,0,G609/('0信息维护'!$I$99)*'0信息维护'!$E$37*'0信息维护'!$U$27)+IF('0信息维护'!$I$100=0,0,H609/('0信息维护'!$I$100)*'0信息维护'!$E$37*'0信息维护'!$V$27)+IF('0信息维护'!$I$101=0,0,I609/'0信息维护'!$I$101*'0信息维护'!$I$37)</f>
        <v>0.411764705882353</v>
      </c>
      <c r="K609" s="27"/>
    </row>
    <row r="610" spans="1:11">
      <c r="A610" s="20"/>
      <c r="B610" s="20"/>
      <c r="C610" s="20"/>
      <c r="D610" s="18" t="str">
        <f>'0信息维护'!A$28</f>
        <v>课程目标4</v>
      </c>
      <c r="E610" s="19">
        <f ca="1">OFFSET('1课程考核方式及成绩组成'!$F$10,(ROW(E610)-5)/7,MOD((ROW(E610)-5),7))</f>
        <v>0</v>
      </c>
      <c r="F610" s="19">
        <f ca="1">OFFSET('1课程考核方式及成绩组成'!$N$10,(ROW(F610)-5)/7,MOD((ROW(F610)-5),7))</f>
        <v>83</v>
      </c>
      <c r="G610" s="19">
        <f ca="1">OFFSET('1课程考核方式及成绩组成'!$V$10,(ROW(G610)-5)/7,MOD((ROW(G610)-5),7))</f>
        <v>0</v>
      </c>
      <c r="H610" s="19">
        <f ca="1">OFFSET('1课程考核方式及成绩组成'!$AD$10,(ROW(H610)-5)/7,MOD((ROW(H610)-5),7))</f>
        <v>0</v>
      </c>
      <c r="I610" s="19">
        <f ca="1">OFFSET('1课程考核方式及成绩组成'!$AL$10,(ROW(I610)-5)/7,MOD((ROW(I610)-5),7))</f>
        <v>0</v>
      </c>
      <c r="J610" s="25">
        <f ca="1">IF('0信息维护'!$I$103=0,0,E610/('0信息维护'!$I$103)*'0信息维护'!$E$38*'0信息维护'!$S$28)+IF('0信息维护'!$I$104=0,0,F610/('0信息维护'!$I$104)*'0信息维护'!$E$38*'0信息维护'!$T$28)+IF('0信息维护'!$I$105=0,0,G610/('0信息维护'!$I$105)*'0信息维护'!$E$38*'0信息维护'!$U$28)+IF('0信息维护'!$I$106=0,0,H610/('0信息维护'!$I$106)*'0信息维护'!$E$38*'0信息维护'!$V$28)+IF('0信息维护'!$I$107=0,0,I610/'0信息维护'!$I$107*'0信息维护'!$I$38)</f>
        <v>0.83</v>
      </c>
      <c r="K610" s="27"/>
    </row>
    <row r="611" spans="1:11">
      <c r="A611" s="20"/>
      <c r="B611" s="20"/>
      <c r="C611" s="20"/>
      <c r="D611" s="18" t="str">
        <f>'0信息维护'!A$29</f>
        <v>课程目标5</v>
      </c>
      <c r="E611" s="19">
        <f ca="1">OFFSET('1课程考核方式及成绩组成'!$F$10,(ROW(E611)-5)/7,MOD((ROW(E611)-5),7))</f>
        <v>0</v>
      </c>
      <c r="F611" s="19">
        <f ca="1">OFFSET('1课程考核方式及成绩组成'!$N$10,(ROW(F611)-5)/7,MOD((ROW(F611)-5),7))</f>
        <v>0</v>
      </c>
      <c r="G611" s="19">
        <f ca="1">OFFSET('1课程考核方式及成绩组成'!$V$10,(ROW(G611)-5)/7,MOD((ROW(G611)-5),7))</f>
        <v>0</v>
      </c>
      <c r="H611" s="19">
        <f ca="1">OFFSET('1课程考核方式及成绩组成'!$AD$10,(ROW(H611)-5)/7,MOD((ROW(H611)-5),7))</f>
        <v>0</v>
      </c>
      <c r="I611" s="19">
        <f ca="1">OFFSET('1课程考核方式及成绩组成'!$AL$10,(ROW(I611)-5)/7,MOD((ROW(I611)-5),7))</f>
        <v>0</v>
      </c>
      <c r="J611" s="25">
        <f ca="1">IF('0信息维护'!$I$109=0,0,E611/('0信息维护'!$I$109)*'0信息维护'!$E$39*'0信息维护'!$S$29)+IF('0信息维护'!$I$110=0,0,F611/('0信息维护'!$I$110)*'0信息维护'!$E$39*'0信息维护'!$T$29)+IF('0信息维护'!$I$111=0,0,G611/('0信息维护'!$I$111)*'0信息维护'!$E$39*'0信息维护'!$U$29)+IF('0信息维护'!$I$112=0,0,H611/('0信息维护'!$I$112)*'0信息维护'!$E$39*'0信息维护'!$V$29)+IF('0信息维护'!$I$113=0,0,I611/'0信息维护'!$I$113*'0信息维护'!$I$39)</f>
        <v>0</v>
      </c>
      <c r="K611" s="27"/>
    </row>
    <row r="612" spans="1:11">
      <c r="A612" s="20"/>
      <c r="B612" s="20"/>
      <c r="C612" s="20"/>
      <c r="D612" s="18" t="str">
        <f>'0信息维护'!A$30</f>
        <v>课程目标6</v>
      </c>
      <c r="E612" s="19">
        <f ca="1">OFFSET('1课程考核方式及成绩组成'!$F$10,(ROW(E612)-5)/7,MOD((ROW(E612)-5),7))</f>
        <v>0</v>
      </c>
      <c r="F612" s="19">
        <f ca="1">OFFSET('1课程考核方式及成绩组成'!$N$10,(ROW(F612)-5)/7,MOD((ROW(F612)-5),7))</f>
        <v>0</v>
      </c>
      <c r="G612" s="19">
        <f ca="1">OFFSET('1课程考核方式及成绩组成'!$V$10,(ROW(G612)-5)/7,MOD((ROW(G612)-5),7))</f>
        <v>0</v>
      </c>
      <c r="H612" s="19">
        <f ca="1">OFFSET('1课程考核方式及成绩组成'!$AD$10,(ROW(H612)-5)/7,MOD((ROW(H612)-5),7))</f>
        <v>0</v>
      </c>
      <c r="I612" s="19">
        <f ca="1">OFFSET('1课程考核方式及成绩组成'!$AL$10,(ROW(I612)-5)/7,MOD((ROW(I612)-5),7))</f>
        <v>0</v>
      </c>
      <c r="J612" s="25">
        <f ca="1">IF('0信息维护'!$I$115=0,0,E612/('0信息维护'!$I$115)*'0信息维护'!$E$40*'0信息维护'!$S$30)+IF('0信息维护'!$I$116=0,0,F612/('0信息维护'!$I$116)*'0信息维护'!$E$40*'0信息维护'!$T$30)+IF('0信息维护'!$I$117=0,0,G612/('0信息维护'!$I$117)*'0信息维护'!$E$40*'0信息维护'!$U$30)+IF('0信息维护'!$I$118=0,0,H612/('0信息维护'!$I$118)*'0信息维护'!$E$40*'0信息维护'!$V$30)+IF('0信息维护'!$I$119=0,0,I612/'0信息维护'!$I$119*'0信息维护'!$I$40)</f>
        <v>0</v>
      </c>
      <c r="K612" s="27"/>
    </row>
    <row r="613" spans="1:11">
      <c r="A613" s="21"/>
      <c r="B613" s="21"/>
      <c r="C613" s="21"/>
      <c r="D613" s="18" t="str">
        <f>'0信息维护'!A$31</f>
        <v>课程目标7</v>
      </c>
      <c r="E613" s="19">
        <f ca="1">OFFSET('1课程考核方式及成绩组成'!$F$10,(ROW(E613)-5)/7,MOD((ROW(E613)-5),7))</f>
        <v>0</v>
      </c>
      <c r="F613" s="19">
        <f ca="1">OFFSET('1课程考核方式及成绩组成'!$N$10,(ROW(F613)-5)/7,MOD((ROW(F613)-5),7))</f>
        <v>0</v>
      </c>
      <c r="G613" s="19">
        <f ca="1">OFFSET('1课程考核方式及成绩组成'!$V$10,(ROW(G613)-5)/7,MOD((ROW(G613)-5),7))</f>
        <v>0</v>
      </c>
      <c r="H613" s="19">
        <f ca="1">OFFSET('1课程考核方式及成绩组成'!$AD$10,(ROW(H613)-5)/7,MOD((ROW(H613)-5),7))</f>
        <v>0</v>
      </c>
      <c r="I613" s="19">
        <f ca="1">OFFSET('1课程考核方式及成绩组成'!$AL$10,(ROW(I613)-5)/7,MOD((ROW(I613)-5),7))</f>
        <v>0</v>
      </c>
      <c r="J613" s="25">
        <f ca="1">IF('0信息维护'!$I$121=0,0,E613/('0信息维护'!$I$121)*'0信息维护'!$E$41*'0信息维护'!$S$31)+IF('0信息维护'!$I$122=0,0,F613/('0信息维护'!$I$122)*'0信息维护'!$E$41*'0信息维护'!$T$31)+IF('0信息维护'!$I$123=0,0,G613/('0信息维护'!$I$123)*'0信息维护'!$E$41*'0信息维护'!$U$31)+IF('0信息维护'!$I$124=0,0,H613/('0信息维护'!$I$124)*'0信息维护'!$E$41*'0信息维护'!$T$31)+IF('0信息维护'!$I$125=0,0,I613/'0信息维护'!$I$125*'0信息维护'!$I$41)</f>
        <v>0</v>
      </c>
      <c r="K613" s="30"/>
    </row>
    <row r="614" spans="1:11">
      <c r="A614" s="17">
        <v>88</v>
      </c>
      <c r="B614" s="17" t="str">
        <f ca="1">OFFSET('1课程考核方式及成绩组成'!$D$10,(ROW(B614)-5)/7,)</f>
        <v>220106111</v>
      </c>
      <c r="C614" s="17" t="str">
        <f ca="1">OFFSET('1课程考核方式及成绩组成'!$E$10,(ROW(C614)-5)/7,)</f>
        <v>陈俊明</v>
      </c>
      <c r="D614" s="18" t="str">
        <f>'0信息维护'!A$25</f>
        <v>课程目标1</v>
      </c>
      <c r="E614" s="19">
        <f ca="1">OFFSET('1课程考核方式及成绩组成'!$F$10,(ROW(E614)-5)/7,MOD((ROW(E614)-5),7))</f>
        <v>34</v>
      </c>
      <c r="F614" s="19">
        <f ca="1">OFFSET('1课程考核方式及成绩组成'!$N$10,(ROW(F614)-5)/7,MOD((ROW(F614)-5),7))</f>
        <v>0</v>
      </c>
      <c r="G614" s="19">
        <f ca="1">OFFSET('1课程考核方式及成绩组成'!$V$10,(ROW(G614)-5)/7,MOD((ROW(G614)-5),7))</f>
        <v>0</v>
      </c>
      <c r="H614" s="19">
        <f ca="1">OFFSET('1课程考核方式及成绩组成'!$AD$10,(ROW(H614)-5)/7,MOD((ROW(H614)-5),7))</f>
        <v>0</v>
      </c>
      <c r="I614" s="19">
        <f ca="1">OFFSET('1课程考核方式及成绩组成'!$AL$10,(ROW(I614)-5)/7,MOD((ROW(I614)-5),7))</f>
        <v>25</v>
      </c>
      <c r="J614" s="25">
        <f ca="1">IF('0信息维护'!$I$85=0,0,E614/('0信息维护'!$I$85)*'0信息维护'!$E$35*'0信息维护'!$S$25)+IF('0信息维护'!$I$86=0,0,F614/('0信息维护'!$I$86)*'0信息维护'!$E$35*'0信息维护'!$T$25)+IF('0信息维护'!$I$87=0,0,G614/('0信息维护'!$I$87)*'0信息维护'!$E$35*'0信息维护'!$U$25)+IF('0信息维护'!$I$88=0,0,H614/('0信息维护'!$I$88)*'0信息维护'!$E$35*'0信息维护'!$V$25)+IF('0信息维护'!$I$89=0,0,I614/'0信息维护'!$I$89*'0信息维护'!$I$35)</f>
        <v>0.772222222222222</v>
      </c>
      <c r="K614" s="26">
        <f ca="1">J614*'0信息维护'!$D$132+J615*'0信息维护'!$D$133+J616*'0信息维护'!$D$134+J617*'0信息维护'!$D$135+J618*'0信息维护'!$D$136+J619*'0信息维护'!$D$137+J620*'0信息维护'!$D$138</f>
        <v>0.778450980392157</v>
      </c>
    </row>
    <row r="615" spans="1:14">
      <c r="A615" s="20"/>
      <c r="B615" s="20"/>
      <c r="C615" s="20"/>
      <c r="D615" s="18" t="str">
        <f>'0信息维护'!A$26</f>
        <v>课程目标2</v>
      </c>
      <c r="E615" s="19">
        <f ca="1">OFFSET('1课程考核方式及成绩组成'!$F$10,(ROW(E615)-5)/7,MOD((ROW(E615)-5),7))</f>
        <v>51</v>
      </c>
      <c r="F615" s="19">
        <f ca="1">OFFSET('1课程考核方式及成绩组成'!$N$10,(ROW(F615)-5)/7,MOD((ROW(F615)-5),7))</f>
        <v>0</v>
      </c>
      <c r="G615" s="19">
        <f ca="1">OFFSET('1课程考核方式及成绩组成'!$V$10,(ROW(G615)-5)/7,MOD((ROW(G615)-5),7))</f>
        <v>0</v>
      </c>
      <c r="H615" s="19">
        <f ca="1">OFFSET('1课程考核方式及成绩组成'!$AD$10,(ROW(H615)-5)/7,MOD((ROW(H615)-5),7))</f>
        <v>0</v>
      </c>
      <c r="I615" s="19">
        <f ca="1">OFFSET('1课程考核方式及成绩组成'!$AL$10,(ROW(I615)-5)/7,MOD((ROW(I615)-5),7))</f>
        <v>24</v>
      </c>
      <c r="J615" s="25">
        <f ca="1">IF('0信息维护'!$I$91=0,0,E615/('0信息维护'!$I$91)*'0信息维护'!$S$26*'0信息维护'!$E$36)+IF('0信息维护'!$I$92=0,0,F615/('0信息维护'!$I$92)*'0信息维护'!$T$26*'0信息维护'!$E$36)+IF('0信息维护'!$I$93=0,0,G615/('0信息维护'!$I$93)*'0信息维护'!$U$26*'0信息维护'!$E$36)+IF('0信息维护'!$I$94=0,0,H615/('0信息维护'!$I$94)*'0信息维护'!$V$26*'0信息维护'!$E$36)+IF('0信息维护'!$I$95=0,0,I615/'0信息维护'!$I$95*'0信息维护'!$I$36)</f>
        <v>0.825</v>
      </c>
      <c r="K615" s="27"/>
      <c r="N615" s="29"/>
    </row>
    <row r="616" spans="1:11">
      <c r="A616" s="20"/>
      <c r="B616" s="20"/>
      <c r="C616" s="20"/>
      <c r="D616" s="18" t="str">
        <f>'0信息维护'!A$27</f>
        <v>课程目标3</v>
      </c>
      <c r="E616" s="19">
        <f ca="1">OFFSET('1课程考核方式及成绩组成'!$F$10,(ROW(E616)-5)/7,MOD((ROW(E616)-5),7))</f>
        <v>0</v>
      </c>
      <c r="F616" s="19">
        <f ca="1">OFFSET('1课程考核方式及成绩组成'!$N$10,(ROW(F616)-5)/7,MOD((ROW(F616)-5),7))</f>
        <v>0</v>
      </c>
      <c r="G616" s="19">
        <f ca="1">OFFSET('1课程考核方式及成绩组成'!$V$10,(ROW(G616)-5)/7,MOD((ROW(G616)-5),7))</f>
        <v>0</v>
      </c>
      <c r="H616" s="19">
        <f ca="1">OFFSET('1课程考核方式及成绩组成'!$AD$10,(ROW(H616)-5)/7,MOD((ROW(H616)-5),7))</f>
        <v>0</v>
      </c>
      <c r="I616" s="19">
        <f ca="1">OFFSET('1课程考核方式及成绩组成'!$AL$10,(ROW(I616)-5)/7,MOD((ROW(I616)-5),7))</f>
        <v>23</v>
      </c>
      <c r="J616" s="25">
        <f ca="1">IF('0信息维护'!$I$97=0,0,E616/('0信息维护'!$I$97)*'0信息维护'!$E$37*'0信息维护'!$S$27)+IF('0信息维护'!$I$98=0,0,F616/('0信息维护'!$I$98)*'0信息维护'!$E$37*'0信息维护'!$T$27)+IF('0信息维护'!$I$99=0,0,G616/('0信息维护'!$I$99)*'0信息维护'!$E$37*'0信息维护'!$U$27)+IF('0信息维护'!$I$100=0,0,H616/('0信息维护'!$I$100)*'0信息维护'!$E$37*'0信息维护'!$V$27)+IF('0信息维护'!$I$101=0,0,I616/'0信息维护'!$I$101*'0信息维护'!$I$37)</f>
        <v>0.676470588235294</v>
      </c>
      <c r="K616" s="27"/>
    </row>
    <row r="617" spans="1:11">
      <c r="A617" s="20"/>
      <c r="B617" s="20"/>
      <c r="C617" s="20"/>
      <c r="D617" s="18" t="str">
        <f>'0信息维护'!A$28</f>
        <v>课程目标4</v>
      </c>
      <c r="E617" s="19">
        <f ca="1">OFFSET('1课程考核方式及成绩组成'!$F$10,(ROW(E617)-5)/7,MOD((ROW(E617)-5),7))</f>
        <v>0</v>
      </c>
      <c r="F617" s="19">
        <f ca="1">OFFSET('1课程考核方式及成绩组成'!$N$10,(ROW(F617)-5)/7,MOD((ROW(F617)-5),7))</f>
        <v>82</v>
      </c>
      <c r="G617" s="19">
        <f ca="1">OFFSET('1课程考核方式及成绩组成'!$V$10,(ROW(G617)-5)/7,MOD((ROW(G617)-5),7))</f>
        <v>0</v>
      </c>
      <c r="H617" s="19">
        <f ca="1">OFFSET('1课程考核方式及成绩组成'!$AD$10,(ROW(H617)-5)/7,MOD((ROW(H617)-5),7))</f>
        <v>0</v>
      </c>
      <c r="I617" s="19">
        <f ca="1">OFFSET('1课程考核方式及成绩组成'!$AL$10,(ROW(I617)-5)/7,MOD((ROW(I617)-5),7))</f>
        <v>0</v>
      </c>
      <c r="J617" s="25">
        <f ca="1">IF('0信息维护'!$I$103=0,0,E617/('0信息维护'!$I$103)*'0信息维护'!$E$38*'0信息维护'!$S$28)+IF('0信息维护'!$I$104=0,0,F617/('0信息维护'!$I$104)*'0信息维护'!$E$38*'0信息维护'!$T$28)+IF('0信息维护'!$I$105=0,0,G617/('0信息维护'!$I$105)*'0信息维护'!$E$38*'0信息维护'!$U$28)+IF('0信息维护'!$I$106=0,0,H617/('0信息维护'!$I$106)*'0信息维护'!$E$38*'0信息维护'!$V$28)+IF('0信息维护'!$I$107=0,0,I617/'0信息维护'!$I$107*'0信息维护'!$I$38)</f>
        <v>0.82</v>
      </c>
      <c r="K617" s="27"/>
    </row>
    <row r="618" spans="1:11">
      <c r="A618" s="20"/>
      <c r="B618" s="20"/>
      <c r="C618" s="20"/>
      <c r="D618" s="18" t="str">
        <f>'0信息维护'!A$29</f>
        <v>课程目标5</v>
      </c>
      <c r="E618" s="19">
        <f ca="1">OFFSET('1课程考核方式及成绩组成'!$F$10,(ROW(E618)-5)/7,MOD((ROW(E618)-5),7))</f>
        <v>0</v>
      </c>
      <c r="F618" s="19">
        <f ca="1">OFFSET('1课程考核方式及成绩组成'!$N$10,(ROW(F618)-5)/7,MOD((ROW(F618)-5),7))</f>
        <v>0</v>
      </c>
      <c r="G618" s="19">
        <f ca="1">OFFSET('1课程考核方式及成绩组成'!$V$10,(ROW(G618)-5)/7,MOD((ROW(G618)-5),7))</f>
        <v>0</v>
      </c>
      <c r="H618" s="19">
        <f ca="1">OFFSET('1课程考核方式及成绩组成'!$AD$10,(ROW(H618)-5)/7,MOD((ROW(H618)-5),7))</f>
        <v>0</v>
      </c>
      <c r="I618" s="19">
        <f ca="1">OFFSET('1课程考核方式及成绩组成'!$AL$10,(ROW(I618)-5)/7,MOD((ROW(I618)-5),7))</f>
        <v>0</v>
      </c>
      <c r="J618" s="25">
        <f ca="1">IF('0信息维护'!$I$109=0,0,E618/('0信息维护'!$I$109)*'0信息维护'!$E$39*'0信息维护'!$S$29)+IF('0信息维护'!$I$110=0,0,F618/('0信息维护'!$I$110)*'0信息维护'!$E$39*'0信息维护'!$T$29)+IF('0信息维护'!$I$111=0,0,G618/('0信息维护'!$I$111)*'0信息维护'!$E$39*'0信息维护'!$U$29)+IF('0信息维护'!$I$112=0,0,H618/('0信息维护'!$I$112)*'0信息维护'!$E$39*'0信息维护'!$V$29)+IF('0信息维护'!$I$113=0,0,I618/'0信息维护'!$I$113*'0信息维护'!$I$39)</f>
        <v>0</v>
      </c>
      <c r="K618" s="27"/>
    </row>
    <row r="619" spans="1:11">
      <c r="A619" s="20"/>
      <c r="B619" s="20"/>
      <c r="C619" s="20"/>
      <c r="D619" s="18" t="str">
        <f>'0信息维护'!A$30</f>
        <v>课程目标6</v>
      </c>
      <c r="E619" s="19">
        <f ca="1">OFFSET('1课程考核方式及成绩组成'!$F$10,(ROW(E619)-5)/7,MOD((ROW(E619)-5),7))</f>
        <v>0</v>
      </c>
      <c r="F619" s="19">
        <f ca="1">OFFSET('1课程考核方式及成绩组成'!$N$10,(ROW(F619)-5)/7,MOD((ROW(F619)-5),7))</f>
        <v>0</v>
      </c>
      <c r="G619" s="19">
        <f ca="1">OFFSET('1课程考核方式及成绩组成'!$V$10,(ROW(G619)-5)/7,MOD((ROW(G619)-5),7))</f>
        <v>0</v>
      </c>
      <c r="H619" s="19">
        <f ca="1">OFFSET('1课程考核方式及成绩组成'!$AD$10,(ROW(H619)-5)/7,MOD((ROW(H619)-5),7))</f>
        <v>0</v>
      </c>
      <c r="I619" s="19">
        <f ca="1">OFFSET('1课程考核方式及成绩组成'!$AL$10,(ROW(I619)-5)/7,MOD((ROW(I619)-5),7))</f>
        <v>0</v>
      </c>
      <c r="J619" s="25">
        <f ca="1">IF('0信息维护'!$I$115=0,0,E619/('0信息维护'!$I$115)*'0信息维护'!$E$40*'0信息维护'!$S$30)+IF('0信息维护'!$I$116=0,0,F619/('0信息维护'!$I$116)*'0信息维护'!$E$40*'0信息维护'!$T$30)+IF('0信息维护'!$I$117=0,0,G619/('0信息维护'!$I$117)*'0信息维护'!$E$40*'0信息维护'!$U$30)+IF('0信息维护'!$I$118=0,0,H619/('0信息维护'!$I$118)*'0信息维护'!$E$40*'0信息维护'!$V$30)+IF('0信息维护'!$I$119=0,0,I619/'0信息维护'!$I$119*'0信息维护'!$I$40)</f>
        <v>0</v>
      </c>
      <c r="K619" s="27"/>
    </row>
    <row r="620" spans="1:11">
      <c r="A620" s="21"/>
      <c r="B620" s="21"/>
      <c r="C620" s="21"/>
      <c r="D620" s="18" t="str">
        <f>'0信息维护'!A$31</f>
        <v>课程目标7</v>
      </c>
      <c r="E620" s="19">
        <f ca="1">OFFSET('1课程考核方式及成绩组成'!$F$10,(ROW(E620)-5)/7,MOD((ROW(E620)-5),7))</f>
        <v>0</v>
      </c>
      <c r="F620" s="19">
        <f ca="1">OFFSET('1课程考核方式及成绩组成'!$N$10,(ROW(F620)-5)/7,MOD((ROW(F620)-5),7))</f>
        <v>0</v>
      </c>
      <c r="G620" s="19">
        <f ca="1">OFFSET('1课程考核方式及成绩组成'!$V$10,(ROW(G620)-5)/7,MOD((ROW(G620)-5),7))</f>
        <v>0</v>
      </c>
      <c r="H620" s="19">
        <f ca="1">OFFSET('1课程考核方式及成绩组成'!$AD$10,(ROW(H620)-5)/7,MOD((ROW(H620)-5),7))</f>
        <v>0</v>
      </c>
      <c r="I620" s="19">
        <f ca="1">OFFSET('1课程考核方式及成绩组成'!$AL$10,(ROW(I620)-5)/7,MOD((ROW(I620)-5),7))</f>
        <v>0</v>
      </c>
      <c r="J620" s="25">
        <f ca="1">IF('0信息维护'!$I$121=0,0,E620/('0信息维护'!$I$121)*'0信息维护'!$E$41*'0信息维护'!$S$31)+IF('0信息维护'!$I$122=0,0,F620/('0信息维护'!$I$122)*'0信息维护'!$E$41*'0信息维护'!$T$31)+IF('0信息维护'!$I$123=0,0,G620/('0信息维护'!$I$123)*'0信息维护'!$E$41*'0信息维护'!$U$31)+IF('0信息维护'!$I$124=0,0,H620/('0信息维护'!$I$124)*'0信息维护'!$E$41*'0信息维护'!$T$31)+IF('0信息维护'!$I$125=0,0,I620/'0信息维护'!$I$125*'0信息维护'!$I$41)</f>
        <v>0</v>
      </c>
      <c r="K620" s="30"/>
    </row>
    <row r="621" spans="1:11">
      <c r="A621" s="17">
        <v>89</v>
      </c>
      <c r="B621" s="17" t="str">
        <f ca="1">OFFSET('1课程考核方式及成绩组成'!$D$10,(ROW(B621)-5)/7,)</f>
        <v>220106112</v>
      </c>
      <c r="C621" s="17" t="str">
        <f ca="1">OFFSET('1课程考核方式及成绩组成'!$E$10,(ROW(C621)-5)/7,)</f>
        <v>闻璋</v>
      </c>
      <c r="D621" s="18" t="str">
        <f>'0信息维护'!A$25</f>
        <v>课程目标1</v>
      </c>
      <c r="E621" s="19">
        <f ca="1">OFFSET('1课程考核方式及成绩组成'!$F$10,(ROW(E621)-5)/7,MOD((ROW(E621)-5),7))</f>
        <v>34</v>
      </c>
      <c r="F621" s="19">
        <f ca="1">OFFSET('1课程考核方式及成绩组成'!$N$10,(ROW(F621)-5)/7,MOD((ROW(F621)-5),7))</f>
        <v>0</v>
      </c>
      <c r="G621" s="19">
        <f ca="1">OFFSET('1课程考核方式及成绩组成'!$V$10,(ROW(G621)-5)/7,MOD((ROW(G621)-5),7))</f>
        <v>0</v>
      </c>
      <c r="H621" s="19">
        <f ca="1">OFFSET('1课程考核方式及成绩组成'!$AD$10,(ROW(H621)-5)/7,MOD((ROW(H621)-5),7))</f>
        <v>0</v>
      </c>
      <c r="I621" s="19">
        <f ca="1">OFFSET('1课程考核方式及成绩组成'!$AL$10,(ROW(I621)-5)/7,MOD((ROW(I621)-5),7))</f>
        <v>30</v>
      </c>
      <c r="J621" s="25">
        <f ca="1">IF('0信息维护'!$I$85=0,0,E621/('0信息维护'!$I$85)*'0信息维护'!$E$35*'0信息维护'!$S$25)+IF('0信息维护'!$I$86=0,0,F621/('0信息维护'!$I$86)*'0信息维护'!$E$35*'0信息维护'!$T$25)+IF('0信息维护'!$I$87=0,0,G621/('0信息维护'!$I$87)*'0信息维护'!$E$35*'0信息维护'!$U$25)+IF('0信息维护'!$I$88=0,0,H621/('0信息维护'!$I$88)*'0信息维护'!$E$35*'0信息维护'!$V$25)+IF('0信息维护'!$I$89=0,0,I621/'0信息维护'!$I$89*'0信息维护'!$I$35)</f>
        <v>0.841666666666667</v>
      </c>
      <c r="K621" s="26">
        <f ca="1">J621*'0信息维护'!$D$132+J622*'0信息维护'!$D$133+J623*'0信息维护'!$D$134+J624*'0信息维护'!$D$135+J625*'0信息维护'!$D$136+J626*'0信息维护'!$D$137+J627*'0信息维护'!$D$138</f>
        <v>0.695044117647059</v>
      </c>
    </row>
    <row r="622" spans="1:14">
      <c r="A622" s="20"/>
      <c r="B622" s="20"/>
      <c r="C622" s="20"/>
      <c r="D622" s="18" t="str">
        <f>'0信息维护'!A$26</f>
        <v>课程目标2</v>
      </c>
      <c r="E622" s="19">
        <f ca="1">OFFSET('1课程考核方式及成绩组成'!$F$10,(ROW(E622)-5)/7,MOD((ROW(E622)-5),7))</f>
        <v>51</v>
      </c>
      <c r="F622" s="19">
        <f ca="1">OFFSET('1课程考核方式及成绩组成'!$N$10,(ROW(F622)-5)/7,MOD((ROW(F622)-5),7))</f>
        <v>0</v>
      </c>
      <c r="G622" s="19">
        <f ca="1">OFFSET('1课程考核方式及成绩组成'!$V$10,(ROW(G622)-5)/7,MOD((ROW(G622)-5),7))</f>
        <v>0</v>
      </c>
      <c r="H622" s="19">
        <f ca="1">OFFSET('1课程考核方式及成绩组成'!$AD$10,(ROW(H622)-5)/7,MOD((ROW(H622)-5),7))</f>
        <v>0</v>
      </c>
      <c r="I622" s="19">
        <f ca="1">OFFSET('1课程考核方式及成绩组成'!$AL$10,(ROW(I622)-5)/7,MOD((ROW(I622)-5),7))</f>
        <v>17</v>
      </c>
      <c r="J622" s="25">
        <f ca="1">IF('0信息维护'!$I$91=0,0,E622/('0信息维护'!$I$91)*'0信息维护'!$S$26*'0信息维护'!$E$36)+IF('0信息维护'!$I$92=0,0,F622/('0信息维护'!$I$92)*'0信息维护'!$T$26*'0信息维护'!$E$36)+IF('0信息维护'!$I$93=0,0,G622/('0信息维护'!$I$93)*'0信息维护'!$U$26*'0信息维护'!$E$36)+IF('0信息维护'!$I$94=0,0,H622/('0信息维护'!$I$94)*'0信息维护'!$V$26*'0信息维护'!$E$36)+IF('0信息维护'!$I$95=0,0,I622/'0信息维护'!$I$95*'0信息维护'!$I$36)</f>
        <v>0.708333333333333</v>
      </c>
      <c r="K622" s="27"/>
      <c r="N622" s="29"/>
    </row>
    <row r="623" spans="1:11">
      <c r="A623" s="20"/>
      <c r="B623" s="20"/>
      <c r="C623" s="20"/>
      <c r="D623" s="18" t="str">
        <f>'0信息维护'!A$27</f>
        <v>课程目标3</v>
      </c>
      <c r="E623" s="19">
        <f ca="1">OFFSET('1课程考核方式及成绩组成'!$F$10,(ROW(E623)-5)/7,MOD((ROW(E623)-5),7))</f>
        <v>0</v>
      </c>
      <c r="F623" s="19">
        <f ca="1">OFFSET('1课程考核方式及成绩组成'!$N$10,(ROW(F623)-5)/7,MOD((ROW(F623)-5),7))</f>
        <v>0</v>
      </c>
      <c r="G623" s="19">
        <f ca="1">OFFSET('1课程考核方式及成绩组成'!$V$10,(ROW(G623)-5)/7,MOD((ROW(G623)-5),7))</f>
        <v>0</v>
      </c>
      <c r="H623" s="19">
        <f ca="1">OFFSET('1课程考核方式及成绩组成'!$AD$10,(ROW(H623)-5)/7,MOD((ROW(H623)-5),7))</f>
        <v>0</v>
      </c>
      <c r="I623" s="19">
        <f ca="1">OFFSET('1课程考核方式及成绩组成'!$AL$10,(ROW(I623)-5)/7,MOD((ROW(I623)-5),7))</f>
        <v>15</v>
      </c>
      <c r="J623" s="25">
        <f ca="1">IF('0信息维护'!$I$97=0,0,E623/('0信息维护'!$I$97)*'0信息维护'!$E$37*'0信息维护'!$S$27)+IF('0信息维护'!$I$98=0,0,F623/('0信息维护'!$I$98)*'0信息维护'!$E$37*'0信息维护'!$T$27)+IF('0信息维护'!$I$99=0,0,G623/('0信息维护'!$I$99)*'0信息维护'!$E$37*'0信息维护'!$U$27)+IF('0信息维护'!$I$100=0,0,H623/('0信息维护'!$I$100)*'0信息维护'!$E$37*'0信息维护'!$V$27)+IF('0信息维护'!$I$101=0,0,I623/'0信息维护'!$I$101*'0信息维护'!$I$37)</f>
        <v>0.441176470588235</v>
      </c>
      <c r="K623" s="27"/>
    </row>
    <row r="624" spans="1:11">
      <c r="A624" s="20"/>
      <c r="B624" s="20"/>
      <c r="C624" s="20"/>
      <c r="D624" s="18" t="str">
        <f>'0信息维护'!A$28</f>
        <v>课程目标4</v>
      </c>
      <c r="E624" s="19">
        <f ca="1">OFFSET('1课程考核方式及成绩组成'!$F$10,(ROW(E624)-5)/7,MOD((ROW(E624)-5),7))</f>
        <v>0</v>
      </c>
      <c r="F624" s="19">
        <f ca="1">OFFSET('1课程考核方式及成绩组成'!$N$10,(ROW(F624)-5)/7,MOD((ROW(F624)-5),7))</f>
        <v>82</v>
      </c>
      <c r="G624" s="19">
        <f ca="1">OFFSET('1课程考核方式及成绩组成'!$V$10,(ROW(G624)-5)/7,MOD((ROW(G624)-5),7))</f>
        <v>0</v>
      </c>
      <c r="H624" s="19">
        <f ca="1">OFFSET('1课程考核方式及成绩组成'!$AD$10,(ROW(H624)-5)/7,MOD((ROW(H624)-5),7))</f>
        <v>0</v>
      </c>
      <c r="I624" s="19">
        <f ca="1">OFFSET('1课程考核方式及成绩组成'!$AL$10,(ROW(I624)-5)/7,MOD((ROW(I624)-5),7))</f>
        <v>0</v>
      </c>
      <c r="J624" s="25">
        <f ca="1">IF('0信息维护'!$I$103=0,0,E624/('0信息维护'!$I$103)*'0信息维护'!$E$38*'0信息维护'!$S$28)+IF('0信息维护'!$I$104=0,0,F624/('0信息维护'!$I$104)*'0信息维护'!$E$38*'0信息维护'!$T$28)+IF('0信息维护'!$I$105=0,0,G624/('0信息维护'!$I$105)*'0信息维护'!$E$38*'0信息维护'!$U$28)+IF('0信息维护'!$I$106=0,0,H624/('0信息维护'!$I$106)*'0信息维护'!$E$38*'0信息维护'!$V$28)+IF('0信息维护'!$I$107=0,0,I624/'0信息维护'!$I$107*'0信息维护'!$I$38)</f>
        <v>0.82</v>
      </c>
      <c r="K624" s="27"/>
    </row>
    <row r="625" spans="1:11">
      <c r="A625" s="20"/>
      <c r="B625" s="20"/>
      <c r="C625" s="20"/>
      <c r="D625" s="18" t="str">
        <f>'0信息维护'!A$29</f>
        <v>课程目标5</v>
      </c>
      <c r="E625" s="19">
        <f ca="1">OFFSET('1课程考核方式及成绩组成'!$F$10,(ROW(E625)-5)/7,MOD((ROW(E625)-5),7))</f>
        <v>0</v>
      </c>
      <c r="F625" s="19">
        <f ca="1">OFFSET('1课程考核方式及成绩组成'!$N$10,(ROW(F625)-5)/7,MOD((ROW(F625)-5),7))</f>
        <v>0</v>
      </c>
      <c r="G625" s="19">
        <f ca="1">OFFSET('1课程考核方式及成绩组成'!$V$10,(ROW(G625)-5)/7,MOD((ROW(G625)-5),7))</f>
        <v>0</v>
      </c>
      <c r="H625" s="19">
        <f ca="1">OFFSET('1课程考核方式及成绩组成'!$AD$10,(ROW(H625)-5)/7,MOD((ROW(H625)-5),7))</f>
        <v>0</v>
      </c>
      <c r="I625" s="19">
        <f ca="1">OFFSET('1课程考核方式及成绩组成'!$AL$10,(ROW(I625)-5)/7,MOD((ROW(I625)-5),7))</f>
        <v>0</v>
      </c>
      <c r="J625" s="25">
        <f ca="1">IF('0信息维护'!$I$109=0,0,E625/('0信息维护'!$I$109)*'0信息维护'!$E$39*'0信息维护'!$S$29)+IF('0信息维护'!$I$110=0,0,F625/('0信息维护'!$I$110)*'0信息维护'!$E$39*'0信息维护'!$T$29)+IF('0信息维护'!$I$111=0,0,G625/('0信息维护'!$I$111)*'0信息维护'!$E$39*'0信息维护'!$U$29)+IF('0信息维护'!$I$112=0,0,H625/('0信息维护'!$I$112)*'0信息维护'!$E$39*'0信息维护'!$V$29)+IF('0信息维护'!$I$113=0,0,I625/'0信息维护'!$I$113*'0信息维护'!$I$39)</f>
        <v>0</v>
      </c>
      <c r="K625" s="27"/>
    </row>
    <row r="626" spans="1:11">
      <c r="A626" s="20"/>
      <c r="B626" s="20"/>
      <c r="C626" s="20"/>
      <c r="D626" s="18" t="str">
        <f>'0信息维护'!A$30</f>
        <v>课程目标6</v>
      </c>
      <c r="E626" s="19">
        <f ca="1">OFFSET('1课程考核方式及成绩组成'!$F$10,(ROW(E626)-5)/7,MOD((ROW(E626)-5),7))</f>
        <v>0</v>
      </c>
      <c r="F626" s="19">
        <f ca="1">OFFSET('1课程考核方式及成绩组成'!$N$10,(ROW(F626)-5)/7,MOD((ROW(F626)-5),7))</f>
        <v>0</v>
      </c>
      <c r="G626" s="19">
        <f ca="1">OFFSET('1课程考核方式及成绩组成'!$V$10,(ROW(G626)-5)/7,MOD((ROW(G626)-5),7))</f>
        <v>0</v>
      </c>
      <c r="H626" s="19">
        <f ca="1">OFFSET('1课程考核方式及成绩组成'!$AD$10,(ROW(H626)-5)/7,MOD((ROW(H626)-5),7))</f>
        <v>0</v>
      </c>
      <c r="I626" s="19">
        <f ca="1">OFFSET('1课程考核方式及成绩组成'!$AL$10,(ROW(I626)-5)/7,MOD((ROW(I626)-5),7))</f>
        <v>0</v>
      </c>
      <c r="J626" s="25">
        <f ca="1">IF('0信息维护'!$I$115=0,0,E626/('0信息维护'!$I$115)*'0信息维护'!$E$40*'0信息维护'!$S$30)+IF('0信息维护'!$I$116=0,0,F626/('0信息维护'!$I$116)*'0信息维护'!$E$40*'0信息维护'!$T$30)+IF('0信息维护'!$I$117=0,0,G626/('0信息维护'!$I$117)*'0信息维护'!$E$40*'0信息维护'!$U$30)+IF('0信息维护'!$I$118=0,0,H626/('0信息维护'!$I$118)*'0信息维护'!$E$40*'0信息维护'!$V$30)+IF('0信息维护'!$I$119=0,0,I626/'0信息维护'!$I$119*'0信息维护'!$I$40)</f>
        <v>0</v>
      </c>
      <c r="K626" s="27"/>
    </row>
    <row r="627" spans="1:11">
      <c r="A627" s="21"/>
      <c r="B627" s="21"/>
      <c r="C627" s="21"/>
      <c r="D627" s="18" t="str">
        <f>'0信息维护'!A$31</f>
        <v>课程目标7</v>
      </c>
      <c r="E627" s="19">
        <f ca="1">OFFSET('1课程考核方式及成绩组成'!$F$10,(ROW(E627)-5)/7,MOD((ROW(E627)-5),7))</f>
        <v>0</v>
      </c>
      <c r="F627" s="19">
        <f ca="1">OFFSET('1课程考核方式及成绩组成'!$N$10,(ROW(F627)-5)/7,MOD((ROW(F627)-5),7))</f>
        <v>0</v>
      </c>
      <c r="G627" s="19">
        <f ca="1">OFFSET('1课程考核方式及成绩组成'!$V$10,(ROW(G627)-5)/7,MOD((ROW(G627)-5),7))</f>
        <v>0</v>
      </c>
      <c r="H627" s="19">
        <f ca="1">OFFSET('1课程考核方式及成绩组成'!$AD$10,(ROW(H627)-5)/7,MOD((ROW(H627)-5),7))</f>
        <v>0</v>
      </c>
      <c r="I627" s="19">
        <f ca="1">OFFSET('1课程考核方式及成绩组成'!$AL$10,(ROW(I627)-5)/7,MOD((ROW(I627)-5),7))</f>
        <v>0</v>
      </c>
      <c r="J627" s="25">
        <f ca="1">IF('0信息维护'!$I$121=0,0,E627/('0信息维护'!$I$121)*'0信息维护'!$E$41*'0信息维护'!$S$31)+IF('0信息维护'!$I$122=0,0,F627/('0信息维护'!$I$122)*'0信息维护'!$E$41*'0信息维护'!$T$31)+IF('0信息维护'!$I$123=0,0,G627/('0信息维护'!$I$123)*'0信息维护'!$E$41*'0信息维护'!$U$31)+IF('0信息维护'!$I$124=0,0,H627/('0信息维护'!$I$124)*'0信息维护'!$E$41*'0信息维护'!$T$31)+IF('0信息维护'!$I$125=0,0,I627/'0信息维护'!$I$125*'0信息维护'!$I$41)</f>
        <v>0</v>
      </c>
      <c r="K627" s="30"/>
    </row>
    <row r="628" spans="1:11">
      <c r="A628" s="17">
        <v>90</v>
      </c>
      <c r="B628" s="17" t="str">
        <f ca="1">OFFSET('1课程考核方式及成绩组成'!$D$10,(ROW(B628)-5)/7,)</f>
        <v>220106113</v>
      </c>
      <c r="C628" s="17" t="str">
        <f ca="1">OFFSET('1课程考核方式及成绩组成'!$E$10,(ROW(C628)-5)/7,)</f>
        <v>刘海</v>
      </c>
      <c r="D628" s="18" t="str">
        <f>'0信息维护'!A$25</f>
        <v>课程目标1</v>
      </c>
      <c r="E628" s="19">
        <f ca="1">OFFSET('1课程考核方式及成绩组成'!$F$10,(ROW(E628)-5)/7,MOD((ROW(E628)-5),7))</f>
        <v>32</v>
      </c>
      <c r="F628" s="19">
        <f ca="1">OFFSET('1课程考核方式及成绩组成'!$N$10,(ROW(F628)-5)/7,MOD((ROW(F628)-5),7))</f>
        <v>0</v>
      </c>
      <c r="G628" s="19">
        <f ca="1">OFFSET('1课程考核方式及成绩组成'!$V$10,(ROW(G628)-5)/7,MOD((ROW(G628)-5),7))</f>
        <v>0</v>
      </c>
      <c r="H628" s="19">
        <f ca="1">OFFSET('1课程考核方式及成绩组成'!$AD$10,(ROW(H628)-5)/7,MOD((ROW(H628)-5),7))</f>
        <v>0</v>
      </c>
      <c r="I628" s="19">
        <f ca="1">OFFSET('1课程考核方式及成绩组成'!$AL$10,(ROW(I628)-5)/7,MOD((ROW(I628)-5),7))</f>
        <v>30</v>
      </c>
      <c r="J628" s="25">
        <f ca="1">IF('0信息维护'!$I$85=0,0,E628/('0信息维护'!$I$85)*'0信息维护'!$E$35*'0信息维护'!$S$25)+IF('0信息维护'!$I$86=0,0,F628/('0信息维护'!$I$86)*'0信息维护'!$E$35*'0信息维护'!$T$25)+IF('0信息维护'!$I$87=0,0,G628/('0信息维护'!$I$87)*'0信息维护'!$E$35*'0信息维护'!$U$25)+IF('0信息维护'!$I$88=0,0,H628/('0信息维护'!$I$88)*'0信息维护'!$E$35*'0信息维护'!$V$25)+IF('0信息维护'!$I$89=0,0,I628/'0信息维护'!$I$89*'0信息维护'!$I$35)</f>
        <v>0.816666666666667</v>
      </c>
      <c r="K628" s="26">
        <f ca="1">J628*'0信息维护'!$D$132+J629*'0信息维护'!$D$133+J630*'0信息维护'!$D$134+J631*'0信息维护'!$D$135+J632*'0信息维护'!$D$136+J633*'0信息维护'!$D$137+J634*'0信息维护'!$D$138</f>
        <v>0.730852941176471</v>
      </c>
    </row>
    <row r="629" spans="1:14">
      <c r="A629" s="20"/>
      <c r="B629" s="20"/>
      <c r="C629" s="20"/>
      <c r="D629" s="18" t="str">
        <f>'0信息维护'!A$26</f>
        <v>课程目标2</v>
      </c>
      <c r="E629" s="19">
        <f ca="1">OFFSET('1课程考核方式及成绩组成'!$F$10,(ROW(E629)-5)/7,MOD((ROW(E629)-5),7))</f>
        <v>48</v>
      </c>
      <c r="F629" s="19">
        <f ca="1">OFFSET('1课程考核方式及成绩组成'!$N$10,(ROW(F629)-5)/7,MOD((ROW(F629)-5),7))</f>
        <v>0</v>
      </c>
      <c r="G629" s="19">
        <f ca="1">OFFSET('1课程考核方式及成绩组成'!$V$10,(ROW(G629)-5)/7,MOD((ROW(G629)-5),7))</f>
        <v>0</v>
      </c>
      <c r="H629" s="19">
        <f ca="1">OFFSET('1课程考核方式及成绩组成'!$AD$10,(ROW(H629)-5)/7,MOD((ROW(H629)-5),7))</f>
        <v>0</v>
      </c>
      <c r="I629" s="19">
        <f ca="1">OFFSET('1课程考核方式及成绩组成'!$AL$10,(ROW(I629)-5)/7,MOD((ROW(I629)-5),7))</f>
        <v>22</v>
      </c>
      <c r="J629" s="25">
        <f ca="1">IF('0信息维护'!$I$91=0,0,E629/('0信息维护'!$I$91)*'0信息维护'!$S$26*'0信息维护'!$E$36)+IF('0信息维护'!$I$92=0,0,F629/('0信息维护'!$I$92)*'0信息维护'!$T$26*'0信息维护'!$E$36)+IF('0信息维护'!$I$93=0,0,G629/('0信息维护'!$I$93)*'0信息维护'!$U$26*'0信息维护'!$E$36)+IF('0信息维护'!$I$94=0,0,H629/('0信息维护'!$I$94)*'0信息维护'!$V$26*'0信息维护'!$E$36)+IF('0信息维护'!$I$95=0,0,I629/'0信息维护'!$I$95*'0信息维护'!$I$36)</f>
        <v>0.766666666666667</v>
      </c>
      <c r="K629" s="27"/>
      <c r="N629" s="29"/>
    </row>
    <row r="630" spans="1:11">
      <c r="A630" s="20"/>
      <c r="B630" s="20"/>
      <c r="C630" s="20"/>
      <c r="D630" s="18" t="str">
        <f>'0信息维护'!A$27</f>
        <v>课程目标3</v>
      </c>
      <c r="E630" s="19">
        <f ca="1">OFFSET('1课程考核方式及成绩组成'!$F$10,(ROW(E630)-5)/7,MOD((ROW(E630)-5),7))</f>
        <v>0</v>
      </c>
      <c r="F630" s="19">
        <f ca="1">OFFSET('1课程考核方式及成绩组成'!$N$10,(ROW(F630)-5)/7,MOD((ROW(F630)-5),7))</f>
        <v>0</v>
      </c>
      <c r="G630" s="19">
        <f ca="1">OFFSET('1课程考核方式及成绩组成'!$V$10,(ROW(G630)-5)/7,MOD((ROW(G630)-5),7))</f>
        <v>0</v>
      </c>
      <c r="H630" s="19">
        <f ca="1">OFFSET('1课程考核方式及成绩组成'!$AD$10,(ROW(H630)-5)/7,MOD((ROW(H630)-5),7))</f>
        <v>0</v>
      </c>
      <c r="I630" s="19">
        <f ca="1">OFFSET('1课程考核方式及成绩组成'!$AL$10,(ROW(I630)-5)/7,MOD((ROW(I630)-5),7))</f>
        <v>18</v>
      </c>
      <c r="J630" s="25">
        <f ca="1">IF('0信息维护'!$I$97=0,0,E630/('0信息维护'!$I$97)*'0信息维护'!$E$37*'0信息维护'!$S$27)+IF('0信息维护'!$I$98=0,0,F630/('0信息维护'!$I$98)*'0信息维护'!$E$37*'0信息维护'!$T$27)+IF('0信息维护'!$I$99=0,0,G630/('0信息维护'!$I$99)*'0信息维护'!$E$37*'0信息维护'!$U$27)+IF('0信息维护'!$I$100=0,0,H630/('0信息维护'!$I$100)*'0信息维护'!$E$37*'0信息维护'!$V$27)+IF('0信息维护'!$I$101=0,0,I630/'0信息维护'!$I$101*'0信息维护'!$I$37)</f>
        <v>0.529411764705882</v>
      </c>
      <c r="K630" s="27"/>
    </row>
    <row r="631" spans="1:11">
      <c r="A631" s="20"/>
      <c r="B631" s="20"/>
      <c r="C631" s="20"/>
      <c r="D631" s="18" t="str">
        <f>'0信息维护'!A$28</f>
        <v>课程目标4</v>
      </c>
      <c r="E631" s="19">
        <f ca="1">OFFSET('1课程考核方式及成绩组成'!$F$10,(ROW(E631)-5)/7,MOD((ROW(E631)-5),7))</f>
        <v>0</v>
      </c>
      <c r="F631" s="19">
        <f ca="1">OFFSET('1课程考核方式及成绩组成'!$N$10,(ROW(F631)-5)/7,MOD((ROW(F631)-5),7))</f>
        <v>82</v>
      </c>
      <c r="G631" s="19">
        <f ca="1">OFFSET('1课程考核方式及成绩组成'!$V$10,(ROW(G631)-5)/7,MOD((ROW(G631)-5),7))</f>
        <v>0</v>
      </c>
      <c r="H631" s="19">
        <f ca="1">OFFSET('1课程考核方式及成绩组成'!$AD$10,(ROW(H631)-5)/7,MOD((ROW(H631)-5),7))</f>
        <v>0</v>
      </c>
      <c r="I631" s="19">
        <f ca="1">OFFSET('1课程考核方式及成绩组成'!$AL$10,(ROW(I631)-5)/7,MOD((ROW(I631)-5),7))</f>
        <v>0</v>
      </c>
      <c r="J631" s="25">
        <f ca="1">IF('0信息维护'!$I$103=0,0,E631/('0信息维护'!$I$103)*'0信息维护'!$E$38*'0信息维护'!$S$28)+IF('0信息维护'!$I$104=0,0,F631/('0信息维护'!$I$104)*'0信息维护'!$E$38*'0信息维护'!$T$28)+IF('0信息维护'!$I$105=0,0,G631/('0信息维护'!$I$105)*'0信息维护'!$E$38*'0信息维护'!$U$28)+IF('0信息维护'!$I$106=0,0,H631/('0信息维护'!$I$106)*'0信息维护'!$E$38*'0信息维护'!$V$28)+IF('0信息维护'!$I$107=0,0,I631/'0信息维护'!$I$107*'0信息维护'!$I$38)</f>
        <v>0.82</v>
      </c>
      <c r="K631" s="27"/>
    </row>
    <row r="632" spans="1:11">
      <c r="A632" s="20"/>
      <c r="B632" s="20"/>
      <c r="C632" s="20"/>
      <c r="D632" s="18" t="str">
        <f>'0信息维护'!A$29</f>
        <v>课程目标5</v>
      </c>
      <c r="E632" s="19">
        <f ca="1">OFFSET('1课程考核方式及成绩组成'!$F$10,(ROW(E632)-5)/7,MOD((ROW(E632)-5),7))</f>
        <v>0</v>
      </c>
      <c r="F632" s="19">
        <f ca="1">OFFSET('1课程考核方式及成绩组成'!$N$10,(ROW(F632)-5)/7,MOD((ROW(F632)-5),7))</f>
        <v>0</v>
      </c>
      <c r="G632" s="19">
        <f ca="1">OFFSET('1课程考核方式及成绩组成'!$V$10,(ROW(G632)-5)/7,MOD((ROW(G632)-5),7))</f>
        <v>0</v>
      </c>
      <c r="H632" s="19">
        <f ca="1">OFFSET('1课程考核方式及成绩组成'!$AD$10,(ROW(H632)-5)/7,MOD((ROW(H632)-5),7))</f>
        <v>0</v>
      </c>
      <c r="I632" s="19">
        <f ca="1">OFFSET('1课程考核方式及成绩组成'!$AL$10,(ROW(I632)-5)/7,MOD((ROW(I632)-5),7))</f>
        <v>0</v>
      </c>
      <c r="J632" s="25">
        <f ca="1">IF('0信息维护'!$I$109=0,0,E632/('0信息维护'!$I$109)*'0信息维护'!$E$39*'0信息维护'!$S$29)+IF('0信息维护'!$I$110=0,0,F632/('0信息维护'!$I$110)*'0信息维护'!$E$39*'0信息维护'!$T$29)+IF('0信息维护'!$I$111=0,0,G632/('0信息维护'!$I$111)*'0信息维护'!$E$39*'0信息维护'!$U$29)+IF('0信息维护'!$I$112=0,0,H632/('0信息维护'!$I$112)*'0信息维护'!$E$39*'0信息维护'!$V$29)+IF('0信息维护'!$I$113=0,0,I632/'0信息维护'!$I$113*'0信息维护'!$I$39)</f>
        <v>0</v>
      </c>
      <c r="K632" s="27"/>
    </row>
    <row r="633" spans="1:11">
      <c r="A633" s="20"/>
      <c r="B633" s="20"/>
      <c r="C633" s="20"/>
      <c r="D633" s="18" t="str">
        <f>'0信息维护'!A$30</f>
        <v>课程目标6</v>
      </c>
      <c r="E633" s="19">
        <f ca="1">OFFSET('1课程考核方式及成绩组成'!$F$10,(ROW(E633)-5)/7,MOD((ROW(E633)-5),7))</f>
        <v>0</v>
      </c>
      <c r="F633" s="19">
        <f ca="1">OFFSET('1课程考核方式及成绩组成'!$N$10,(ROW(F633)-5)/7,MOD((ROW(F633)-5),7))</f>
        <v>0</v>
      </c>
      <c r="G633" s="19">
        <f ca="1">OFFSET('1课程考核方式及成绩组成'!$V$10,(ROW(G633)-5)/7,MOD((ROW(G633)-5),7))</f>
        <v>0</v>
      </c>
      <c r="H633" s="19">
        <f ca="1">OFFSET('1课程考核方式及成绩组成'!$AD$10,(ROW(H633)-5)/7,MOD((ROW(H633)-5),7))</f>
        <v>0</v>
      </c>
      <c r="I633" s="19">
        <f ca="1">OFFSET('1课程考核方式及成绩组成'!$AL$10,(ROW(I633)-5)/7,MOD((ROW(I633)-5),7))</f>
        <v>0</v>
      </c>
      <c r="J633" s="25">
        <f ca="1">IF('0信息维护'!$I$115=0,0,E633/('0信息维护'!$I$115)*'0信息维护'!$E$40*'0信息维护'!$S$30)+IF('0信息维护'!$I$116=0,0,F633/('0信息维护'!$I$116)*'0信息维护'!$E$40*'0信息维护'!$T$30)+IF('0信息维护'!$I$117=0,0,G633/('0信息维护'!$I$117)*'0信息维护'!$E$40*'0信息维护'!$U$30)+IF('0信息维护'!$I$118=0,0,H633/('0信息维护'!$I$118)*'0信息维护'!$E$40*'0信息维护'!$V$30)+IF('0信息维护'!$I$119=0,0,I633/'0信息维护'!$I$119*'0信息维护'!$I$40)</f>
        <v>0</v>
      </c>
      <c r="K633" s="27"/>
    </row>
    <row r="634" spans="1:11">
      <c r="A634" s="21"/>
      <c r="B634" s="21"/>
      <c r="C634" s="21"/>
      <c r="D634" s="18" t="str">
        <f>'0信息维护'!A$31</f>
        <v>课程目标7</v>
      </c>
      <c r="E634" s="19">
        <f ca="1">OFFSET('1课程考核方式及成绩组成'!$F$10,(ROW(E634)-5)/7,MOD((ROW(E634)-5),7))</f>
        <v>0</v>
      </c>
      <c r="F634" s="19">
        <f ca="1">OFFSET('1课程考核方式及成绩组成'!$N$10,(ROW(F634)-5)/7,MOD((ROW(F634)-5),7))</f>
        <v>0</v>
      </c>
      <c r="G634" s="19">
        <f ca="1">OFFSET('1课程考核方式及成绩组成'!$V$10,(ROW(G634)-5)/7,MOD((ROW(G634)-5),7))</f>
        <v>0</v>
      </c>
      <c r="H634" s="19">
        <f ca="1">OFFSET('1课程考核方式及成绩组成'!$AD$10,(ROW(H634)-5)/7,MOD((ROW(H634)-5),7))</f>
        <v>0</v>
      </c>
      <c r="I634" s="19">
        <f ca="1">OFFSET('1课程考核方式及成绩组成'!$AL$10,(ROW(I634)-5)/7,MOD((ROW(I634)-5),7))</f>
        <v>0</v>
      </c>
      <c r="J634" s="25">
        <f ca="1">IF('0信息维护'!$I$121=0,0,E634/('0信息维护'!$I$121)*'0信息维护'!$E$41*'0信息维护'!$S$31)+IF('0信息维护'!$I$122=0,0,F634/('0信息维护'!$I$122)*'0信息维护'!$E$41*'0信息维护'!$T$31)+IF('0信息维护'!$I$123=0,0,G634/('0信息维护'!$I$123)*'0信息维护'!$E$41*'0信息维护'!$U$31)+IF('0信息维护'!$I$124=0,0,H634/('0信息维护'!$I$124)*'0信息维护'!$E$41*'0信息维护'!$T$31)+IF('0信息维护'!$I$125=0,0,I634/'0信息维护'!$I$125*'0信息维护'!$I$41)</f>
        <v>0</v>
      </c>
      <c r="K634" s="30"/>
    </row>
    <row r="635" spans="1:11">
      <c r="A635" s="17">
        <v>91</v>
      </c>
      <c r="B635" s="17" t="str">
        <f ca="1">OFFSET('1课程考核方式及成绩组成'!$D$10,(ROW(B635)-5)/7,)</f>
        <v>220106114</v>
      </c>
      <c r="C635" s="17" t="str">
        <f ca="1">OFFSET('1课程考核方式及成绩组成'!$E$10,(ROW(C635)-5)/7,)</f>
        <v>季明伟</v>
      </c>
      <c r="D635" s="18" t="str">
        <f>'0信息维护'!A$25</f>
        <v>课程目标1</v>
      </c>
      <c r="E635" s="19">
        <f ca="1">OFFSET('1课程考核方式及成绩组成'!$F$10,(ROW(E635)-5)/7,MOD((ROW(E635)-5),7))</f>
        <v>34</v>
      </c>
      <c r="F635" s="19">
        <f ca="1">OFFSET('1课程考核方式及成绩组成'!$N$10,(ROW(F635)-5)/7,MOD((ROW(F635)-5),7))</f>
        <v>0</v>
      </c>
      <c r="G635" s="19">
        <f ca="1">OFFSET('1课程考核方式及成绩组成'!$V$10,(ROW(G635)-5)/7,MOD((ROW(G635)-5),7))</f>
        <v>0</v>
      </c>
      <c r="H635" s="19">
        <f ca="1">OFFSET('1课程考核方式及成绩组成'!$AD$10,(ROW(H635)-5)/7,MOD((ROW(H635)-5),7))</f>
        <v>0</v>
      </c>
      <c r="I635" s="19">
        <f ca="1">OFFSET('1课程考核方式及成绩组成'!$AL$10,(ROW(I635)-5)/7,MOD((ROW(I635)-5),7))</f>
        <v>24</v>
      </c>
      <c r="J635" s="25">
        <f ca="1">IF('0信息维护'!$I$85=0,0,E635/('0信息维护'!$I$85)*'0信息维护'!$E$35*'0信息维护'!$S$25)+IF('0信息维护'!$I$86=0,0,F635/('0信息维护'!$I$86)*'0信息维护'!$E$35*'0信息维护'!$T$25)+IF('0信息维护'!$I$87=0,0,G635/('0信息维护'!$I$87)*'0信息维护'!$E$35*'0信息维护'!$U$25)+IF('0信息维护'!$I$88=0,0,H635/('0信息维护'!$I$88)*'0信息维护'!$E$35*'0信息维护'!$V$25)+IF('0信息维护'!$I$89=0,0,I635/'0信息维护'!$I$89*'0信息维护'!$I$35)</f>
        <v>0.758333333333333</v>
      </c>
      <c r="K635" s="26">
        <f ca="1">J635*'0信息维护'!$D$132+J636*'0信息维护'!$D$133+J637*'0信息维护'!$D$134+J638*'0信息维护'!$D$135+J639*'0信息维护'!$D$136+J640*'0信息维护'!$D$137+J641*'0信息维护'!$D$138</f>
        <v>0.869985294117647</v>
      </c>
    </row>
    <row r="636" spans="1:14">
      <c r="A636" s="20"/>
      <c r="B636" s="20"/>
      <c r="C636" s="20"/>
      <c r="D636" s="18" t="str">
        <f>'0信息维护'!A$26</f>
        <v>课程目标2</v>
      </c>
      <c r="E636" s="19">
        <f ca="1">OFFSET('1课程考核方式及成绩组成'!$F$10,(ROW(E636)-5)/7,MOD((ROW(E636)-5),7))</f>
        <v>52</v>
      </c>
      <c r="F636" s="19">
        <f ca="1">OFFSET('1课程考核方式及成绩组成'!$N$10,(ROW(F636)-5)/7,MOD((ROW(F636)-5),7))</f>
        <v>0</v>
      </c>
      <c r="G636" s="19">
        <f ca="1">OFFSET('1课程考核方式及成绩组成'!$V$10,(ROW(G636)-5)/7,MOD((ROW(G636)-5),7))</f>
        <v>0</v>
      </c>
      <c r="H636" s="19">
        <f ca="1">OFFSET('1课程考核方式及成绩组成'!$AD$10,(ROW(H636)-5)/7,MOD((ROW(H636)-5),7))</f>
        <v>0</v>
      </c>
      <c r="I636" s="19">
        <f ca="1">OFFSET('1课程考核方式及成绩组成'!$AL$10,(ROW(I636)-5)/7,MOD((ROW(I636)-5),7))</f>
        <v>28</v>
      </c>
      <c r="J636" s="25">
        <f ca="1">IF('0信息维护'!$I$91=0,0,E636/('0信息维护'!$I$91)*'0信息维护'!$S$26*'0信息维护'!$E$36)+IF('0信息维护'!$I$92=0,0,F636/('0信息维护'!$I$92)*'0信息维护'!$T$26*'0信息维护'!$E$36)+IF('0信息维护'!$I$93=0,0,G636/('0信息维护'!$I$93)*'0信息维护'!$U$26*'0信息维护'!$E$36)+IF('0信息维护'!$I$94=0,0,H636/('0信息维护'!$I$94)*'0信息维护'!$V$26*'0信息维护'!$E$36)+IF('0信息维护'!$I$95=0,0,I636/'0信息维护'!$I$95*'0信息维护'!$I$36)</f>
        <v>0.9</v>
      </c>
      <c r="K636" s="27"/>
      <c r="N636" s="29"/>
    </row>
    <row r="637" spans="1:11">
      <c r="A637" s="20"/>
      <c r="B637" s="20"/>
      <c r="C637" s="20"/>
      <c r="D637" s="18" t="str">
        <f>'0信息维护'!A$27</f>
        <v>课程目标3</v>
      </c>
      <c r="E637" s="19">
        <f ca="1">OFFSET('1课程考核方式及成绩组成'!$F$10,(ROW(E637)-5)/7,MOD((ROW(E637)-5),7))</f>
        <v>0</v>
      </c>
      <c r="F637" s="19">
        <f ca="1">OFFSET('1课程考核方式及成绩组成'!$N$10,(ROW(F637)-5)/7,MOD((ROW(F637)-5),7))</f>
        <v>0</v>
      </c>
      <c r="G637" s="19">
        <f ca="1">OFFSET('1课程考核方式及成绩组成'!$V$10,(ROW(G637)-5)/7,MOD((ROW(G637)-5),7))</f>
        <v>0</v>
      </c>
      <c r="H637" s="19">
        <f ca="1">OFFSET('1课程考核方式及成绩组成'!$AD$10,(ROW(H637)-5)/7,MOD((ROW(H637)-5),7))</f>
        <v>0</v>
      </c>
      <c r="I637" s="19">
        <f ca="1">OFFSET('1课程考核方式及成绩组成'!$AL$10,(ROW(I637)-5)/7,MOD((ROW(I637)-5),7))</f>
        <v>29</v>
      </c>
      <c r="J637" s="25">
        <f ca="1">IF('0信息维护'!$I$97=0,0,E637/('0信息维护'!$I$97)*'0信息维护'!$E$37*'0信息维护'!$S$27)+IF('0信息维护'!$I$98=0,0,F637/('0信息维护'!$I$98)*'0信息维护'!$E$37*'0信息维护'!$T$27)+IF('0信息维护'!$I$99=0,0,G637/('0信息维护'!$I$99)*'0信息维护'!$E$37*'0信息维护'!$U$27)+IF('0信息维护'!$I$100=0,0,H637/('0信息维护'!$I$100)*'0信息维护'!$E$37*'0信息维护'!$V$27)+IF('0信息维护'!$I$101=0,0,I637/'0信息维护'!$I$101*'0信息维护'!$I$37)</f>
        <v>0.852941176470588</v>
      </c>
      <c r="K637" s="27"/>
    </row>
    <row r="638" spans="1:11">
      <c r="A638" s="20"/>
      <c r="B638" s="20"/>
      <c r="C638" s="20"/>
      <c r="D638" s="18" t="str">
        <f>'0信息维护'!A$28</f>
        <v>课程目标4</v>
      </c>
      <c r="E638" s="19">
        <f ca="1">OFFSET('1课程考核方式及成绩组成'!$F$10,(ROW(E638)-5)/7,MOD((ROW(E638)-5),7))</f>
        <v>0</v>
      </c>
      <c r="F638" s="19">
        <f ca="1">OFFSET('1课程考核方式及成绩组成'!$N$10,(ROW(F638)-5)/7,MOD((ROW(F638)-5),7))</f>
        <v>91</v>
      </c>
      <c r="G638" s="19">
        <f ca="1">OFFSET('1课程考核方式及成绩组成'!$V$10,(ROW(G638)-5)/7,MOD((ROW(G638)-5),7))</f>
        <v>0</v>
      </c>
      <c r="H638" s="19">
        <f ca="1">OFFSET('1课程考核方式及成绩组成'!$AD$10,(ROW(H638)-5)/7,MOD((ROW(H638)-5),7))</f>
        <v>0</v>
      </c>
      <c r="I638" s="19">
        <f ca="1">OFFSET('1课程考核方式及成绩组成'!$AL$10,(ROW(I638)-5)/7,MOD((ROW(I638)-5),7))</f>
        <v>0</v>
      </c>
      <c r="J638" s="25">
        <f ca="1">IF('0信息维护'!$I$103=0,0,E638/('0信息维护'!$I$103)*'0信息维护'!$E$38*'0信息维护'!$S$28)+IF('0信息维护'!$I$104=0,0,F638/('0信息维护'!$I$104)*'0信息维护'!$E$38*'0信息维护'!$T$28)+IF('0信息维护'!$I$105=0,0,G638/('0信息维护'!$I$105)*'0信息维护'!$E$38*'0信息维护'!$U$28)+IF('0信息维护'!$I$106=0,0,H638/('0信息维护'!$I$106)*'0信息维护'!$E$38*'0信息维护'!$V$28)+IF('0信息维护'!$I$107=0,0,I638/'0信息维护'!$I$107*'0信息维护'!$I$38)</f>
        <v>0.91</v>
      </c>
      <c r="K638" s="27"/>
    </row>
    <row r="639" spans="1:11">
      <c r="A639" s="20"/>
      <c r="B639" s="20"/>
      <c r="C639" s="20"/>
      <c r="D639" s="18" t="str">
        <f>'0信息维护'!A$29</f>
        <v>课程目标5</v>
      </c>
      <c r="E639" s="19">
        <f ca="1">OFFSET('1课程考核方式及成绩组成'!$F$10,(ROW(E639)-5)/7,MOD((ROW(E639)-5),7))</f>
        <v>0</v>
      </c>
      <c r="F639" s="19">
        <f ca="1">OFFSET('1课程考核方式及成绩组成'!$N$10,(ROW(F639)-5)/7,MOD((ROW(F639)-5),7))</f>
        <v>0</v>
      </c>
      <c r="G639" s="19">
        <f ca="1">OFFSET('1课程考核方式及成绩组成'!$V$10,(ROW(G639)-5)/7,MOD((ROW(G639)-5),7))</f>
        <v>0</v>
      </c>
      <c r="H639" s="19">
        <f ca="1">OFFSET('1课程考核方式及成绩组成'!$AD$10,(ROW(H639)-5)/7,MOD((ROW(H639)-5),7))</f>
        <v>0</v>
      </c>
      <c r="I639" s="19">
        <f ca="1">OFFSET('1课程考核方式及成绩组成'!$AL$10,(ROW(I639)-5)/7,MOD((ROW(I639)-5),7))</f>
        <v>0</v>
      </c>
      <c r="J639" s="25">
        <f ca="1">IF('0信息维护'!$I$109=0,0,E639/('0信息维护'!$I$109)*'0信息维护'!$E$39*'0信息维护'!$S$29)+IF('0信息维护'!$I$110=0,0,F639/('0信息维护'!$I$110)*'0信息维护'!$E$39*'0信息维护'!$T$29)+IF('0信息维护'!$I$111=0,0,G639/('0信息维护'!$I$111)*'0信息维护'!$E$39*'0信息维护'!$U$29)+IF('0信息维护'!$I$112=0,0,H639/('0信息维护'!$I$112)*'0信息维护'!$E$39*'0信息维护'!$V$29)+IF('0信息维护'!$I$113=0,0,I639/'0信息维护'!$I$113*'0信息维护'!$I$39)</f>
        <v>0</v>
      </c>
      <c r="K639" s="27"/>
    </row>
    <row r="640" spans="1:11">
      <c r="A640" s="20"/>
      <c r="B640" s="20"/>
      <c r="C640" s="20"/>
      <c r="D640" s="18" t="str">
        <f>'0信息维护'!A$30</f>
        <v>课程目标6</v>
      </c>
      <c r="E640" s="19">
        <f ca="1">OFFSET('1课程考核方式及成绩组成'!$F$10,(ROW(E640)-5)/7,MOD((ROW(E640)-5),7))</f>
        <v>0</v>
      </c>
      <c r="F640" s="19">
        <f ca="1">OFFSET('1课程考核方式及成绩组成'!$N$10,(ROW(F640)-5)/7,MOD((ROW(F640)-5),7))</f>
        <v>0</v>
      </c>
      <c r="G640" s="19">
        <f ca="1">OFFSET('1课程考核方式及成绩组成'!$V$10,(ROW(G640)-5)/7,MOD((ROW(G640)-5),7))</f>
        <v>0</v>
      </c>
      <c r="H640" s="19">
        <f ca="1">OFFSET('1课程考核方式及成绩组成'!$AD$10,(ROW(H640)-5)/7,MOD((ROW(H640)-5),7))</f>
        <v>0</v>
      </c>
      <c r="I640" s="19">
        <f ca="1">OFFSET('1课程考核方式及成绩组成'!$AL$10,(ROW(I640)-5)/7,MOD((ROW(I640)-5),7))</f>
        <v>0</v>
      </c>
      <c r="J640" s="25">
        <f ca="1">IF('0信息维护'!$I$115=0,0,E640/('0信息维护'!$I$115)*'0信息维护'!$E$40*'0信息维护'!$S$30)+IF('0信息维护'!$I$116=0,0,F640/('0信息维护'!$I$116)*'0信息维护'!$E$40*'0信息维护'!$T$30)+IF('0信息维护'!$I$117=0,0,G640/('0信息维护'!$I$117)*'0信息维护'!$E$40*'0信息维护'!$U$30)+IF('0信息维护'!$I$118=0,0,H640/('0信息维护'!$I$118)*'0信息维护'!$E$40*'0信息维护'!$V$30)+IF('0信息维护'!$I$119=0,0,I640/'0信息维护'!$I$119*'0信息维护'!$I$40)</f>
        <v>0</v>
      </c>
      <c r="K640" s="27"/>
    </row>
    <row r="641" spans="1:11">
      <c r="A641" s="21"/>
      <c r="B641" s="21"/>
      <c r="C641" s="21"/>
      <c r="D641" s="18" t="str">
        <f>'0信息维护'!A$31</f>
        <v>课程目标7</v>
      </c>
      <c r="E641" s="19">
        <f ca="1">OFFSET('1课程考核方式及成绩组成'!$F$10,(ROW(E641)-5)/7,MOD((ROW(E641)-5),7))</f>
        <v>0</v>
      </c>
      <c r="F641" s="19">
        <f ca="1">OFFSET('1课程考核方式及成绩组成'!$N$10,(ROW(F641)-5)/7,MOD((ROW(F641)-5),7))</f>
        <v>0</v>
      </c>
      <c r="G641" s="19">
        <f ca="1">OFFSET('1课程考核方式及成绩组成'!$V$10,(ROW(G641)-5)/7,MOD((ROW(G641)-5),7))</f>
        <v>0</v>
      </c>
      <c r="H641" s="19">
        <f ca="1">OFFSET('1课程考核方式及成绩组成'!$AD$10,(ROW(H641)-5)/7,MOD((ROW(H641)-5),7))</f>
        <v>0</v>
      </c>
      <c r="I641" s="19">
        <f ca="1">OFFSET('1课程考核方式及成绩组成'!$AL$10,(ROW(I641)-5)/7,MOD((ROW(I641)-5),7))</f>
        <v>0</v>
      </c>
      <c r="J641" s="25">
        <f ca="1">IF('0信息维护'!$I$121=0,0,E641/('0信息维护'!$I$121)*'0信息维护'!$E$41*'0信息维护'!$S$31)+IF('0信息维护'!$I$122=0,0,F641/('0信息维护'!$I$122)*'0信息维护'!$E$41*'0信息维护'!$T$31)+IF('0信息维护'!$I$123=0,0,G641/('0信息维护'!$I$123)*'0信息维护'!$E$41*'0信息维护'!$U$31)+IF('0信息维护'!$I$124=0,0,H641/('0信息维护'!$I$124)*'0信息维护'!$E$41*'0信息维护'!$T$31)+IF('0信息维护'!$I$125=0,0,I641/'0信息维护'!$I$125*'0信息维护'!$I$41)</f>
        <v>0</v>
      </c>
      <c r="K641" s="30"/>
    </row>
    <row r="642" spans="1:11">
      <c r="A642" s="17">
        <v>92</v>
      </c>
      <c r="B642" s="17" t="str">
        <f ca="1">OFFSET('1课程考核方式及成绩组成'!$D$10,(ROW(B642)-5)/7,)</f>
        <v>220106115</v>
      </c>
      <c r="C642" s="17" t="str">
        <f ca="1">OFFSET('1课程考核方式及成绩组成'!$E$10,(ROW(C642)-5)/7,)</f>
        <v>刘芫宏</v>
      </c>
      <c r="D642" s="18" t="str">
        <f>'0信息维护'!A$25</f>
        <v>课程目标1</v>
      </c>
      <c r="E642" s="19">
        <f ca="1">OFFSET('1课程考核方式及成绩组成'!$F$10,(ROW(E642)-5)/7,MOD((ROW(E642)-5),7))</f>
        <v>34</v>
      </c>
      <c r="F642" s="19">
        <f ca="1">OFFSET('1课程考核方式及成绩组成'!$N$10,(ROW(F642)-5)/7,MOD((ROW(F642)-5),7))</f>
        <v>0</v>
      </c>
      <c r="G642" s="19">
        <f ca="1">OFFSET('1课程考核方式及成绩组成'!$V$10,(ROW(G642)-5)/7,MOD((ROW(G642)-5),7))</f>
        <v>0</v>
      </c>
      <c r="H642" s="19">
        <f ca="1">OFFSET('1课程考核方式及成绩组成'!$AD$10,(ROW(H642)-5)/7,MOD((ROW(H642)-5),7))</f>
        <v>0</v>
      </c>
      <c r="I642" s="19">
        <f ca="1">OFFSET('1课程考核方式及成绩组成'!$AL$10,(ROW(I642)-5)/7,MOD((ROW(I642)-5),7))</f>
        <v>30</v>
      </c>
      <c r="J642" s="25">
        <f ca="1">IF('0信息维护'!$I$85=0,0,E642/('0信息维护'!$I$85)*'0信息维护'!$E$35*'0信息维护'!$S$25)+IF('0信息维护'!$I$86=0,0,F642/('0信息维护'!$I$86)*'0信息维护'!$E$35*'0信息维护'!$T$25)+IF('0信息维护'!$I$87=0,0,G642/('0信息维护'!$I$87)*'0信息维护'!$E$35*'0信息维护'!$U$25)+IF('0信息维护'!$I$88=0,0,H642/('0信息维护'!$I$88)*'0信息维护'!$E$35*'0信息维护'!$V$25)+IF('0信息维护'!$I$89=0,0,I642/'0信息维护'!$I$89*'0信息维护'!$I$35)</f>
        <v>0.841666666666667</v>
      </c>
      <c r="K642" s="26">
        <f ca="1">J642*'0信息维护'!$D$132+J643*'0信息维护'!$D$133+J644*'0信息维护'!$D$134+J645*'0信息维护'!$D$135+J646*'0信息维护'!$D$136+J647*'0信息维护'!$D$137+J648*'0信息维护'!$D$138</f>
        <v>0.736161764705882</v>
      </c>
    </row>
    <row r="643" spans="1:14">
      <c r="A643" s="20"/>
      <c r="B643" s="20"/>
      <c r="C643" s="20"/>
      <c r="D643" s="18" t="str">
        <f>'0信息维护'!A$26</f>
        <v>课程目标2</v>
      </c>
      <c r="E643" s="19">
        <f ca="1">OFFSET('1课程考核方式及成绩组成'!$F$10,(ROW(E643)-5)/7,MOD((ROW(E643)-5),7))</f>
        <v>51</v>
      </c>
      <c r="F643" s="19">
        <f ca="1">OFFSET('1课程考核方式及成绩组成'!$N$10,(ROW(F643)-5)/7,MOD((ROW(F643)-5),7))</f>
        <v>0</v>
      </c>
      <c r="G643" s="19">
        <f ca="1">OFFSET('1课程考核方式及成绩组成'!$V$10,(ROW(G643)-5)/7,MOD((ROW(G643)-5),7))</f>
        <v>0</v>
      </c>
      <c r="H643" s="19">
        <f ca="1">OFFSET('1课程考核方式及成绩组成'!$AD$10,(ROW(H643)-5)/7,MOD((ROW(H643)-5),7))</f>
        <v>0</v>
      </c>
      <c r="I643" s="19">
        <f ca="1">OFFSET('1课程考核方式及成绩组成'!$AL$10,(ROW(I643)-5)/7,MOD((ROW(I643)-5),7))</f>
        <v>20</v>
      </c>
      <c r="J643" s="25">
        <f ca="1">IF('0信息维护'!$I$91=0,0,E643/('0信息维护'!$I$91)*'0信息维护'!$S$26*'0信息维护'!$E$36)+IF('0信息维护'!$I$92=0,0,F643/('0信息维护'!$I$92)*'0信息维护'!$T$26*'0信息维护'!$E$36)+IF('0信息维护'!$I$93=0,0,G643/('0信息维护'!$I$93)*'0信息维护'!$U$26*'0信息维护'!$E$36)+IF('0信息维护'!$I$94=0,0,H643/('0信息维护'!$I$94)*'0信息维护'!$V$26*'0信息维护'!$E$36)+IF('0信息维护'!$I$95=0,0,I643/'0信息维护'!$I$95*'0信息维护'!$I$36)</f>
        <v>0.758333333333333</v>
      </c>
      <c r="K643" s="27"/>
      <c r="N643" s="29"/>
    </row>
    <row r="644" spans="1:11">
      <c r="A644" s="20"/>
      <c r="B644" s="20"/>
      <c r="C644" s="20"/>
      <c r="D644" s="18" t="str">
        <f>'0信息维护'!A$27</f>
        <v>课程目标3</v>
      </c>
      <c r="E644" s="19">
        <f ca="1">OFFSET('1课程考核方式及成绩组成'!$F$10,(ROW(E644)-5)/7,MOD((ROW(E644)-5),7))</f>
        <v>0</v>
      </c>
      <c r="F644" s="19">
        <f ca="1">OFFSET('1课程考核方式及成绩组成'!$N$10,(ROW(F644)-5)/7,MOD((ROW(F644)-5),7))</f>
        <v>0</v>
      </c>
      <c r="G644" s="19">
        <f ca="1">OFFSET('1课程考核方式及成绩组成'!$V$10,(ROW(G644)-5)/7,MOD((ROW(G644)-5),7))</f>
        <v>0</v>
      </c>
      <c r="H644" s="19">
        <f ca="1">OFFSET('1课程考核方式及成绩组成'!$AD$10,(ROW(H644)-5)/7,MOD((ROW(H644)-5),7))</f>
        <v>0</v>
      </c>
      <c r="I644" s="19">
        <f ca="1">OFFSET('1课程考核方式及成绩组成'!$AL$10,(ROW(I644)-5)/7,MOD((ROW(I644)-5),7))</f>
        <v>21</v>
      </c>
      <c r="J644" s="25">
        <f ca="1">IF('0信息维护'!$I$97=0,0,E644/('0信息维护'!$I$97)*'0信息维护'!$E$37*'0信息维护'!$S$27)+IF('0信息维护'!$I$98=0,0,F644/('0信息维护'!$I$98)*'0信息维护'!$E$37*'0信息维护'!$T$27)+IF('0信息维护'!$I$99=0,0,G644/('0信息维护'!$I$99)*'0信息维护'!$E$37*'0信息维护'!$U$27)+IF('0信息维护'!$I$100=0,0,H644/('0信息维护'!$I$100)*'0信息维护'!$E$37*'0信息维护'!$V$27)+IF('0信息维护'!$I$101=0,0,I644/'0信息维护'!$I$101*'0信息维护'!$I$37)</f>
        <v>0.617647058823529</v>
      </c>
      <c r="K644" s="27"/>
    </row>
    <row r="645" spans="1:11">
      <c r="A645" s="20"/>
      <c r="B645" s="20"/>
      <c r="C645" s="20"/>
      <c r="D645" s="18" t="str">
        <f>'0信息维护'!A$28</f>
        <v>课程目标4</v>
      </c>
      <c r="E645" s="19">
        <f ca="1">OFFSET('1课程考核方式及成绩组成'!$F$10,(ROW(E645)-5)/7,MOD((ROW(E645)-5),7))</f>
        <v>0</v>
      </c>
      <c r="F645" s="19">
        <f ca="1">OFFSET('1课程考核方式及成绩组成'!$N$10,(ROW(F645)-5)/7,MOD((ROW(F645)-5),7))</f>
        <v>76</v>
      </c>
      <c r="G645" s="19">
        <f ca="1">OFFSET('1课程考核方式及成绩组成'!$V$10,(ROW(G645)-5)/7,MOD((ROW(G645)-5),7))</f>
        <v>0</v>
      </c>
      <c r="H645" s="19">
        <f ca="1">OFFSET('1课程考核方式及成绩组成'!$AD$10,(ROW(H645)-5)/7,MOD((ROW(H645)-5),7))</f>
        <v>0</v>
      </c>
      <c r="I645" s="19">
        <f ca="1">OFFSET('1课程考核方式及成绩组成'!$AL$10,(ROW(I645)-5)/7,MOD((ROW(I645)-5),7))</f>
        <v>0</v>
      </c>
      <c r="J645" s="25">
        <f ca="1">IF('0信息维护'!$I$103=0,0,E645/('0信息维护'!$I$103)*'0信息维护'!$E$38*'0信息维护'!$S$28)+IF('0信息维护'!$I$104=0,0,F645/('0信息维护'!$I$104)*'0信息维护'!$E$38*'0信息维护'!$T$28)+IF('0信息维护'!$I$105=0,0,G645/('0信息维护'!$I$105)*'0信息维护'!$E$38*'0信息维护'!$U$28)+IF('0信息维护'!$I$106=0,0,H645/('0信息维护'!$I$106)*'0信息维护'!$E$38*'0信息维护'!$V$28)+IF('0信息维护'!$I$107=0,0,I645/'0信息维护'!$I$107*'0信息维护'!$I$38)</f>
        <v>0.76</v>
      </c>
      <c r="K645" s="27"/>
    </row>
    <row r="646" spans="1:11">
      <c r="A646" s="20"/>
      <c r="B646" s="20"/>
      <c r="C646" s="20"/>
      <c r="D646" s="18" t="str">
        <f>'0信息维护'!A$29</f>
        <v>课程目标5</v>
      </c>
      <c r="E646" s="19">
        <f ca="1">OFFSET('1课程考核方式及成绩组成'!$F$10,(ROW(E646)-5)/7,MOD((ROW(E646)-5),7))</f>
        <v>0</v>
      </c>
      <c r="F646" s="19">
        <f ca="1">OFFSET('1课程考核方式及成绩组成'!$N$10,(ROW(F646)-5)/7,MOD((ROW(F646)-5),7))</f>
        <v>0</v>
      </c>
      <c r="G646" s="19">
        <f ca="1">OFFSET('1课程考核方式及成绩组成'!$V$10,(ROW(G646)-5)/7,MOD((ROW(G646)-5),7))</f>
        <v>0</v>
      </c>
      <c r="H646" s="19">
        <f ca="1">OFFSET('1课程考核方式及成绩组成'!$AD$10,(ROW(H646)-5)/7,MOD((ROW(H646)-5),7))</f>
        <v>0</v>
      </c>
      <c r="I646" s="19">
        <f ca="1">OFFSET('1课程考核方式及成绩组成'!$AL$10,(ROW(I646)-5)/7,MOD((ROW(I646)-5),7))</f>
        <v>0</v>
      </c>
      <c r="J646" s="25">
        <f ca="1">IF('0信息维护'!$I$109=0,0,E646/('0信息维护'!$I$109)*'0信息维护'!$E$39*'0信息维护'!$S$29)+IF('0信息维护'!$I$110=0,0,F646/('0信息维护'!$I$110)*'0信息维护'!$E$39*'0信息维护'!$T$29)+IF('0信息维护'!$I$111=0,0,G646/('0信息维护'!$I$111)*'0信息维护'!$E$39*'0信息维护'!$U$29)+IF('0信息维护'!$I$112=0,0,H646/('0信息维护'!$I$112)*'0信息维护'!$E$39*'0信息维护'!$V$29)+IF('0信息维护'!$I$113=0,0,I646/'0信息维护'!$I$113*'0信息维护'!$I$39)</f>
        <v>0</v>
      </c>
      <c r="K646" s="27"/>
    </row>
    <row r="647" spans="1:11">
      <c r="A647" s="20"/>
      <c r="B647" s="20"/>
      <c r="C647" s="20"/>
      <c r="D647" s="18" t="str">
        <f>'0信息维护'!A$30</f>
        <v>课程目标6</v>
      </c>
      <c r="E647" s="19">
        <f ca="1">OFFSET('1课程考核方式及成绩组成'!$F$10,(ROW(E647)-5)/7,MOD((ROW(E647)-5),7))</f>
        <v>0</v>
      </c>
      <c r="F647" s="19">
        <f ca="1">OFFSET('1课程考核方式及成绩组成'!$N$10,(ROW(F647)-5)/7,MOD((ROW(F647)-5),7))</f>
        <v>0</v>
      </c>
      <c r="G647" s="19">
        <f ca="1">OFFSET('1课程考核方式及成绩组成'!$V$10,(ROW(G647)-5)/7,MOD((ROW(G647)-5),7))</f>
        <v>0</v>
      </c>
      <c r="H647" s="19">
        <f ca="1">OFFSET('1课程考核方式及成绩组成'!$AD$10,(ROW(H647)-5)/7,MOD((ROW(H647)-5),7))</f>
        <v>0</v>
      </c>
      <c r="I647" s="19">
        <f ca="1">OFFSET('1课程考核方式及成绩组成'!$AL$10,(ROW(I647)-5)/7,MOD((ROW(I647)-5),7))</f>
        <v>0</v>
      </c>
      <c r="J647" s="25">
        <f ca="1">IF('0信息维护'!$I$115=0,0,E647/('0信息维护'!$I$115)*'0信息维护'!$E$40*'0信息维护'!$S$30)+IF('0信息维护'!$I$116=0,0,F647/('0信息维护'!$I$116)*'0信息维护'!$E$40*'0信息维护'!$T$30)+IF('0信息维护'!$I$117=0,0,G647/('0信息维护'!$I$117)*'0信息维护'!$E$40*'0信息维护'!$U$30)+IF('0信息维护'!$I$118=0,0,H647/('0信息维护'!$I$118)*'0信息维护'!$E$40*'0信息维护'!$V$30)+IF('0信息维护'!$I$119=0,0,I647/'0信息维护'!$I$119*'0信息维护'!$I$40)</f>
        <v>0</v>
      </c>
      <c r="K647" s="27"/>
    </row>
    <row r="648" spans="1:11">
      <c r="A648" s="21"/>
      <c r="B648" s="21"/>
      <c r="C648" s="21"/>
      <c r="D648" s="18" t="str">
        <f>'0信息维护'!A$31</f>
        <v>课程目标7</v>
      </c>
      <c r="E648" s="19">
        <f ca="1">OFFSET('1课程考核方式及成绩组成'!$F$10,(ROW(E648)-5)/7,MOD((ROW(E648)-5),7))</f>
        <v>0</v>
      </c>
      <c r="F648" s="19">
        <f ca="1">OFFSET('1课程考核方式及成绩组成'!$N$10,(ROW(F648)-5)/7,MOD((ROW(F648)-5),7))</f>
        <v>0</v>
      </c>
      <c r="G648" s="19">
        <f ca="1">OFFSET('1课程考核方式及成绩组成'!$V$10,(ROW(G648)-5)/7,MOD((ROW(G648)-5),7))</f>
        <v>0</v>
      </c>
      <c r="H648" s="19">
        <f ca="1">OFFSET('1课程考核方式及成绩组成'!$AD$10,(ROW(H648)-5)/7,MOD((ROW(H648)-5),7))</f>
        <v>0</v>
      </c>
      <c r="I648" s="19">
        <f ca="1">OFFSET('1课程考核方式及成绩组成'!$AL$10,(ROW(I648)-5)/7,MOD((ROW(I648)-5),7))</f>
        <v>0</v>
      </c>
      <c r="J648" s="25">
        <f ca="1">IF('0信息维护'!$I$121=0,0,E648/('0信息维护'!$I$121)*'0信息维护'!$E$41*'0信息维护'!$S$31)+IF('0信息维护'!$I$122=0,0,F648/('0信息维护'!$I$122)*'0信息维护'!$E$41*'0信息维护'!$T$31)+IF('0信息维护'!$I$123=0,0,G648/('0信息维护'!$I$123)*'0信息维护'!$E$41*'0信息维护'!$U$31)+IF('0信息维护'!$I$124=0,0,H648/('0信息维护'!$I$124)*'0信息维护'!$E$41*'0信息维护'!$T$31)+IF('0信息维护'!$I$125=0,0,I648/'0信息维护'!$I$125*'0信息维护'!$I$41)</f>
        <v>0</v>
      </c>
      <c r="K648" s="30"/>
    </row>
    <row r="649" spans="1:11">
      <c r="A649" s="17">
        <v>93</v>
      </c>
      <c r="B649" s="17" t="str">
        <f ca="1">OFFSET('1课程考核方式及成绩组成'!$D$10,(ROW(B649)-5)/7,)</f>
        <v>220106116</v>
      </c>
      <c r="C649" s="17" t="str">
        <f ca="1">OFFSET('1课程考核方式及成绩组成'!$E$10,(ROW(C649)-5)/7,)</f>
        <v>李云伟</v>
      </c>
      <c r="D649" s="18" t="str">
        <f>'0信息维护'!A$25</f>
        <v>课程目标1</v>
      </c>
      <c r="E649" s="19">
        <f ca="1">OFFSET('1课程考核方式及成绩组成'!$F$10,(ROW(E649)-5)/7,MOD((ROW(E649)-5),7))</f>
        <v>35</v>
      </c>
      <c r="F649" s="19">
        <f ca="1">OFFSET('1课程考核方式及成绩组成'!$N$10,(ROW(F649)-5)/7,MOD((ROW(F649)-5),7))</f>
        <v>0</v>
      </c>
      <c r="G649" s="19">
        <f ca="1">OFFSET('1课程考核方式及成绩组成'!$V$10,(ROW(G649)-5)/7,MOD((ROW(G649)-5),7))</f>
        <v>0</v>
      </c>
      <c r="H649" s="19">
        <f ca="1">OFFSET('1课程考核方式及成绩组成'!$AD$10,(ROW(H649)-5)/7,MOD((ROW(H649)-5),7))</f>
        <v>0</v>
      </c>
      <c r="I649" s="19">
        <f ca="1">OFFSET('1课程考核方式及成绩组成'!$AL$10,(ROW(I649)-5)/7,MOD((ROW(I649)-5),7))</f>
        <v>28</v>
      </c>
      <c r="J649" s="25">
        <f ca="1">IF('0信息维护'!$I$85=0,0,E649/('0信息维护'!$I$85)*'0信息维护'!$E$35*'0信息维护'!$S$25)+IF('0信息维护'!$I$86=0,0,F649/('0信息维护'!$I$86)*'0信息维护'!$E$35*'0信息维护'!$T$25)+IF('0信息维护'!$I$87=0,0,G649/('0信息维护'!$I$87)*'0信息维护'!$E$35*'0信息维护'!$U$25)+IF('0信息维护'!$I$88=0,0,H649/('0信息维护'!$I$88)*'0信息维护'!$E$35*'0信息维护'!$V$25)+IF('0信息维护'!$I$89=0,0,I649/'0信息维护'!$I$89*'0信息维护'!$I$35)</f>
        <v>0.826388888888889</v>
      </c>
      <c r="K649" s="26">
        <f ca="1">J649*'0信息维护'!$D$132+J650*'0信息维护'!$D$133+J651*'0信息维护'!$D$134+J652*'0信息维护'!$D$135+J653*'0信息维护'!$D$136+J654*'0信息维护'!$D$137+J655*'0信息维护'!$D$138</f>
        <v>0.715164215686275</v>
      </c>
    </row>
    <row r="650" spans="1:14">
      <c r="A650" s="20"/>
      <c r="B650" s="20"/>
      <c r="C650" s="20"/>
      <c r="D650" s="18" t="str">
        <f>'0信息维护'!A$26</f>
        <v>课程目标2</v>
      </c>
      <c r="E650" s="19">
        <f ca="1">OFFSET('1课程考核方式及成绩组成'!$F$10,(ROW(E650)-5)/7,MOD((ROW(E650)-5),7))</f>
        <v>53</v>
      </c>
      <c r="F650" s="19">
        <f ca="1">OFFSET('1课程考核方式及成绩组成'!$N$10,(ROW(F650)-5)/7,MOD((ROW(F650)-5),7))</f>
        <v>0</v>
      </c>
      <c r="G650" s="19">
        <f ca="1">OFFSET('1课程考核方式及成绩组成'!$V$10,(ROW(G650)-5)/7,MOD((ROW(G650)-5),7))</f>
        <v>0</v>
      </c>
      <c r="H650" s="19">
        <f ca="1">OFFSET('1课程考核方式及成绩组成'!$AD$10,(ROW(H650)-5)/7,MOD((ROW(H650)-5),7))</f>
        <v>0</v>
      </c>
      <c r="I650" s="19">
        <f ca="1">OFFSET('1课程考核方式及成绩组成'!$AL$10,(ROW(I650)-5)/7,MOD((ROW(I650)-5),7))</f>
        <v>17</v>
      </c>
      <c r="J650" s="25">
        <f ca="1">IF('0信息维护'!$I$91=0,0,E650/('0信息维护'!$I$91)*'0信息维护'!$S$26*'0信息维护'!$E$36)+IF('0信息维护'!$I$92=0,0,F650/('0信息维护'!$I$92)*'0信息维护'!$T$26*'0信息维护'!$E$36)+IF('0信息维护'!$I$93=0,0,G650/('0信息维护'!$I$93)*'0信息维护'!$U$26*'0信息维护'!$E$36)+IF('0信息维护'!$I$94=0,0,H650/('0信息维护'!$I$94)*'0信息维护'!$V$26*'0信息维护'!$E$36)+IF('0信息维护'!$I$95=0,0,I650/'0信息维护'!$I$95*'0信息维护'!$I$36)</f>
        <v>0.725</v>
      </c>
      <c r="K650" s="27"/>
      <c r="N650" s="29"/>
    </row>
    <row r="651" spans="1:11">
      <c r="A651" s="20"/>
      <c r="B651" s="20"/>
      <c r="C651" s="20"/>
      <c r="D651" s="18" t="str">
        <f>'0信息维护'!A$27</f>
        <v>课程目标3</v>
      </c>
      <c r="E651" s="19">
        <f ca="1">OFFSET('1课程考核方式及成绩组成'!$F$10,(ROW(E651)-5)/7,MOD((ROW(E651)-5),7))</f>
        <v>0</v>
      </c>
      <c r="F651" s="19">
        <f ca="1">OFFSET('1课程考核方式及成绩组成'!$N$10,(ROW(F651)-5)/7,MOD((ROW(F651)-5),7))</f>
        <v>0</v>
      </c>
      <c r="G651" s="19">
        <f ca="1">OFFSET('1课程考核方式及成绩组成'!$V$10,(ROW(G651)-5)/7,MOD((ROW(G651)-5),7))</f>
        <v>0</v>
      </c>
      <c r="H651" s="19">
        <f ca="1">OFFSET('1课程考核方式及成绩组成'!$AD$10,(ROW(H651)-5)/7,MOD((ROW(H651)-5),7))</f>
        <v>0</v>
      </c>
      <c r="I651" s="19">
        <f ca="1">OFFSET('1课程考核方式及成绩组成'!$AL$10,(ROW(I651)-5)/7,MOD((ROW(I651)-5),7))</f>
        <v>19</v>
      </c>
      <c r="J651" s="25">
        <f ca="1">IF('0信息维护'!$I$97=0,0,E651/('0信息维护'!$I$97)*'0信息维护'!$E$37*'0信息维护'!$S$27)+IF('0信息维护'!$I$98=0,0,F651/('0信息维护'!$I$98)*'0信息维护'!$E$37*'0信息维护'!$T$27)+IF('0信息维护'!$I$99=0,0,G651/('0信息维护'!$I$99)*'0信息维护'!$E$37*'0信息维护'!$U$27)+IF('0信息维护'!$I$100=0,0,H651/('0信息维护'!$I$100)*'0信息维护'!$E$37*'0信息维护'!$V$27)+IF('0信息维护'!$I$101=0,0,I651/'0信息维护'!$I$101*'0信息维护'!$I$37)</f>
        <v>0.558823529411765</v>
      </c>
      <c r="K651" s="27"/>
    </row>
    <row r="652" spans="1:11">
      <c r="A652" s="20"/>
      <c r="B652" s="20"/>
      <c r="C652" s="20"/>
      <c r="D652" s="18" t="str">
        <f>'0信息维护'!A$28</f>
        <v>课程目标4</v>
      </c>
      <c r="E652" s="19">
        <f ca="1">OFFSET('1课程考核方式及成绩组成'!$F$10,(ROW(E652)-5)/7,MOD((ROW(E652)-5),7))</f>
        <v>0</v>
      </c>
      <c r="F652" s="19">
        <f ca="1">OFFSET('1课程考核方式及成绩组成'!$N$10,(ROW(F652)-5)/7,MOD((ROW(F652)-5),7))</f>
        <v>78</v>
      </c>
      <c r="G652" s="19">
        <f ca="1">OFFSET('1课程考核方式及成绩组成'!$V$10,(ROW(G652)-5)/7,MOD((ROW(G652)-5),7))</f>
        <v>0</v>
      </c>
      <c r="H652" s="19">
        <f ca="1">OFFSET('1课程考核方式及成绩组成'!$AD$10,(ROW(H652)-5)/7,MOD((ROW(H652)-5),7))</f>
        <v>0</v>
      </c>
      <c r="I652" s="19">
        <f ca="1">OFFSET('1课程考核方式及成绩组成'!$AL$10,(ROW(I652)-5)/7,MOD((ROW(I652)-5),7))</f>
        <v>0</v>
      </c>
      <c r="J652" s="25">
        <f ca="1">IF('0信息维护'!$I$103=0,0,E652/('0信息维护'!$I$103)*'0信息维护'!$E$38*'0信息维护'!$S$28)+IF('0信息维护'!$I$104=0,0,F652/('0信息维护'!$I$104)*'0信息维护'!$E$38*'0信息维护'!$T$28)+IF('0信息维护'!$I$105=0,0,G652/('0信息维护'!$I$105)*'0信息维护'!$E$38*'0信息维护'!$U$28)+IF('0信息维护'!$I$106=0,0,H652/('0信息维护'!$I$106)*'0信息维护'!$E$38*'0信息维护'!$V$28)+IF('0信息维护'!$I$107=0,0,I652/'0信息维护'!$I$107*'0信息维护'!$I$38)</f>
        <v>0.78</v>
      </c>
      <c r="K652" s="27"/>
    </row>
    <row r="653" spans="1:11">
      <c r="A653" s="20"/>
      <c r="B653" s="20"/>
      <c r="C653" s="20"/>
      <c r="D653" s="18" t="str">
        <f>'0信息维护'!A$29</f>
        <v>课程目标5</v>
      </c>
      <c r="E653" s="19">
        <f ca="1">OFFSET('1课程考核方式及成绩组成'!$F$10,(ROW(E653)-5)/7,MOD((ROW(E653)-5),7))</f>
        <v>0</v>
      </c>
      <c r="F653" s="19">
        <f ca="1">OFFSET('1课程考核方式及成绩组成'!$N$10,(ROW(F653)-5)/7,MOD((ROW(F653)-5),7))</f>
        <v>0</v>
      </c>
      <c r="G653" s="19">
        <f ca="1">OFFSET('1课程考核方式及成绩组成'!$V$10,(ROW(G653)-5)/7,MOD((ROW(G653)-5),7))</f>
        <v>0</v>
      </c>
      <c r="H653" s="19">
        <f ca="1">OFFSET('1课程考核方式及成绩组成'!$AD$10,(ROW(H653)-5)/7,MOD((ROW(H653)-5),7))</f>
        <v>0</v>
      </c>
      <c r="I653" s="19">
        <f ca="1">OFFSET('1课程考核方式及成绩组成'!$AL$10,(ROW(I653)-5)/7,MOD((ROW(I653)-5),7))</f>
        <v>0</v>
      </c>
      <c r="J653" s="25">
        <f ca="1">IF('0信息维护'!$I$109=0,0,E653/('0信息维护'!$I$109)*'0信息维护'!$E$39*'0信息维护'!$S$29)+IF('0信息维护'!$I$110=0,0,F653/('0信息维护'!$I$110)*'0信息维护'!$E$39*'0信息维护'!$T$29)+IF('0信息维护'!$I$111=0,0,G653/('0信息维护'!$I$111)*'0信息维护'!$E$39*'0信息维护'!$U$29)+IF('0信息维护'!$I$112=0,0,H653/('0信息维护'!$I$112)*'0信息维护'!$E$39*'0信息维护'!$V$29)+IF('0信息维护'!$I$113=0,0,I653/'0信息维护'!$I$113*'0信息维护'!$I$39)</f>
        <v>0</v>
      </c>
      <c r="K653" s="27"/>
    </row>
    <row r="654" spans="1:11">
      <c r="A654" s="20"/>
      <c r="B654" s="20"/>
      <c r="C654" s="20"/>
      <c r="D654" s="18" t="str">
        <f>'0信息维护'!A$30</f>
        <v>课程目标6</v>
      </c>
      <c r="E654" s="19">
        <f ca="1">OFFSET('1课程考核方式及成绩组成'!$F$10,(ROW(E654)-5)/7,MOD((ROW(E654)-5),7))</f>
        <v>0</v>
      </c>
      <c r="F654" s="19">
        <f ca="1">OFFSET('1课程考核方式及成绩组成'!$N$10,(ROW(F654)-5)/7,MOD((ROW(F654)-5),7))</f>
        <v>0</v>
      </c>
      <c r="G654" s="19">
        <f ca="1">OFFSET('1课程考核方式及成绩组成'!$V$10,(ROW(G654)-5)/7,MOD((ROW(G654)-5),7))</f>
        <v>0</v>
      </c>
      <c r="H654" s="19">
        <f ca="1">OFFSET('1课程考核方式及成绩组成'!$AD$10,(ROW(H654)-5)/7,MOD((ROW(H654)-5),7))</f>
        <v>0</v>
      </c>
      <c r="I654" s="19">
        <f ca="1">OFFSET('1课程考核方式及成绩组成'!$AL$10,(ROW(I654)-5)/7,MOD((ROW(I654)-5),7))</f>
        <v>0</v>
      </c>
      <c r="J654" s="25">
        <f ca="1">IF('0信息维护'!$I$115=0,0,E654/('0信息维护'!$I$115)*'0信息维护'!$E$40*'0信息维护'!$S$30)+IF('0信息维护'!$I$116=0,0,F654/('0信息维护'!$I$116)*'0信息维护'!$E$40*'0信息维护'!$T$30)+IF('0信息维护'!$I$117=0,0,G654/('0信息维护'!$I$117)*'0信息维护'!$E$40*'0信息维护'!$U$30)+IF('0信息维护'!$I$118=0,0,H654/('0信息维护'!$I$118)*'0信息维护'!$E$40*'0信息维护'!$V$30)+IF('0信息维护'!$I$119=0,0,I654/'0信息维护'!$I$119*'0信息维护'!$I$40)</f>
        <v>0</v>
      </c>
      <c r="K654" s="27"/>
    </row>
    <row r="655" spans="1:11">
      <c r="A655" s="21"/>
      <c r="B655" s="21"/>
      <c r="C655" s="21"/>
      <c r="D655" s="18" t="str">
        <f>'0信息维护'!A$31</f>
        <v>课程目标7</v>
      </c>
      <c r="E655" s="19">
        <f ca="1">OFFSET('1课程考核方式及成绩组成'!$F$10,(ROW(E655)-5)/7,MOD((ROW(E655)-5),7))</f>
        <v>0</v>
      </c>
      <c r="F655" s="19">
        <f ca="1">OFFSET('1课程考核方式及成绩组成'!$N$10,(ROW(F655)-5)/7,MOD((ROW(F655)-5),7))</f>
        <v>0</v>
      </c>
      <c r="G655" s="19">
        <f ca="1">OFFSET('1课程考核方式及成绩组成'!$V$10,(ROW(G655)-5)/7,MOD((ROW(G655)-5),7))</f>
        <v>0</v>
      </c>
      <c r="H655" s="19">
        <f ca="1">OFFSET('1课程考核方式及成绩组成'!$AD$10,(ROW(H655)-5)/7,MOD((ROW(H655)-5),7))</f>
        <v>0</v>
      </c>
      <c r="I655" s="19">
        <f ca="1">OFFSET('1课程考核方式及成绩组成'!$AL$10,(ROW(I655)-5)/7,MOD((ROW(I655)-5),7))</f>
        <v>0</v>
      </c>
      <c r="J655" s="25">
        <f ca="1">IF('0信息维护'!$I$121=0,0,E655/('0信息维护'!$I$121)*'0信息维护'!$E$41*'0信息维护'!$S$31)+IF('0信息维护'!$I$122=0,0,F655/('0信息维护'!$I$122)*'0信息维护'!$E$41*'0信息维护'!$T$31)+IF('0信息维护'!$I$123=0,0,G655/('0信息维护'!$I$123)*'0信息维护'!$E$41*'0信息维护'!$U$31)+IF('0信息维护'!$I$124=0,0,H655/('0信息维护'!$I$124)*'0信息维护'!$E$41*'0信息维护'!$T$31)+IF('0信息维护'!$I$125=0,0,I655/'0信息维护'!$I$125*'0信息维护'!$I$41)</f>
        <v>0</v>
      </c>
      <c r="K655" s="30"/>
    </row>
    <row r="656" spans="1:11">
      <c r="A656" s="17">
        <v>94</v>
      </c>
      <c r="B656" s="17" t="str">
        <f ca="1">OFFSET('1课程考核方式及成绩组成'!$D$10,(ROW(B656)-5)/7,)</f>
        <v>220106117</v>
      </c>
      <c r="C656" s="17" t="str">
        <f ca="1">OFFSET('1课程考核方式及成绩组成'!$E$10,(ROW(C656)-5)/7,)</f>
        <v>黄立平</v>
      </c>
      <c r="D656" s="18" t="str">
        <f>'0信息维护'!A$25</f>
        <v>课程目标1</v>
      </c>
      <c r="E656" s="19">
        <f ca="1">OFFSET('1课程考核方式及成绩组成'!$F$10,(ROW(E656)-5)/7,MOD((ROW(E656)-5),7))</f>
        <v>34</v>
      </c>
      <c r="F656" s="19">
        <f ca="1">OFFSET('1课程考核方式及成绩组成'!$N$10,(ROW(F656)-5)/7,MOD((ROW(F656)-5),7))</f>
        <v>0</v>
      </c>
      <c r="G656" s="19">
        <f ca="1">OFFSET('1课程考核方式及成绩组成'!$V$10,(ROW(G656)-5)/7,MOD((ROW(G656)-5),7))</f>
        <v>0</v>
      </c>
      <c r="H656" s="19">
        <f ca="1">OFFSET('1课程考核方式及成绩组成'!$AD$10,(ROW(H656)-5)/7,MOD((ROW(H656)-5),7))</f>
        <v>0</v>
      </c>
      <c r="I656" s="19">
        <f ca="1">OFFSET('1课程考核方式及成绩组成'!$AL$10,(ROW(I656)-5)/7,MOD((ROW(I656)-5),7))</f>
        <v>17</v>
      </c>
      <c r="J656" s="25">
        <f ca="1">IF('0信息维护'!$I$85=0,0,E656/('0信息维护'!$I$85)*'0信息维护'!$E$35*'0信息维护'!$S$25)+IF('0信息维护'!$I$86=0,0,F656/('0信息维护'!$I$86)*'0信息维护'!$E$35*'0信息维护'!$T$25)+IF('0信息维护'!$I$87=0,0,G656/('0信息维护'!$I$87)*'0信息维护'!$E$35*'0信息维护'!$U$25)+IF('0信息维护'!$I$88=0,0,H656/('0信息维护'!$I$88)*'0信息维护'!$E$35*'0信息维护'!$V$25)+IF('0信息维护'!$I$89=0,0,I656/'0信息维护'!$I$89*'0信息维护'!$I$35)</f>
        <v>0.661111111111111</v>
      </c>
      <c r="K656" s="26">
        <f ca="1">J656*'0信息维护'!$D$132+J657*'0信息维护'!$D$133+J658*'0信息维护'!$D$134+J659*'0信息维护'!$D$135+J660*'0信息维护'!$D$136+J661*'0信息维护'!$D$137+J662*'0信息维护'!$D$138</f>
        <v>0.634254901960784</v>
      </c>
    </row>
    <row r="657" spans="1:14">
      <c r="A657" s="20"/>
      <c r="B657" s="20"/>
      <c r="C657" s="20"/>
      <c r="D657" s="18" t="str">
        <f>'0信息维护'!A$26</f>
        <v>课程目标2</v>
      </c>
      <c r="E657" s="19">
        <f ca="1">OFFSET('1课程考核方式及成绩组成'!$F$10,(ROW(E657)-5)/7,MOD((ROW(E657)-5),7))</f>
        <v>51</v>
      </c>
      <c r="F657" s="19">
        <f ca="1">OFFSET('1课程考核方式及成绩组成'!$N$10,(ROW(F657)-5)/7,MOD((ROW(F657)-5),7))</f>
        <v>0</v>
      </c>
      <c r="G657" s="19">
        <f ca="1">OFFSET('1课程考核方式及成绩组成'!$V$10,(ROW(G657)-5)/7,MOD((ROW(G657)-5),7))</f>
        <v>0</v>
      </c>
      <c r="H657" s="19">
        <f ca="1">OFFSET('1课程考核方式及成绩组成'!$AD$10,(ROW(H657)-5)/7,MOD((ROW(H657)-5),7))</f>
        <v>0</v>
      </c>
      <c r="I657" s="19">
        <f ca="1">OFFSET('1课程考核方式及成绩组成'!$AL$10,(ROW(I657)-5)/7,MOD((ROW(I657)-5),7))</f>
        <v>15</v>
      </c>
      <c r="J657" s="25">
        <f ca="1">IF('0信息维护'!$I$91=0,0,E657/('0信息维护'!$I$91)*'0信息维护'!$S$26*'0信息维护'!$E$36)+IF('0信息维护'!$I$92=0,0,F657/('0信息维护'!$I$92)*'0信息维护'!$T$26*'0信息维护'!$E$36)+IF('0信息维护'!$I$93=0,0,G657/('0信息维护'!$I$93)*'0信息维护'!$U$26*'0信息维护'!$E$36)+IF('0信息维护'!$I$94=0,0,H657/('0信息维护'!$I$94)*'0信息维护'!$V$26*'0信息维护'!$E$36)+IF('0信息维护'!$I$95=0,0,I657/'0信息维护'!$I$95*'0信息维护'!$I$36)</f>
        <v>0.675</v>
      </c>
      <c r="K657" s="27"/>
      <c r="N657" s="29"/>
    </row>
    <row r="658" spans="1:11">
      <c r="A658" s="20"/>
      <c r="B658" s="20"/>
      <c r="C658" s="20"/>
      <c r="D658" s="18" t="str">
        <f>'0信息维护'!A$27</f>
        <v>课程目标3</v>
      </c>
      <c r="E658" s="19">
        <f ca="1">OFFSET('1课程考核方式及成绩组成'!$F$10,(ROW(E658)-5)/7,MOD((ROW(E658)-5),7))</f>
        <v>0</v>
      </c>
      <c r="F658" s="19">
        <f ca="1">OFFSET('1课程考核方式及成绩组成'!$N$10,(ROW(F658)-5)/7,MOD((ROW(F658)-5),7))</f>
        <v>0</v>
      </c>
      <c r="G658" s="19">
        <f ca="1">OFFSET('1课程考核方式及成绩组成'!$V$10,(ROW(G658)-5)/7,MOD((ROW(G658)-5),7))</f>
        <v>0</v>
      </c>
      <c r="H658" s="19">
        <f ca="1">OFFSET('1课程考核方式及成绩组成'!$AD$10,(ROW(H658)-5)/7,MOD((ROW(H658)-5),7))</f>
        <v>0</v>
      </c>
      <c r="I658" s="19">
        <f ca="1">OFFSET('1课程考核方式及成绩组成'!$AL$10,(ROW(I658)-5)/7,MOD((ROW(I658)-5),7))</f>
        <v>13</v>
      </c>
      <c r="J658" s="25">
        <f ca="1">IF('0信息维护'!$I$97=0,0,E658/('0信息维护'!$I$97)*'0信息维护'!$E$37*'0信息维护'!$S$27)+IF('0信息维护'!$I$98=0,0,F658/('0信息维护'!$I$98)*'0信息维护'!$E$37*'0信息维护'!$T$27)+IF('0信息维护'!$I$99=0,0,G658/('0信息维护'!$I$99)*'0信息维护'!$E$37*'0信息维护'!$U$27)+IF('0信息维护'!$I$100=0,0,H658/('0信息维护'!$I$100)*'0信息维护'!$E$37*'0信息维护'!$V$27)+IF('0信息维护'!$I$101=0,0,I658/'0信息维护'!$I$101*'0信息维护'!$I$37)</f>
        <v>0.382352941176471</v>
      </c>
      <c r="K658" s="27"/>
    </row>
    <row r="659" spans="1:11">
      <c r="A659" s="20"/>
      <c r="B659" s="20"/>
      <c r="C659" s="20"/>
      <c r="D659" s="18" t="str">
        <f>'0信息维护'!A$28</f>
        <v>课程目标4</v>
      </c>
      <c r="E659" s="19">
        <f ca="1">OFFSET('1课程考核方式及成绩组成'!$F$10,(ROW(E659)-5)/7,MOD((ROW(E659)-5),7))</f>
        <v>0</v>
      </c>
      <c r="F659" s="19">
        <f ca="1">OFFSET('1课程考核方式及成绩组成'!$N$10,(ROW(F659)-5)/7,MOD((ROW(F659)-5),7))</f>
        <v>79</v>
      </c>
      <c r="G659" s="19">
        <f ca="1">OFFSET('1课程考核方式及成绩组成'!$V$10,(ROW(G659)-5)/7,MOD((ROW(G659)-5),7))</f>
        <v>0</v>
      </c>
      <c r="H659" s="19">
        <f ca="1">OFFSET('1课程考核方式及成绩组成'!$AD$10,(ROW(H659)-5)/7,MOD((ROW(H659)-5),7))</f>
        <v>0</v>
      </c>
      <c r="I659" s="19">
        <f ca="1">OFFSET('1课程考核方式及成绩组成'!$AL$10,(ROW(I659)-5)/7,MOD((ROW(I659)-5),7))</f>
        <v>0</v>
      </c>
      <c r="J659" s="25">
        <f ca="1">IF('0信息维护'!$I$103=0,0,E659/('0信息维护'!$I$103)*'0信息维护'!$E$38*'0信息维护'!$S$28)+IF('0信息维护'!$I$104=0,0,F659/('0信息维护'!$I$104)*'0信息维护'!$E$38*'0信息维护'!$T$28)+IF('0信息维护'!$I$105=0,0,G659/('0信息维护'!$I$105)*'0信息维护'!$E$38*'0信息维护'!$U$28)+IF('0信息维护'!$I$106=0,0,H659/('0信息维护'!$I$106)*'0信息维护'!$E$38*'0信息维护'!$V$28)+IF('0信息维护'!$I$107=0,0,I659/'0信息维护'!$I$107*'0信息维护'!$I$38)</f>
        <v>0.79</v>
      </c>
      <c r="K659" s="27"/>
    </row>
    <row r="660" spans="1:11">
      <c r="A660" s="20"/>
      <c r="B660" s="20"/>
      <c r="C660" s="20"/>
      <c r="D660" s="18" t="str">
        <f>'0信息维护'!A$29</f>
        <v>课程目标5</v>
      </c>
      <c r="E660" s="19">
        <f ca="1">OFFSET('1课程考核方式及成绩组成'!$F$10,(ROW(E660)-5)/7,MOD((ROW(E660)-5),7))</f>
        <v>0</v>
      </c>
      <c r="F660" s="19">
        <f ca="1">OFFSET('1课程考核方式及成绩组成'!$N$10,(ROW(F660)-5)/7,MOD((ROW(F660)-5),7))</f>
        <v>0</v>
      </c>
      <c r="G660" s="19">
        <f ca="1">OFFSET('1课程考核方式及成绩组成'!$V$10,(ROW(G660)-5)/7,MOD((ROW(G660)-5),7))</f>
        <v>0</v>
      </c>
      <c r="H660" s="19">
        <f ca="1">OFFSET('1课程考核方式及成绩组成'!$AD$10,(ROW(H660)-5)/7,MOD((ROW(H660)-5),7))</f>
        <v>0</v>
      </c>
      <c r="I660" s="19">
        <f ca="1">OFFSET('1课程考核方式及成绩组成'!$AL$10,(ROW(I660)-5)/7,MOD((ROW(I660)-5),7))</f>
        <v>0</v>
      </c>
      <c r="J660" s="25">
        <f ca="1">IF('0信息维护'!$I$109=0,0,E660/('0信息维护'!$I$109)*'0信息维护'!$E$39*'0信息维护'!$S$29)+IF('0信息维护'!$I$110=0,0,F660/('0信息维护'!$I$110)*'0信息维护'!$E$39*'0信息维护'!$T$29)+IF('0信息维护'!$I$111=0,0,G660/('0信息维护'!$I$111)*'0信息维护'!$E$39*'0信息维护'!$U$29)+IF('0信息维护'!$I$112=0,0,H660/('0信息维护'!$I$112)*'0信息维护'!$E$39*'0信息维护'!$V$29)+IF('0信息维护'!$I$113=0,0,I660/'0信息维护'!$I$113*'0信息维护'!$I$39)</f>
        <v>0</v>
      </c>
      <c r="K660" s="27"/>
    </row>
    <row r="661" spans="1:11">
      <c r="A661" s="20"/>
      <c r="B661" s="20"/>
      <c r="C661" s="20"/>
      <c r="D661" s="18" t="str">
        <f>'0信息维护'!A$30</f>
        <v>课程目标6</v>
      </c>
      <c r="E661" s="19">
        <f ca="1">OFFSET('1课程考核方式及成绩组成'!$F$10,(ROW(E661)-5)/7,MOD((ROW(E661)-5),7))</f>
        <v>0</v>
      </c>
      <c r="F661" s="19">
        <f ca="1">OFFSET('1课程考核方式及成绩组成'!$N$10,(ROW(F661)-5)/7,MOD((ROW(F661)-5),7))</f>
        <v>0</v>
      </c>
      <c r="G661" s="19">
        <f ca="1">OFFSET('1课程考核方式及成绩组成'!$V$10,(ROW(G661)-5)/7,MOD((ROW(G661)-5),7))</f>
        <v>0</v>
      </c>
      <c r="H661" s="19">
        <f ca="1">OFFSET('1课程考核方式及成绩组成'!$AD$10,(ROW(H661)-5)/7,MOD((ROW(H661)-5),7))</f>
        <v>0</v>
      </c>
      <c r="I661" s="19">
        <f ca="1">OFFSET('1课程考核方式及成绩组成'!$AL$10,(ROW(I661)-5)/7,MOD((ROW(I661)-5),7))</f>
        <v>0</v>
      </c>
      <c r="J661" s="25">
        <f ca="1">IF('0信息维护'!$I$115=0,0,E661/('0信息维护'!$I$115)*'0信息维护'!$E$40*'0信息维护'!$S$30)+IF('0信息维护'!$I$116=0,0,F661/('0信息维护'!$I$116)*'0信息维护'!$E$40*'0信息维护'!$T$30)+IF('0信息维护'!$I$117=0,0,G661/('0信息维护'!$I$117)*'0信息维护'!$E$40*'0信息维护'!$U$30)+IF('0信息维护'!$I$118=0,0,H661/('0信息维护'!$I$118)*'0信息维护'!$E$40*'0信息维护'!$V$30)+IF('0信息维护'!$I$119=0,0,I661/'0信息维护'!$I$119*'0信息维护'!$I$40)</f>
        <v>0</v>
      </c>
      <c r="K661" s="27"/>
    </row>
    <row r="662" spans="1:11">
      <c r="A662" s="21"/>
      <c r="B662" s="21"/>
      <c r="C662" s="21"/>
      <c r="D662" s="18" t="str">
        <f>'0信息维护'!A$31</f>
        <v>课程目标7</v>
      </c>
      <c r="E662" s="19">
        <f ca="1">OFFSET('1课程考核方式及成绩组成'!$F$10,(ROW(E662)-5)/7,MOD((ROW(E662)-5),7))</f>
        <v>0</v>
      </c>
      <c r="F662" s="19">
        <f ca="1">OFFSET('1课程考核方式及成绩组成'!$N$10,(ROW(F662)-5)/7,MOD((ROW(F662)-5),7))</f>
        <v>0</v>
      </c>
      <c r="G662" s="19">
        <f ca="1">OFFSET('1课程考核方式及成绩组成'!$V$10,(ROW(G662)-5)/7,MOD((ROW(G662)-5),7))</f>
        <v>0</v>
      </c>
      <c r="H662" s="19">
        <f ca="1">OFFSET('1课程考核方式及成绩组成'!$AD$10,(ROW(H662)-5)/7,MOD((ROW(H662)-5),7))</f>
        <v>0</v>
      </c>
      <c r="I662" s="19">
        <f ca="1">OFFSET('1课程考核方式及成绩组成'!$AL$10,(ROW(I662)-5)/7,MOD((ROW(I662)-5),7))</f>
        <v>0</v>
      </c>
      <c r="J662" s="25">
        <f ca="1">IF('0信息维护'!$I$121=0,0,E662/('0信息维护'!$I$121)*'0信息维护'!$E$41*'0信息维护'!$S$31)+IF('0信息维护'!$I$122=0,0,F662/('0信息维护'!$I$122)*'0信息维护'!$E$41*'0信息维护'!$T$31)+IF('0信息维护'!$I$123=0,0,G662/('0信息维护'!$I$123)*'0信息维护'!$E$41*'0信息维护'!$U$31)+IF('0信息维护'!$I$124=0,0,H662/('0信息维护'!$I$124)*'0信息维护'!$E$41*'0信息维护'!$T$31)+IF('0信息维护'!$I$125=0,0,I662/'0信息维护'!$I$125*'0信息维护'!$I$41)</f>
        <v>0</v>
      </c>
      <c r="K662" s="30"/>
    </row>
    <row r="663" spans="1:11">
      <c r="A663" s="17">
        <v>95</v>
      </c>
      <c r="B663" s="17" t="str">
        <f ca="1">OFFSET('1课程考核方式及成绩组成'!$D$10,(ROW(B663)-5)/7,)</f>
        <v>220106118</v>
      </c>
      <c r="C663" s="17" t="str">
        <f ca="1">OFFSET('1课程考核方式及成绩组成'!$E$10,(ROW(C663)-5)/7,)</f>
        <v>黄佳南</v>
      </c>
      <c r="D663" s="18" t="str">
        <f>'0信息维护'!A$25</f>
        <v>课程目标1</v>
      </c>
      <c r="E663" s="19">
        <f ca="1">OFFSET('1课程考核方式及成绩组成'!$F$10,(ROW(E663)-5)/7,MOD((ROW(E663)-5),7))</f>
        <v>34</v>
      </c>
      <c r="F663" s="19">
        <f ca="1">OFFSET('1课程考核方式及成绩组成'!$N$10,(ROW(F663)-5)/7,MOD((ROW(F663)-5),7))</f>
        <v>0</v>
      </c>
      <c r="G663" s="19">
        <f ca="1">OFFSET('1课程考核方式及成绩组成'!$V$10,(ROW(G663)-5)/7,MOD((ROW(G663)-5),7))</f>
        <v>0</v>
      </c>
      <c r="H663" s="19">
        <f ca="1">OFFSET('1课程考核方式及成绩组成'!$AD$10,(ROW(H663)-5)/7,MOD((ROW(H663)-5),7))</f>
        <v>0</v>
      </c>
      <c r="I663" s="19">
        <f ca="1">OFFSET('1课程考核方式及成绩组成'!$AL$10,(ROW(I663)-5)/7,MOD((ROW(I663)-5),7))</f>
        <v>32</v>
      </c>
      <c r="J663" s="25">
        <f ca="1">IF('0信息维护'!$I$85=0,0,E663/('0信息维护'!$I$85)*'0信息维护'!$E$35*'0信息维护'!$S$25)+IF('0信息维护'!$I$86=0,0,F663/('0信息维护'!$I$86)*'0信息维护'!$E$35*'0信息维护'!$T$25)+IF('0信息维护'!$I$87=0,0,G663/('0信息维护'!$I$87)*'0信息维护'!$E$35*'0信息维护'!$U$25)+IF('0信息维护'!$I$88=0,0,H663/('0信息维护'!$I$88)*'0信息维护'!$E$35*'0信息维护'!$V$25)+IF('0信息维护'!$I$89=0,0,I663/'0信息维护'!$I$89*'0信息维护'!$I$35)</f>
        <v>0.869444444444444</v>
      </c>
      <c r="K663" s="26">
        <f ca="1">J663*'0信息维护'!$D$132+J664*'0信息维护'!$D$133+J665*'0信息维护'!$D$134+J666*'0信息维护'!$D$135+J667*'0信息维护'!$D$136+J668*'0信息维护'!$D$137+J669*'0信息维护'!$D$138</f>
        <v>0.800887254901961</v>
      </c>
    </row>
    <row r="664" spans="1:14">
      <c r="A664" s="20"/>
      <c r="B664" s="20"/>
      <c r="C664" s="20"/>
      <c r="D664" s="18" t="str">
        <f>'0信息维护'!A$26</f>
        <v>课程目标2</v>
      </c>
      <c r="E664" s="19">
        <f ca="1">OFFSET('1课程考核方式及成绩组成'!$F$10,(ROW(E664)-5)/7,MOD((ROW(E664)-5),7))</f>
        <v>52</v>
      </c>
      <c r="F664" s="19">
        <f ca="1">OFFSET('1课程考核方式及成绩组成'!$N$10,(ROW(F664)-5)/7,MOD((ROW(F664)-5),7))</f>
        <v>0</v>
      </c>
      <c r="G664" s="19">
        <f ca="1">OFFSET('1课程考核方式及成绩组成'!$V$10,(ROW(G664)-5)/7,MOD((ROW(G664)-5),7))</f>
        <v>0</v>
      </c>
      <c r="H664" s="19">
        <f ca="1">OFFSET('1课程考核方式及成绩组成'!$AD$10,(ROW(H664)-5)/7,MOD((ROW(H664)-5),7))</f>
        <v>0</v>
      </c>
      <c r="I664" s="19">
        <f ca="1">OFFSET('1课程考核方式及成绩组成'!$AL$10,(ROW(I664)-5)/7,MOD((ROW(I664)-5),7))</f>
        <v>23</v>
      </c>
      <c r="J664" s="25">
        <f ca="1">IF('0信息维护'!$I$91=0,0,E664/('0信息维护'!$I$91)*'0信息维护'!$S$26*'0信息维护'!$E$36)+IF('0信息维护'!$I$92=0,0,F664/('0信息维护'!$I$92)*'0信息维护'!$T$26*'0信息维护'!$E$36)+IF('0信息维护'!$I$93=0,0,G664/('0信息维护'!$I$93)*'0信息维护'!$U$26*'0信息维护'!$E$36)+IF('0信息维护'!$I$94=0,0,H664/('0信息维护'!$I$94)*'0信息维护'!$V$26*'0信息维护'!$E$36)+IF('0信息维护'!$I$95=0,0,I664/'0信息维护'!$I$95*'0信息维护'!$I$36)</f>
        <v>0.816666666666667</v>
      </c>
      <c r="K664" s="27"/>
      <c r="N664" s="29"/>
    </row>
    <row r="665" spans="1:11">
      <c r="A665" s="20"/>
      <c r="B665" s="20"/>
      <c r="C665" s="20"/>
      <c r="D665" s="18" t="str">
        <f>'0信息维护'!A$27</f>
        <v>课程目标3</v>
      </c>
      <c r="E665" s="19">
        <f ca="1">OFFSET('1课程考核方式及成绩组成'!$F$10,(ROW(E665)-5)/7,MOD((ROW(E665)-5),7))</f>
        <v>0</v>
      </c>
      <c r="F665" s="19">
        <f ca="1">OFFSET('1课程考核方式及成绩组成'!$N$10,(ROW(F665)-5)/7,MOD((ROW(F665)-5),7))</f>
        <v>0</v>
      </c>
      <c r="G665" s="19">
        <f ca="1">OFFSET('1课程考核方式及成绩组成'!$V$10,(ROW(G665)-5)/7,MOD((ROW(G665)-5),7))</f>
        <v>0</v>
      </c>
      <c r="H665" s="19">
        <f ca="1">OFFSET('1课程考核方式及成绩组成'!$AD$10,(ROW(H665)-5)/7,MOD((ROW(H665)-5),7))</f>
        <v>0</v>
      </c>
      <c r="I665" s="19">
        <f ca="1">OFFSET('1课程考核方式及成绩组成'!$AL$10,(ROW(I665)-5)/7,MOD((ROW(I665)-5),7))</f>
        <v>24</v>
      </c>
      <c r="J665" s="25">
        <f ca="1">IF('0信息维护'!$I$97=0,0,E665/('0信息维护'!$I$97)*'0信息维护'!$E$37*'0信息维护'!$S$27)+IF('0信息维护'!$I$98=0,0,F665/('0信息维护'!$I$98)*'0信息维护'!$E$37*'0信息维护'!$T$27)+IF('0信息维护'!$I$99=0,0,G665/('0信息维护'!$I$99)*'0信息维护'!$E$37*'0信息维护'!$U$27)+IF('0信息维护'!$I$100=0,0,H665/('0信息维护'!$I$100)*'0信息维护'!$E$37*'0信息维护'!$V$27)+IF('0信息维护'!$I$101=0,0,I665/'0信息维护'!$I$101*'0信息维护'!$I$37)</f>
        <v>0.705882352941177</v>
      </c>
      <c r="K665" s="27"/>
    </row>
    <row r="666" spans="1:11">
      <c r="A666" s="20"/>
      <c r="B666" s="20"/>
      <c r="C666" s="20"/>
      <c r="D666" s="18" t="str">
        <f>'0信息维护'!A$28</f>
        <v>课程目标4</v>
      </c>
      <c r="E666" s="19">
        <f ca="1">OFFSET('1课程考核方式及成绩组成'!$F$10,(ROW(E666)-5)/7,MOD((ROW(E666)-5),7))</f>
        <v>0</v>
      </c>
      <c r="F666" s="19">
        <f ca="1">OFFSET('1课程考核方式及成绩组成'!$N$10,(ROW(F666)-5)/7,MOD((ROW(F666)-5),7))</f>
        <v>83</v>
      </c>
      <c r="G666" s="19">
        <f ca="1">OFFSET('1课程考核方式及成绩组成'!$V$10,(ROW(G666)-5)/7,MOD((ROW(G666)-5),7))</f>
        <v>0</v>
      </c>
      <c r="H666" s="19">
        <f ca="1">OFFSET('1课程考核方式及成绩组成'!$AD$10,(ROW(H666)-5)/7,MOD((ROW(H666)-5),7))</f>
        <v>0</v>
      </c>
      <c r="I666" s="19">
        <f ca="1">OFFSET('1课程考核方式及成绩组成'!$AL$10,(ROW(I666)-5)/7,MOD((ROW(I666)-5),7))</f>
        <v>0</v>
      </c>
      <c r="J666" s="25">
        <f ca="1">IF('0信息维护'!$I$103=0,0,E666/('0信息维护'!$I$103)*'0信息维护'!$E$38*'0信息维护'!$S$28)+IF('0信息维护'!$I$104=0,0,F666/('0信息维护'!$I$104)*'0信息维护'!$E$38*'0信息维护'!$T$28)+IF('0信息维护'!$I$105=0,0,G666/('0信息维护'!$I$105)*'0信息维护'!$E$38*'0信息维护'!$U$28)+IF('0信息维护'!$I$106=0,0,H666/('0信息维护'!$I$106)*'0信息维护'!$E$38*'0信息维护'!$V$28)+IF('0信息维护'!$I$107=0,0,I666/'0信息维护'!$I$107*'0信息维护'!$I$38)</f>
        <v>0.83</v>
      </c>
      <c r="K666" s="27"/>
    </row>
    <row r="667" spans="1:11">
      <c r="A667" s="20"/>
      <c r="B667" s="20"/>
      <c r="C667" s="20"/>
      <c r="D667" s="18" t="str">
        <f>'0信息维护'!A$29</f>
        <v>课程目标5</v>
      </c>
      <c r="E667" s="19">
        <f ca="1">OFFSET('1课程考核方式及成绩组成'!$F$10,(ROW(E667)-5)/7,MOD((ROW(E667)-5),7))</f>
        <v>0</v>
      </c>
      <c r="F667" s="19">
        <f ca="1">OFFSET('1课程考核方式及成绩组成'!$N$10,(ROW(F667)-5)/7,MOD((ROW(F667)-5),7))</f>
        <v>0</v>
      </c>
      <c r="G667" s="19">
        <f ca="1">OFFSET('1课程考核方式及成绩组成'!$V$10,(ROW(G667)-5)/7,MOD((ROW(G667)-5),7))</f>
        <v>0</v>
      </c>
      <c r="H667" s="19">
        <f ca="1">OFFSET('1课程考核方式及成绩组成'!$AD$10,(ROW(H667)-5)/7,MOD((ROW(H667)-5),7))</f>
        <v>0</v>
      </c>
      <c r="I667" s="19">
        <f ca="1">OFFSET('1课程考核方式及成绩组成'!$AL$10,(ROW(I667)-5)/7,MOD((ROW(I667)-5),7))</f>
        <v>0</v>
      </c>
      <c r="J667" s="25">
        <f ca="1">IF('0信息维护'!$I$109=0,0,E667/('0信息维护'!$I$109)*'0信息维护'!$E$39*'0信息维护'!$S$29)+IF('0信息维护'!$I$110=0,0,F667/('0信息维护'!$I$110)*'0信息维护'!$E$39*'0信息维护'!$T$29)+IF('0信息维护'!$I$111=0,0,G667/('0信息维护'!$I$111)*'0信息维护'!$E$39*'0信息维护'!$U$29)+IF('0信息维护'!$I$112=0,0,H667/('0信息维护'!$I$112)*'0信息维护'!$E$39*'0信息维护'!$V$29)+IF('0信息维护'!$I$113=0,0,I667/'0信息维护'!$I$113*'0信息维护'!$I$39)</f>
        <v>0</v>
      </c>
      <c r="K667" s="27"/>
    </row>
    <row r="668" spans="1:11">
      <c r="A668" s="20"/>
      <c r="B668" s="20"/>
      <c r="C668" s="20"/>
      <c r="D668" s="18" t="str">
        <f>'0信息维护'!A$30</f>
        <v>课程目标6</v>
      </c>
      <c r="E668" s="19">
        <f ca="1">OFFSET('1课程考核方式及成绩组成'!$F$10,(ROW(E668)-5)/7,MOD((ROW(E668)-5),7))</f>
        <v>0</v>
      </c>
      <c r="F668" s="19">
        <f ca="1">OFFSET('1课程考核方式及成绩组成'!$N$10,(ROW(F668)-5)/7,MOD((ROW(F668)-5),7))</f>
        <v>0</v>
      </c>
      <c r="G668" s="19">
        <f ca="1">OFFSET('1课程考核方式及成绩组成'!$V$10,(ROW(G668)-5)/7,MOD((ROW(G668)-5),7))</f>
        <v>0</v>
      </c>
      <c r="H668" s="19">
        <f ca="1">OFFSET('1课程考核方式及成绩组成'!$AD$10,(ROW(H668)-5)/7,MOD((ROW(H668)-5),7))</f>
        <v>0</v>
      </c>
      <c r="I668" s="19">
        <f ca="1">OFFSET('1课程考核方式及成绩组成'!$AL$10,(ROW(I668)-5)/7,MOD((ROW(I668)-5),7))</f>
        <v>0</v>
      </c>
      <c r="J668" s="25">
        <f ca="1">IF('0信息维护'!$I$115=0,0,E668/('0信息维护'!$I$115)*'0信息维护'!$E$40*'0信息维护'!$S$30)+IF('0信息维护'!$I$116=0,0,F668/('0信息维护'!$I$116)*'0信息维护'!$E$40*'0信息维护'!$T$30)+IF('0信息维护'!$I$117=0,0,G668/('0信息维护'!$I$117)*'0信息维护'!$E$40*'0信息维护'!$U$30)+IF('0信息维护'!$I$118=0,0,H668/('0信息维护'!$I$118)*'0信息维护'!$E$40*'0信息维护'!$V$30)+IF('0信息维护'!$I$119=0,0,I668/'0信息维护'!$I$119*'0信息维护'!$I$40)</f>
        <v>0</v>
      </c>
      <c r="K668" s="27"/>
    </row>
    <row r="669" spans="1:11">
      <c r="A669" s="21"/>
      <c r="B669" s="21"/>
      <c r="C669" s="21"/>
      <c r="D669" s="18" t="str">
        <f>'0信息维护'!A$31</f>
        <v>课程目标7</v>
      </c>
      <c r="E669" s="19">
        <f ca="1">OFFSET('1课程考核方式及成绩组成'!$F$10,(ROW(E669)-5)/7,MOD((ROW(E669)-5),7))</f>
        <v>0</v>
      </c>
      <c r="F669" s="19">
        <f ca="1">OFFSET('1课程考核方式及成绩组成'!$N$10,(ROW(F669)-5)/7,MOD((ROW(F669)-5),7))</f>
        <v>0</v>
      </c>
      <c r="G669" s="19">
        <f ca="1">OFFSET('1课程考核方式及成绩组成'!$V$10,(ROW(G669)-5)/7,MOD((ROW(G669)-5),7))</f>
        <v>0</v>
      </c>
      <c r="H669" s="19">
        <f ca="1">OFFSET('1课程考核方式及成绩组成'!$AD$10,(ROW(H669)-5)/7,MOD((ROW(H669)-5),7))</f>
        <v>0</v>
      </c>
      <c r="I669" s="19">
        <f ca="1">OFFSET('1课程考核方式及成绩组成'!$AL$10,(ROW(I669)-5)/7,MOD((ROW(I669)-5),7))</f>
        <v>0</v>
      </c>
      <c r="J669" s="25">
        <f ca="1">IF('0信息维护'!$I$121=0,0,E669/('0信息维护'!$I$121)*'0信息维护'!$E$41*'0信息维护'!$S$31)+IF('0信息维护'!$I$122=0,0,F669/('0信息维护'!$I$122)*'0信息维护'!$E$41*'0信息维护'!$T$31)+IF('0信息维护'!$I$123=0,0,G669/('0信息维护'!$I$123)*'0信息维护'!$E$41*'0信息维护'!$U$31)+IF('0信息维护'!$I$124=0,0,H669/('0信息维护'!$I$124)*'0信息维护'!$E$41*'0信息维护'!$T$31)+IF('0信息维护'!$I$125=0,0,I669/'0信息维护'!$I$125*'0信息维护'!$I$41)</f>
        <v>0</v>
      </c>
      <c r="K669" s="30"/>
    </row>
    <row r="670" spans="1:11">
      <c r="A670" s="17">
        <v>96</v>
      </c>
      <c r="B670" s="17" t="str">
        <f ca="1">OFFSET('1课程考核方式及成绩组成'!$D$10,(ROW(B670)-5)/7,)</f>
        <v>220106119</v>
      </c>
      <c r="C670" s="17" t="str">
        <f ca="1">OFFSET('1课程考核方式及成绩组成'!$E$10,(ROW(C670)-5)/7,)</f>
        <v>王栋</v>
      </c>
      <c r="D670" s="18" t="str">
        <f>'0信息维护'!A$25</f>
        <v>课程目标1</v>
      </c>
      <c r="E670" s="19">
        <f ca="1">OFFSET('1课程考核方式及成绩组成'!$F$10,(ROW(E670)-5)/7,MOD((ROW(E670)-5),7))</f>
        <v>34</v>
      </c>
      <c r="F670" s="19">
        <f ca="1">OFFSET('1课程考核方式及成绩组成'!$N$10,(ROW(F670)-5)/7,MOD((ROW(F670)-5),7))</f>
        <v>0</v>
      </c>
      <c r="G670" s="19">
        <f ca="1">OFFSET('1课程考核方式及成绩组成'!$V$10,(ROW(G670)-5)/7,MOD((ROW(G670)-5),7))</f>
        <v>0</v>
      </c>
      <c r="H670" s="19">
        <f ca="1">OFFSET('1课程考核方式及成绩组成'!$AD$10,(ROW(H670)-5)/7,MOD((ROW(H670)-5),7))</f>
        <v>0</v>
      </c>
      <c r="I670" s="19">
        <f ca="1">OFFSET('1课程考核方式及成绩组成'!$AL$10,(ROW(I670)-5)/7,MOD((ROW(I670)-5),7))</f>
        <v>30</v>
      </c>
      <c r="J670" s="25">
        <f ca="1">IF('0信息维护'!$I$85=0,0,E670/('0信息维护'!$I$85)*'0信息维护'!$E$35*'0信息维护'!$S$25)+IF('0信息维护'!$I$86=0,0,F670/('0信息维护'!$I$86)*'0信息维护'!$E$35*'0信息维护'!$T$25)+IF('0信息维护'!$I$87=0,0,G670/('0信息维护'!$I$87)*'0信息维护'!$E$35*'0信息维护'!$U$25)+IF('0信息维护'!$I$88=0,0,H670/('0信息维护'!$I$88)*'0信息维护'!$E$35*'0信息维护'!$V$25)+IF('0信息维护'!$I$89=0,0,I670/'0信息维护'!$I$89*'0信息维护'!$I$35)</f>
        <v>0.841666666666667</v>
      </c>
      <c r="K670" s="26">
        <f ca="1">J670*'0信息维护'!$D$132+J671*'0信息维护'!$D$133+J672*'0信息维护'!$D$134+J673*'0信息维护'!$D$135+J674*'0信息维护'!$D$136+J675*'0信息维护'!$D$137+J676*'0信息维护'!$D$138</f>
        <v>0.808867647058824</v>
      </c>
    </row>
    <row r="671" spans="1:14">
      <c r="A671" s="20"/>
      <c r="B671" s="20"/>
      <c r="C671" s="20"/>
      <c r="D671" s="18" t="str">
        <f>'0信息维护'!A$26</f>
        <v>课程目标2</v>
      </c>
      <c r="E671" s="19">
        <f ca="1">OFFSET('1课程考核方式及成绩组成'!$F$10,(ROW(E671)-5)/7,MOD((ROW(E671)-5),7))</f>
        <v>53</v>
      </c>
      <c r="F671" s="19">
        <f ca="1">OFFSET('1课程考核方式及成绩组成'!$N$10,(ROW(F671)-5)/7,MOD((ROW(F671)-5),7))</f>
        <v>0</v>
      </c>
      <c r="G671" s="19">
        <f ca="1">OFFSET('1课程考核方式及成绩组成'!$V$10,(ROW(G671)-5)/7,MOD((ROW(G671)-5),7))</f>
        <v>0</v>
      </c>
      <c r="H671" s="19">
        <f ca="1">OFFSET('1课程考核方式及成绩组成'!$AD$10,(ROW(H671)-5)/7,MOD((ROW(H671)-5),7))</f>
        <v>0</v>
      </c>
      <c r="I671" s="19">
        <f ca="1">OFFSET('1课程考核方式及成绩组成'!$AL$10,(ROW(I671)-5)/7,MOD((ROW(I671)-5),7))</f>
        <v>24</v>
      </c>
      <c r="J671" s="25">
        <f ca="1">IF('0信息维护'!$I$91=0,0,E671/('0信息维护'!$I$91)*'0信息维护'!$S$26*'0信息维护'!$E$36)+IF('0信息维护'!$I$92=0,0,F671/('0信息维护'!$I$92)*'0信息维护'!$T$26*'0信息维护'!$E$36)+IF('0信息维护'!$I$93=0,0,G671/('0信息维护'!$I$93)*'0信息维护'!$U$26*'0信息维护'!$E$36)+IF('0信息维护'!$I$94=0,0,H671/('0信息维护'!$I$94)*'0信息维护'!$V$26*'0信息维护'!$E$36)+IF('0信息维护'!$I$95=0,0,I671/'0信息维护'!$I$95*'0信息维护'!$I$36)</f>
        <v>0.841666666666667</v>
      </c>
      <c r="K671" s="27"/>
      <c r="N671" s="29"/>
    </row>
    <row r="672" spans="1:11">
      <c r="A672" s="20"/>
      <c r="B672" s="20"/>
      <c r="C672" s="20"/>
      <c r="D672" s="18" t="str">
        <f>'0信息维护'!A$27</f>
        <v>课程目标3</v>
      </c>
      <c r="E672" s="19">
        <f ca="1">OFFSET('1课程考核方式及成绩组成'!$F$10,(ROW(E672)-5)/7,MOD((ROW(E672)-5),7))</f>
        <v>0</v>
      </c>
      <c r="F672" s="19">
        <f ca="1">OFFSET('1课程考核方式及成绩组成'!$N$10,(ROW(F672)-5)/7,MOD((ROW(F672)-5),7))</f>
        <v>0</v>
      </c>
      <c r="G672" s="19">
        <f ca="1">OFFSET('1课程考核方式及成绩组成'!$V$10,(ROW(G672)-5)/7,MOD((ROW(G672)-5),7))</f>
        <v>0</v>
      </c>
      <c r="H672" s="19">
        <f ca="1">OFFSET('1课程考核方式及成绩组成'!$AD$10,(ROW(H672)-5)/7,MOD((ROW(H672)-5),7))</f>
        <v>0</v>
      </c>
      <c r="I672" s="19">
        <f ca="1">OFFSET('1课程考核方式及成绩组成'!$AL$10,(ROW(I672)-5)/7,MOD((ROW(I672)-5),7))</f>
        <v>23</v>
      </c>
      <c r="J672" s="25">
        <f ca="1">IF('0信息维护'!$I$97=0,0,E672/('0信息维护'!$I$97)*'0信息维护'!$E$37*'0信息维护'!$S$27)+IF('0信息维护'!$I$98=0,0,F672/('0信息维护'!$I$98)*'0信息维护'!$E$37*'0信息维护'!$T$27)+IF('0信息维护'!$I$99=0,0,G672/('0信息维护'!$I$99)*'0信息维护'!$E$37*'0信息维护'!$U$27)+IF('0信息维护'!$I$100=0,0,H672/('0信息维护'!$I$100)*'0信息维护'!$E$37*'0信息维护'!$V$27)+IF('0信息维护'!$I$101=0,0,I672/'0信息维护'!$I$101*'0信息维护'!$I$37)</f>
        <v>0.676470588235294</v>
      </c>
      <c r="K672" s="27"/>
    </row>
    <row r="673" spans="1:11">
      <c r="A673" s="20"/>
      <c r="B673" s="20"/>
      <c r="C673" s="20"/>
      <c r="D673" s="18" t="str">
        <f>'0信息维护'!A$28</f>
        <v>课程目标4</v>
      </c>
      <c r="E673" s="19">
        <f ca="1">OFFSET('1课程考核方式及成绩组成'!$F$10,(ROW(E673)-5)/7,MOD((ROW(E673)-5),7))</f>
        <v>0</v>
      </c>
      <c r="F673" s="19">
        <f ca="1">OFFSET('1课程考核方式及成绩组成'!$N$10,(ROW(F673)-5)/7,MOD((ROW(F673)-5),7))</f>
        <v>87</v>
      </c>
      <c r="G673" s="19">
        <f ca="1">OFFSET('1课程考核方式及成绩组成'!$V$10,(ROW(G673)-5)/7,MOD((ROW(G673)-5),7))</f>
        <v>0</v>
      </c>
      <c r="H673" s="19">
        <f ca="1">OFFSET('1课程考核方式及成绩组成'!$AD$10,(ROW(H673)-5)/7,MOD((ROW(H673)-5),7))</f>
        <v>0</v>
      </c>
      <c r="I673" s="19">
        <f ca="1">OFFSET('1课程考核方式及成绩组成'!$AL$10,(ROW(I673)-5)/7,MOD((ROW(I673)-5),7))</f>
        <v>0</v>
      </c>
      <c r="J673" s="25">
        <f ca="1">IF('0信息维护'!$I$103=0,0,E673/('0信息维护'!$I$103)*'0信息维护'!$E$38*'0信息维护'!$S$28)+IF('0信息维护'!$I$104=0,0,F673/('0信息维护'!$I$104)*'0信息维护'!$E$38*'0信息维护'!$T$28)+IF('0信息维护'!$I$105=0,0,G673/('0信息维护'!$I$105)*'0信息维护'!$E$38*'0信息维护'!$U$28)+IF('0信息维护'!$I$106=0,0,H673/('0信息维护'!$I$106)*'0信息维护'!$E$38*'0信息维护'!$V$28)+IF('0信息维护'!$I$107=0,0,I673/'0信息维护'!$I$107*'0信息维护'!$I$38)</f>
        <v>0.87</v>
      </c>
      <c r="K673" s="27"/>
    </row>
    <row r="674" spans="1:11">
      <c r="A674" s="20"/>
      <c r="B674" s="20"/>
      <c r="C674" s="20"/>
      <c r="D674" s="18" t="str">
        <f>'0信息维护'!A$29</f>
        <v>课程目标5</v>
      </c>
      <c r="E674" s="19">
        <f ca="1">OFFSET('1课程考核方式及成绩组成'!$F$10,(ROW(E674)-5)/7,MOD((ROW(E674)-5),7))</f>
        <v>0</v>
      </c>
      <c r="F674" s="19">
        <f ca="1">OFFSET('1课程考核方式及成绩组成'!$N$10,(ROW(F674)-5)/7,MOD((ROW(F674)-5),7))</f>
        <v>0</v>
      </c>
      <c r="G674" s="19">
        <f ca="1">OFFSET('1课程考核方式及成绩组成'!$V$10,(ROW(G674)-5)/7,MOD((ROW(G674)-5),7))</f>
        <v>0</v>
      </c>
      <c r="H674" s="19">
        <f ca="1">OFFSET('1课程考核方式及成绩组成'!$AD$10,(ROW(H674)-5)/7,MOD((ROW(H674)-5),7))</f>
        <v>0</v>
      </c>
      <c r="I674" s="19">
        <f ca="1">OFFSET('1课程考核方式及成绩组成'!$AL$10,(ROW(I674)-5)/7,MOD((ROW(I674)-5),7))</f>
        <v>0</v>
      </c>
      <c r="J674" s="25">
        <f ca="1">IF('0信息维护'!$I$109=0,0,E674/('0信息维护'!$I$109)*'0信息维护'!$E$39*'0信息维护'!$S$29)+IF('0信息维护'!$I$110=0,0,F674/('0信息维护'!$I$110)*'0信息维护'!$E$39*'0信息维护'!$T$29)+IF('0信息维护'!$I$111=0,0,G674/('0信息维护'!$I$111)*'0信息维护'!$E$39*'0信息维护'!$U$29)+IF('0信息维护'!$I$112=0,0,H674/('0信息维护'!$I$112)*'0信息维护'!$E$39*'0信息维护'!$V$29)+IF('0信息维护'!$I$113=0,0,I674/'0信息维护'!$I$113*'0信息维护'!$I$39)</f>
        <v>0</v>
      </c>
      <c r="K674" s="27"/>
    </row>
    <row r="675" spans="1:11">
      <c r="A675" s="20"/>
      <c r="B675" s="20"/>
      <c r="C675" s="20"/>
      <c r="D675" s="18" t="str">
        <f>'0信息维护'!A$30</f>
        <v>课程目标6</v>
      </c>
      <c r="E675" s="19">
        <f ca="1">OFFSET('1课程考核方式及成绩组成'!$F$10,(ROW(E675)-5)/7,MOD((ROW(E675)-5),7))</f>
        <v>0</v>
      </c>
      <c r="F675" s="19">
        <f ca="1">OFFSET('1课程考核方式及成绩组成'!$N$10,(ROW(F675)-5)/7,MOD((ROW(F675)-5),7))</f>
        <v>0</v>
      </c>
      <c r="G675" s="19">
        <f ca="1">OFFSET('1课程考核方式及成绩组成'!$V$10,(ROW(G675)-5)/7,MOD((ROW(G675)-5),7))</f>
        <v>0</v>
      </c>
      <c r="H675" s="19">
        <f ca="1">OFFSET('1课程考核方式及成绩组成'!$AD$10,(ROW(H675)-5)/7,MOD((ROW(H675)-5),7))</f>
        <v>0</v>
      </c>
      <c r="I675" s="19">
        <f ca="1">OFFSET('1课程考核方式及成绩组成'!$AL$10,(ROW(I675)-5)/7,MOD((ROW(I675)-5),7))</f>
        <v>0</v>
      </c>
      <c r="J675" s="25">
        <f ca="1">IF('0信息维护'!$I$115=0,0,E675/('0信息维护'!$I$115)*'0信息维护'!$E$40*'0信息维护'!$S$30)+IF('0信息维护'!$I$116=0,0,F675/('0信息维护'!$I$116)*'0信息维护'!$E$40*'0信息维护'!$T$30)+IF('0信息维护'!$I$117=0,0,G675/('0信息维护'!$I$117)*'0信息维护'!$E$40*'0信息维护'!$U$30)+IF('0信息维护'!$I$118=0,0,H675/('0信息维护'!$I$118)*'0信息维护'!$E$40*'0信息维护'!$V$30)+IF('0信息维护'!$I$119=0,0,I675/'0信息维护'!$I$119*'0信息维护'!$I$40)</f>
        <v>0</v>
      </c>
      <c r="K675" s="27"/>
    </row>
    <row r="676" spans="1:11">
      <c r="A676" s="21"/>
      <c r="B676" s="21"/>
      <c r="C676" s="21"/>
      <c r="D676" s="18" t="str">
        <f>'0信息维护'!A$31</f>
        <v>课程目标7</v>
      </c>
      <c r="E676" s="19">
        <f ca="1">OFFSET('1课程考核方式及成绩组成'!$F$10,(ROW(E676)-5)/7,MOD((ROW(E676)-5),7))</f>
        <v>0</v>
      </c>
      <c r="F676" s="19">
        <f ca="1">OFFSET('1课程考核方式及成绩组成'!$N$10,(ROW(F676)-5)/7,MOD((ROW(F676)-5),7))</f>
        <v>0</v>
      </c>
      <c r="G676" s="19">
        <f ca="1">OFFSET('1课程考核方式及成绩组成'!$V$10,(ROW(G676)-5)/7,MOD((ROW(G676)-5),7))</f>
        <v>0</v>
      </c>
      <c r="H676" s="19">
        <f ca="1">OFFSET('1课程考核方式及成绩组成'!$AD$10,(ROW(H676)-5)/7,MOD((ROW(H676)-5),7))</f>
        <v>0</v>
      </c>
      <c r="I676" s="19">
        <f ca="1">OFFSET('1课程考核方式及成绩组成'!$AL$10,(ROW(I676)-5)/7,MOD((ROW(I676)-5),7))</f>
        <v>0</v>
      </c>
      <c r="J676" s="25">
        <f ca="1">IF('0信息维护'!$I$121=0,0,E676/('0信息维护'!$I$121)*'0信息维护'!$E$41*'0信息维护'!$S$31)+IF('0信息维护'!$I$122=0,0,F676/('0信息维护'!$I$122)*'0信息维护'!$E$41*'0信息维护'!$T$31)+IF('0信息维护'!$I$123=0,0,G676/('0信息维护'!$I$123)*'0信息维护'!$E$41*'0信息维护'!$U$31)+IF('0信息维护'!$I$124=0,0,H676/('0信息维护'!$I$124)*'0信息维护'!$E$41*'0信息维护'!$T$31)+IF('0信息维护'!$I$125=0,0,I676/'0信息维护'!$I$125*'0信息维护'!$I$41)</f>
        <v>0</v>
      </c>
      <c r="K676" s="30"/>
    </row>
    <row r="677" spans="1:11">
      <c r="A677" s="17">
        <v>97</v>
      </c>
      <c r="B677" s="17" t="str">
        <f ca="1">OFFSET('1课程考核方式及成绩组成'!$D$10,(ROW(B677)-5)/7,)</f>
        <v>220106120</v>
      </c>
      <c r="C677" s="17" t="str">
        <f ca="1">OFFSET('1课程考核方式及成绩组成'!$E$10,(ROW(C677)-5)/7,)</f>
        <v>庞思民</v>
      </c>
      <c r="D677" s="18" t="str">
        <f>'0信息维护'!A$25</f>
        <v>课程目标1</v>
      </c>
      <c r="E677" s="19">
        <f ca="1">OFFSET('1课程考核方式及成绩组成'!$F$10,(ROW(E677)-5)/7,MOD((ROW(E677)-5),7))</f>
        <v>34</v>
      </c>
      <c r="F677" s="19">
        <f ca="1">OFFSET('1课程考核方式及成绩组成'!$N$10,(ROW(F677)-5)/7,MOD((ROW(F677)-5),7))</f>
        <v>0</v>
      </c>
      <c r="G677" s="19">
        <f ca="1">OFFSET('1课程考核方式及成绩组成'!$V$10,(ROW(G677)-5)/7,MOD((ROW(G677)-5),7))</f>
        <v>0</v>
      </c>
      <c r="H677" s="19">
        <f ca="1">OFFSET('1课程考核方式及成绩组成'!$AD$10,(ROW(H677)-5)/7,MOD((ROW(H677)-5),7))</f>
        <v>0</v>
      </c>
      <c r="I677" s="19">
        <f ca="1">OFFSET('1课程考核方式及成绩组成'!$AL$10,(ROW(I677)-5)/7,MOD((ROW(I677)-5),7))</f>
        <v>24</v>
      </c>
      <c r="J677" s="25">
        <f ca="1">IF('0信息维护'!$I$85=0,0,E677/('0信息维护'!$I$85)*'0信息维护'!$E$35*'0信息维护'!$S$25)+IF('0信息维护'!$I$86=0,0,F677/('0信息维护'!$I$86)*'0信息维护'!$E$35*'0信息维护'!$T$25)+IF('0信息维护'!$I$87=0,0,G677/('0信息维护'!$I$87)*'0信息维护'!$E$35*'0信息维护'!$U$25)+IF('0信息维护'!$I$88=0,0,H677/('0信息维护'!$I$88)*'0信息维护'!$E$35*'0信息维护'!$V$25)+IF('0信息维护'!$I$89=0,0,I677/'0信息维护'!$I$89*'0信息维护'!$I$35)</f>
        <v>0.758333333333333</v>
      </c>
      <c r="K677" s="26">
        <f ca="1">J677*'0信息维护'!$D$132+J678*'0信息维护'!$D$133+J679*'0信息维护'!$D$134+J680*'0信息维护'!$D$135+J681*'0信息维护'!$D$136+J682*'0信息维护'!$D$137+J683*'0信息维护'!$D$138</f>
        <v>0.671544117647059</v>
      </c>
    </row>
    <row r="678" spans="1:14">
      <c r="A678" s="20"/>
      <c r="B678" s="20"/>
      <c r="C678" s="20"/>
      <c r="D678" s="18" t="str">
        <f>'0信息维护'!A$26</f>
        <v>课程目标2</v>
      </c>
      <c r="E678" s="19">
        <f ca="1">OFFSET('1课程考核方式及成绩组成'!$F$10,(ROW(E678)-5)/7,MOD((ROW(E678)-5),7))</f>
        <v>51</v>
      </c>
      <c r="F678" s="19">
        <f ca="1">OFFSET('1课程考核方式及成绩组成'!$N$10,(ROW(F678)-5)/7,MOD((ROW(F678)-5),7))</f>
        <v>0</v>
      </c>
      <c r="G678" s="19">
        <f ca="1">OFFSET('1课程考核方式及成绩组成'!$V$10,(ROW(G678)-5)/7,MOD((ROW(G678)-5),7))</f>
        <v>0</v>
      </c>
      <c r="H678" s="19">
        <f ca="1">OFFSET('1课程考核方式及成绩组成'!$AD$10,(ROW(H678)-5)/7,MOD((ROW(H678)-5),7))</f>
        <v>0</v>
      </c>
      <c r="I678" s="19">
        <f ca="1">OFFSET('1课程考核方式及成绩组成'!$AL$10,(ROW(I678)-5)/7,MOD((ROW(I678)-5),7))</f>
        <v>16</v>
      </c>
      <c r="J678" s="25">
        <f ca="1">IF('0信息维护'!$I$91=0,0,E678/('0信息维护'!$I$91)*'0信息维护'!$S$26*'0信息维护'!$E$36)+IF('0信息维护'!$I$92=0,0,F678/('0信息维护'!$I$92)*'0信息维护'!$T$26*'0信息维护'!$E$36)+IF('0信息维护'!$I$93=0,0,G678/('0信息维护'!$I$93)*'0信息维护'!$U$26*'0信息维护'!$E$36)+IF('0信息维护'!$I$94=0,0,H678/('0信息维护'!$I$94)*'0信息维护'!$V$26*'0信息维护'!$E$36)+IF('0信息维护'!$I$95=0,0,I678/'0信息维护'!$I$95*'0信息维护'!$I$36)</f>
        <v>0.691666666666667</v>
      </c>
      <c r="K678" s="27"/>
      <c r="N678" s="29"/>
    </row>
    <row r="679" spans="1:11">
      <c r="A679" s="20"/>
      <c r="B679" s="20"/>
      <c r="C679" s="20"/>
      <c r="D679" s="18" t="str">
        <f>'0信息维护'!A$27</f>
        <v>课程目标3</v>
      </c>
      <c r="E679" s="19">
        <f ca="1">OFFSET('1课程考核方式及成绩组成'!$F$10,(ROW(E679)-5)/7,MOD((ROW(E679)-5),7))</f>
        <v>0</v>
      </c>
      <c r="F679" s="19">
        <f ca="1">OFFSET('1课程考核方式及成绩组成'!$N$10,(ROW(F679)-5)/7,MOD((ROW(F679)-5),7))</f>
        <v>0</v>
      </c>
      <c r="G679" s="19">
        <f ca="1">OFFSET('1课程考核方式及成绩组成'!$V$10,(ROW(G679)-5)/7,MOD((ROW(G679)-5),7))</f>
        <v>0</v>
      </c>
      <c r="H679" s="19">
        <f ca="1">OFFSET('1课程考核方式及成绩组成'!$AD$10,(ROW(H679)-5)/7,MOD((ROW(H679)-5),7))</f>
        <v>0</v>
      </c>
      <c r="I679" s="19">
        <f ca="1">OFFSET('1课程考核方式及成绩组成'!$AL$10,(ROW(I679)-5)/7,MOD((ROW(I679)-5),7))</f>
        <v>15</v>
      </c>
      <c r="J679" s="25">
        <f ca="1">IF('0信息维护'!$I$97=0,0,E679/('0信息维护'!$I$97)*'0信息维护'!$E$37*'0信息维护'!$S$27)+IF('0信息维护'!$I$98=0,0,F679/('0信息维护'!$I$98)*'0信息维护'!$E$37*'0信息维护'!$T$27)+IF('0信息维护'!$I$99=0,0,G679/('0信息维护'!$I$99)*'0信息维护'!$E$37*'0信息维护'!$U$27)+IF('0信息维护'!$I$100=0,0,H679/('0信息维护'!$I$100)*'0信息维护'!$E$37*'0信息维护'!$V$27)+IF('0信息维护'!$I$101=0,0,I679/'0信息维护'!$I$101*'0信息维护'!$I$37)</f>
        <v>0.441176470588235</v>
      </c>
      <c r="K679" s="27"/>
    </row>
    <row r="680" spans="1:11">
      <c r="A680" s="20"/>
      <c r="B680" s="20"/>
      <c r="C680" s="20"/>
      <c r="D680" s="18" t="str">
        <f>'0信息维护'!A$28</f>
        <v>课程目标4</v>
      </c>
      <c r="E680" s="19">
        <f ca="1">OFFSET('1课程考核方式及成绩组成'!$F$10,(ROW(E680)-5)/7,MOD((ROW(E680)-5),7))</f>
        <v>0</v>
      </c>
      <c r="F680" s="19">
        <f ca="1">OFFSET('1课程考核方式及成绩组成'!$N$10,(ROW(F680)-5)/7,MOD((ROW(F680)-5),7))</f>
        <v>80</v>
      </c>
      <c r="G680" s="19">
        <f ca="1">OFFSET('1课程考核方式及成绩组成'!$V$10,(ROW(G680)-5)/7,MOD((ROW(G680)-5),7))</f>
        <v>0</v>
      </c>
      <c r="H680" s="19">
        <f ca="1">OFFSET('1课程考核方式及成绩组成'!$AD$10,(ROW(H680)-5)/7,MOD((ROW(H680)-5),7))</f>
        <v>0</v>
      </c>
      <c r="I680" s="19">
        <f ca="1">OFFSET('1课程考核方式及成绩组成'!$AL$10,(ROW(I680)-5)/7,MOD((ROW(I680)-5),7))</f>
        <v>0</v>
      </c>
      <c r="J680" s="25">
        <f ca="1">IF('0信息维护'!$I$103=0,0,E680/('0信息维护'!$I$103)*'0信息维护'!$E$38*'0信息维护'!$S$28)+IF('0信息维护'!$I$104=0,0,F680/('0信息维护'!$I$104)*'0信息维护'!$E$38*'0信息维护'!$T$28)+IF('0信息维护'!$I$105=0,0,G680/('0信息维护'!$I$105)*'0信息维护'!$E$38*'0信息维护'!$U$28)+IF('0信息维护'!$I$106=0,0,H680/('0信息维护'!$I$106)*'0信息维护'!$E$38*'0信息维护'!$V$28)+IF('0信息维护'!$I$107=0,0,I680/'0信息维护'!$I$107*'0信息维护'!$I$38)</f>
        <v>0.8</v>
      </c>
      <c r="K680" s="27"/>
    </row>
    <row r="681" spans="1:11">
      <c r="A681" s="20"/>
      <c r="B681" s="20"/>
      <c r="C681" s="20"/>
      <c r="D681" s="18" t="str">
        <f>'0信息维护'!A$29</f>
        <v>课程目标5</v>
      </c>
      <c r="E681" s="19">
        <f ca="1">OFFSET('1课程考核方式及成绩组成'!$F$10,(ROW(E681)-5)/7,MOD((ROW(E681)-5),7))</f>
        <v>0</v>
      </c>
      <c r="F681" s="19">
        <f ca="1">OFFSET('1课程考核方式及成绩组成'!$N$10,(ROW(F681)-5)/7,MOD((ROW(F681)-5),7))</f>
        <v>0</v>
      </c>
      <c r="G681" s="19">
        <f ca="1">OFFSET('1课程考核方式及成绩组成'!$V$10,(ROW(G681)-5)/7,MOD((ROW(G681)-5),7))</f>
        <v>0</v>
      </c>
      <c r="H681" s="19">
        <f ca="1">OFFSET('1课程考核方式及成绩组成'!$AD$10,(ROW(H681)-5)/7,MOD((ROW(H681)-5),7))</f>
        <v>0</v>
      </c>
      <c r="I681" s="19">
        <f ca="1">OFFSET('1课程考核方式及成绩组成'!$AL$10,(ROW(I681)-5)/7,MOD((ROW(I681)-5),7))</f>
        <v>0</v>
      </c>
      <c r="J681" s="25">
        <f ca="1">IF('0信息维护'!$I$109=0,0,E681/('0信息维护'!$I$109)*'0信息维护'!$E$39*'0信息维护'!$S$29)+IF('0信息维护'!$I$110=0,0,F681/('0信息维护'!$I$110)*'0信息维护'!$E$39*'0信息维护'!$T$29)+IF('0信息维护'!$I$111=0,0,G681/('0信息维护'!$I$111)*'0信息维护'!$E$39*'0信息维护'!$U$29)+IF('0信息维护'!$I$112=0,0,H681/('0信息维护'!$I$112)*'0信息维护'!$E$39*'0信息维护'!$V$29)+IF('0信息维护'!$I$113=0,0,I681/'0信息维护'!$I$113*'0信息维护'!$I$39)</f>
        <v>0</v>
      </c>
      <c r="K681" s="27"/>
    </row>
    <row r="682" spans="1:11">
      <c r="A682" s="20"/>
      <c r="B682" s="20"/>
      <c r="C682" s="20"/>
      <c r="D682" s="18" t="str">
        <f>'0信息维护'!A$30</f>
        <v>课程目标6</v>
      </c>
      <c r="E682" s="19">
        <f ca="1">OFFSET('1课程考核方式及成绩组成'!$F$10,(ROW(E682)-5)/7,MOD((ROW(E682)-5),7))</f>
        <v>0</v>
      </c>
      <c r="F682" s="19">
        <f ca="1">OFFSET('1课程考核方式及成绩组成'!$N$10,(ROW(F682)-5)/7,MOD((ROW(F682)-5),7))</f>
        <v>0</v>
      </c>
      <c r="G682" s="19">
        <f ca="1">OFFSET('1课程考核方式及成绩组成'!$V$10,(ROW(G682)-5)/7,MOD((ROW(G682)-5),7))</f>
        <v>0</v>
      </c>
      <c r="H682" s="19">
        <f ca="1">OFFSET('1课程考核方式及成绩组成'!$AD$10,(ROW(H682)-5)/7,MOD((ROW(H682)-5),7))</f>
        <v>0</v>
      </c>
      <c r="I682" s="19">
        <f ca="1">OFFSET('1课程考核方式及成绩组成'!$AL$10,(ROW(I682)-5)/7,MOD((ROW(I682)-5),7))</f>
        <v>0</v>
      </c>
      <c r="J682" s="25">
        <f ca="1">IF('0信息维护'!$I$115=0,0,E682/('0信息维护'!$I$115)*'0信息维护'!$E$40*'0信息维护'!$S$30)+IF('0信息维护'!$I$116=0,0,F682/('0信息维护'!$I$116)*'0信息维护'!$E$40*'0信息维护'!$T$30)+IF('0信息维护'!$I$117=0,0,G682/('0信息维护'!$I$117)*'0信息维护'!$E$40*'0信息维护'!$U$30)+IF('0信息维护'!$I$118=0,0,H682/('0信息维护'!$I$118)*'0信息维护'!$E$40*'0信息维护'!$V$30)+IF('0信息维护'!$I$119=0,0,I682/'0信息维护'!$I$119*'0信息维护'!$I$40)</f>
        <v>0</v>
      </c>
      <c r="K682" s="27"/>
    </row>
    <row r="683" spans="1:11">
      <c r="A683" s="21"/>
      <c r="B683" s="21"/>
      <c r="C683" s="21"/>
      <c r="D683" s="18" t="str">
        <f>'0信息维护'!A$31</f>
        <v>课程目标7</v>
      </c>
      <c r="E683" s="19">
        <f ca="1">OFFSET('1课程考核方式及成绩组成'!$F$10,(ROW(E683)-5)/7,MOD((ROW(E683)-5),7))</f>
        <v>0</v>
      </c>
      <c r="F683" s="19">
        <f ca="1">OFFSET('1课程考核方式及成绩组成'!$N$10,(ROW(F683)-5)/7,MOD((ROW(F683)-5),7))</f>
        <v>0</v>
      </c>
      <c r="G683" s="19">
        <f ca="1">OFFSET('1课程考核方式及成绩组成'!$V$10,(ROW(G683)-5)/7,MOD((ROW(G683)-5),7))</f>
        <v>0</v>
      </c>
      <c r="H683" s="19">
        <f ca="1">OFFSET('1课程考核方式及成绩组成'!$AD$10,(ROW(H683)-5)/7,MOD((ROW(H683)-5),7))</f>
        <v>0</v>
      </c>
      <c r="I683" s="19">
        <f ca="1">OFFSET('1课程考核方式及成绩组成'!$AL$10,(ROW(I683)-5)/7,MOD((ROW(I683)-5),7))</f>
        <v>0</v>
      </c>
      <c r="J683" s="25">
        <f ca="1">IF('0信息维护'!$I$121=0,0,E683/('0信息维护'!$I$121)*'0信息维护'!$E$41*'0信息维护'!$S$31)+IF('0信息维护'!$I$122=0,0,F683/('0信息维护'!$I$122)*'0信息维护'!$E$41*'0信息维护'!$T$31)+IF('0信息维护'!$I$123=0,0,G683/('0信息维护'!$I$123)*'0信息维护'!$E$41*'0信息维护'!$U$31)+IF('0信息维护'!$I$124=0,0,H683/('0信息维护'!$I$124)*'0信息维护'!$E$41*'0信息维护'!$T$31)+IF('0信息维护'!$I$125=0,0,I683/'0信息维护'!$I$125*'0信息维护'!$I$41)</f>
        <v>0</v>
      </c>
      <c r="K683" s="30"/>
    </row>
    <row r="684" spans="1:11">
      <c r="A684" s="17">
        <v>98</v>
      </c>
      <c r="B684" s="17" t="str">
        <f ca="1">OFFSET('1课程考核方式及成绩组成'!$D$10,(ROW(B684)-5)/7,)</f>
        <v>220106121</v>
      </c>
      <c r="C684" s="17" t="str">
        <f ca="1">OFFSET('1课程考核方式及成绩组成'!$E$10,(ROW(C684)-5)/7,)</f>
        <v>高涵</v>
      </c>
      <c r="D684" s="18" t="str">
        <f>'0信息维护'!A$25</f>
        <v>课程目标1</v>
      </c>
      <c r="E684" s="19">
        <f ca="1">OFFSET('1课程考核方式及成绩组成'!$F$10,(ROW(E684)-5)/7,MOD((ROW(E684)-5),7))</f>
        <v>33</v>
      </c>
      <c r="F684" s="19">
        <f ca="1">OFFSET('1课程考核方式及成绩组成'!$N$10,(ROW(F684)-5)/7,MOD((ROW(F684)-5),7))</f>
        <v>0</v>
      </c>
      <c r="G684" s="19">
        <f ca="1">OFFSET('1课程考核方式及成绩组成'!$V$10,(ROW(G684)-5)/7,MOD((ROW(G684)-5),7))</f>
        <v>0</v>
      </c>
      <c r="H684" s="19">
        <f ca="1">OFFSET('1课程考核方式及成绩组成'!$AD$10,(ROW(H684)-5)/7,MOD((ROW(H684)-5),7))</f>
        <v>0</v>
      </c>
      <c r="I684" s="19">
        <f ca="1">OFFSET('1课程考核方式及成绩组成'!$AL$10,(ROW(I684)-5)/7,MOD((ROW(I684)-5),7))</f>
        <v>23</v>
      </c>
      <c r="J684" s="25">
        <f ca="1">IF('0信息维护'!$I$85=0,0,E684/('0信息维护'!$I$85)*'0信息维护'!$E$35*'0信息维护'!$S$25)+IF('0信息维护'!$I$86=0,0,F684/('0信息维护'!$I$86)*'0信息维护'!$E$35*'0信息维护'!$T$25)+IF('0信息维护'!$I$87=0,0,G684/('0信息维护'!$I$87)*'0信息维护'!$E$35*'0信息维护'!$U$25)+IF('0信息维护'!$I$88=0,0,H684/('0信息维护'!$I$88)*'0信息维护'!$E$35*'0信息维护'!$V$25)+IF('0信息维护'!$I$89=0,0,I684/'0信息维护'!$I$89*'0信息维护'!$I$35)</f>
        <v>0.731944444444444</v>
      </c>
      <c r="K684" s="26">
        <f ca="1">J684*'0信息维护'!$D$132+J685*'0信息维护'!$D$133+J686*'0信息维护'!$D$134+J687*'0信息维护'!$D$135+J688*'0信息维护'!$D$136+J689*'0信息维护'!$D$137+J690*'0信息维护'!$D$138</f>
        <v>0.629879901960784</v>
      </c>
    </row>
    <row r="685" spans="1:14">
      <c r="A685" s="20"/>
      <c r="B685" s="20"/>
      <c r="C685" s="20"/>
      <c r="D685" s="18" t="str">
        <f>'0信息维护'!A$26</f>
        <v>课程目标2</v>
      </c>
      <c r="E685" s="19">
        <f ca="1">OFFSET('1课程考核方式及成绩组成'!$F$10,(ROW(E685)-5)/7,MOD((ROW(E685)-5),7))</f>
        <v>51</v>
      </c>
      <c r="F685" s="19">
        <f ca="1">OFFSET('1课程考核方式及成绩组成'!$N$10,(ROW(F685)-5)/7,MOD((ROW(F685)-5),7))</f>
        <v>0</v>
      </c>
      <c r="G685" s="19">
        <f ca="1">OFFSET('1课程考核方式及成绩组成'!$V$10,(ROW(G685)-5)/7,MOD((ROW(G685)-5),7))</f>
        <v>0</v>
      </c>
      <c r="H685" s="19">
        <f ca="1">OFFSET('1课程考核方式及成绩组成'!$AD$10,(ROW(H685)-5)/7,MOD((ROW(H685)-5),7))</f>
        <v>0</v>
      </c>
      <c r="I685" s="19">
        <f ca="1">OFFSET('1课程考核方式及成绩组成'!$AL$10,(ROW(I685)-5)/7,MOD((ROW(I685)-5),7))</f>
        <v>12</v>
      </c>
      <c r="J685" s="25">
        <f ca="1">IF('0信息维护'!$I$91=0,0,E685/('0信息维护'!$I$91)*'0信息维护'!$S$26*'0信息维护'!$E$36)+IF('0信息维护'!$I$92=0,0,F685/('0信息维护'!$I$92)*'0信息维护'!$T$26*'0信息维护'!$E$36)+IF('0信息维护'!$I$93=0,0,G685/('0信息维护'!$I$93)*'0信息维护'!$U$26*'0信息维护'!$E$36)+IF('0信息维护'!$I$94=0,0,H685/('0信息维护'!$I$94)*'0信息维护'!$V$26*'0信息维护'!$E$36)+IF('0信息维护'!$I$95=0,0,I685/'0信息维护'!$I$95*'0信息维护'!$I$36)</f>
        <v>0.625</v>
      </c>
      <c r="K685" s="27"/>
      <c r="N685" s="29"/>
    </row>
    <row r="686" spans="1:11">
      <c r="A686" s="20"/>
      <c r="B686" s="20"/>
      <c r="C686" s="20"/>
      <c r="D686" s="18" t="str">
        <f>'0信息维护'!A$27</f>
        <v>课程目标3</v>
      </c>
      <c r="E686" s="19">
        <f ca="1">OFFSET('1课程考核方式及成绩组成'!$F$10,(ROW(E686)-5)/7,MOD((ROW(E686)-5),7))</f>
        <v>0</v>
      </c>
      <c r="F686" s="19">
        <f ca="1">OFFSET('1课程考核方式及成绩组成'!$N$10,(ROW(F686)-5)/7,MOD((ROW(F686)-5),7))</f>
        <v>0</v>
      </c>
      <c r="G686" s="19">
        <f ca="1">OFFSET('1课程考核方式及成绩组成'!$V$10,(ROW(G686)-5)/7,MOD((ROW(G686)-5),7))</f>
        <v>0</v>
      </c>
      <c r="H686" s="19">
        <f ca="1">OFFSET('1课程考核方式及成绩组成'!$AD$10,(ROW(H686)-5)/7,MOD((ROW(H686)-5),7))</f>
        <v>0</v>
      </c>
      <c r="I686" s="19">
        <f ca="1">OFFSET('1课程考核方式及成绩组成'!$AL$10,(ROW(I686)-5)/7,MOD((ROW(I686)-5),7))</f>
        <v>13</v>
      </c>
      <c r="J686" s="25">
        <f ca="1">IF('0信息维护'!$I$97=0,0,E686/('0信息维护'!$I$97)*'0信息维护'!$E$37*'0信息维护'!$S$27)+IF('0信息维护'!$I$98=0,0,F686/('0信息维护'!$I$98)*'0信息维护'!$E$37*'0信息维护'!$T$27)+IF('0信息维护'!$I$99=0,0,G686/('0信息维护'!$I$99)*'0信息维护'!$E$37*'0信息维护'!$U$27)+IF('0信息维护'!$I$100=0,0,H686/('0信息维护'!$I$100)*'0信息维护'!$E$37*'0信息维护'!$V$27)+IF('0信息维护'!$I$101=0,0,I686/'0信息维护'!$I$101*'0信息维护'!$I$37)</f>
        <v>0.382352941176471</v>
      </c>
      <c r="K686" s="27"/>
    </row>
    <row r="687" spans="1:11">
      <c r="A687" s="20"/>
      <c r="B687" s="20"/>
      <c r="C687" s="20"/>
      <c r="D687" s="18" t="str">
        <f>'0信息维护'!A$28</f>
        <v>课程目标4</v>
      </c>
      <c r="E687" s="19">
        <f ca="1">OFFSET('1课程考核方式及成绩组成'!$F$10,(ROW(E687)-5)/7,MOD((ROW(E687)-5),7))</f>
        <v>0</v>
      </c>
      <c r="F687" s="19">
        <f ca="1">OFFSET('1课程考核方式及成绩组成'!$N$10,(ROW(F687)-5)/7,MOD((ROW(F687)-5),7))</f>
        <v>79</v>
      </c>
      <c r="G687" s="19">
        <f ca="1">OFFSET('1课程考核方式及成绩组成'!$V$10,(ROW(G687)-5)/7,MOD((ROW(G687)-5),7))</f>
        <v>0</v>
      </c>
      <c r="H687" s="19">
        <f ca="1">OFFSET('1课程考核方式及成绩组成'!$AD$10,(ROW(H687)-5)/7,MOD((ROW(H687)-5),7))</f>
        <v>0</v>
      </c>
      <c r="I687" s="19">
        <f ca="1">OFFSET('1课程考核方式及成绩组成'!$AL$10,(ROW(I687)-5)/7,MOD((ROW(I687)-5),7))</f>
        <v>0</v>
      </c>
      <c r="J687" s="25">
        <f ca="1">IF('0信息维护'!$I$103=0,0,E687/('0信息维护'!$I$103)*'0信息维护'!$E$38*'0信息维护'!$S$28)+IF('0信息维护'!$I$104=0,0,F687/('0信息维护'!$I$104)*'0信息维护'!$E$38*'0信息维护'!$T$28)+IF('0信息维护'!$I$105=0,0,G687/('0信息维护'!$I$105)*'0信息维护'!$E$38*'0信息维护'!$U$28)+IF('0信息维护'!$I$106=0,0,H687/('0信息维护'!$I$106)*'0信息维护'!$E$38*'0信息维护'!$V$28)+IF('0信息维护'!$I$107=0,0,I687/'0信息维护'!$I$107*'0信息维护'!$I$38)</f>
        <v>0.79</v>
      </c>
      <c r="K687" s="27"/>
    </row>
    <row r="688" spans="1:11">
      <c r="A688" s="20"/>
      <c r="B688" s="20"/>
      <c r="C688" s="20"/>
      <c r="D688" s="18" t="str">
        <f>'0信息维护'!A$29</f>
        <v>课程目标5</v>
      </c>
      <c r="E688" s="19">
        <f ca="1">OFFSET('1课程考核方式及成绩组成'!$F$10,(ROW(E688)-5)/7,MOD((ROW(E688)-5),7))</f>
        <v>0</v>
      </c>
      <c r="F688" s="19">
        <f ca="1">OFFSET('1课程考核方式及成绩组成'!$N$10,(ROW(F688)-5)/7,MOD((ROW(F688)-5),7))</f>
        <v>0</v>
      </c>
      <c r="G688" s="19">
        <f ca="1">OFFSET('1课程考核方式及成绩组成'!$V$10,(ROW(G688)-5)/7,MOD((ROW(G688)-5),7))</f>
        <v>0</v>
      </c>
      <c r="H688" s="19">
        <f ca="1">OFFSET('1课程考核方式及成绩组成'!$AD$10,(ROW(H688)-5)/7,MOD((ROW(H688)-5),7))</f>
        <v>0</v>
      </c>
      <c r="I688" s="19">
        <f ca="1">OFFSET('1课程考核方式及成绩组成'!$AL$10,(ROW(I688)-5)/7,MOD((ROW(I688)-5),7))</f>
        <v>0</v>
      </c>
      <c r="J688" s="25">
        <f ca="1">IF('0信息维护'!$I$109=0,0,E688/('0信息维护'!$I$109)*'0信息维护'!$E$39*'0信息维护'!$S$29)+IF('0信息维护'!$I$110=0,0,F688/('0信息维护'!$I$110)*'0信息维护'!$E$39*'0信息维护'!$T$29)+IF('0信息维护'!$I$111=0,0,G688/('0信息维护'!$I$111)*'0信息维护'!$E$39*'0信息维护'!$U$29)+IF('0信息维护'!$I$112=0,0,H688/('0信息维护'!$I$112)*'0信息维护'!$E$39*'0信息维护'!$V$29)+IF('0信息维护'!$I$113=0,0,I688/'0信息维护'!$I$113*'0信息维护'!$I$39)</f>
        <v>0</v>
      </c>
      <c r="K688" s="27"/>
    </row>
    <row r="689" spans="1:11">
      <c r="A689" s="20"/>
      <c r="B689" s="20"/>
      <c r="C689" s="20"/>
      <c r="D689" s="18" t="str">
        <f>'0信息维护'!A$30</f>
        <v>课程目标6</v>
      </c>
      <c r="E689" s="19">
        <f ca="1">OFFSET('1课程考核方式及成绩组成'!$F$10,(ROW(E689)-5)/7,MOD((ROW(E689)-5),7))</f>
        <v>0</v>
      </c>
      <c r="F689" s="19">
        <f ca="1">OFFSET('1课程考核方式及成绩组成'!$N$10,(ROW(F689)-5)/7,MOD((ROW(F689)-5),7))</f>
        <v>0</v>
      </c>
      <c r="G689" s="19">
        <f ca="1">OFFSET('1课程考核方式及成绩组成'!$V$10,(ROW(G689)-5)/7,MOD((ROW(G689)-5),7))</f>
        <v>0</v>
      </c>
      <c r="H689" s="19">
        <f ca="1">OFFSET('1课程考核方式及成绩组成'!$AD$10,(ROW(H689)-5)/7,MOD((ROW(H689)-5),7))</f>
        <v>0</v>
      </c>
      <c r="I689" s="19">
        <f ca="1">OFFSET('1课程考核方式及成绩组成'!$AL$10,(ROW(I689)-5)/7,MOD((ROW(I689)-5),7))</f>
        <v>0</v>
      </c>
      <c r="J689" s="25">
        <f ca="1">IF('0信息维护'!$I$115=0,0,E689/('0信息维护'!$I$115)*'0信息维护'!$E$40*'0信息维护'!$S$30)+IF('0信息维护'!$I$116=0,0,F689/('0信息维护'!$I$116)*'0信息维护'!$E$40*'0信息维护'!$T$30)+IF('0信息维护'!$I$117=0,0,G689/('0信息维护'!$I$117)*'0信息维护'!$E$40*'0信息维护'!$U$30)+IF('0信息维护'!$I$118=0,0,H689/('0信息维护'!$I$118)*'0信息维护'!$E$40*'0信息维护'!$V$30)+IF('0信息维护'!$I$119=0,0,I689/'0信息维护'!$I$119*'0信息维护'!$I$40)</f>
        <v>0</v>
      </c>
      <c r="K689" s="27"/>
    </row>
    <row r="690" spans="1:11">
      <c r="A690" s="21"/>
      <c r="B690" s="21"/>
      <c r="C690" s="21"/>
      <c r="D690" s="18" t="str">
        <f>'0信息维护'!A$31</f>
        <v>课程目标7</v>
      </c>
      <c r="E690" s="19">
        <f ca="1">OFFSET('1课程考核方式及成绩组成'!$F$10,(ROW(E690)-5)/7,MOD((ROW(E690)-5),7))</f>
        <v>0</v>
      </c>
      <c r="F690" s="19">
        <f ca="1">OFFSET('1课程考核方式及成绩组成'!$N$10,(ROW(F690)-5)/7,MOD((ROW(F690)-5),7))</f>
        <v>0</v>
      </c>
      <c r="G690" s="19">
        <f ca="1">OFFSET('1课程考核方式及成绩组成'!$V$10,(ROW(G690)-5)/7,MOD((ROW(G690)-5),7))</f>
        <v>0</v>
      </c>
      <c r="H690" s="19">
        <f ca="1">OFFSET('1课程考核方式及成绩组成'!$AD$10,(ROW(H690)-5)/7,MOD((ROW(H690)-5),7))</f>
        <v>0</v>
      </c>
      <c r="I690" s="19">
        <f ca="1">OFFSET('1课程考核方式及成绩组成'!$AL$10,(ROW(I690)-5)/7,MOD((ROW(I690)-5),7))</f>
        <v>0</v>
      </c>
      <c r="J690" s="25">
        <f ca="1">IF('0信息维护'!$I$121=0,0,E690/('0信息维护'!$I$121)*'0信息维护'!$E$41*'0信息维护'!$S$31)+IF('0信息维护'!$I$122=0,0,F690/('0信息维护'!$I$122)*'0信息维护'!$E$41*'0信息维护'!$T$31)+IF('0信息维护'!$I$123=0,0,G690/('0信息维护'!$I$123)*'0信息维护'!$E$41*'0信息维护'!$U$31)+IF('0信息维护'!$I$124=0,0,H690/('0信息维护'!$I$124)*'0信息维护'!$E$41*'0信息维护'!$T$31)+IF('0信息维护'!$I$125=0,0,I690/'0信息维护'!$I$125*'0信息维护'!$I$41)</f>
        <v>0</v>
      </c>
      <c r="K690" s="30"/>
    </row>
    <row r="691" spans="1:11">
      <c r="A691" s="17">
        <v>99</v>
      </c>
      <c r="B691" s="17" t="str">
        <f ca="1">OFFSET('1课程考核方式及成绩组成'!$D$10,(ROW(B691)-5)/7,)</f>
        <v>220106122</v>
      </c>
      <c r="C691" s="17" t="str">
        <f ca="1">OFFSET('1课程考核方式及成绩组成'!$E$10,(ROW(C691)-5)/7,)</f>
        <v>谢光宗</v>
      </c>
      <c r="D691" s="18" t="str">
        <f>'0信息维护'!A$25</f>
        <v>课程目标1</v>
      </c>
      <c r="E691" s="19">
        <f ca="1">OFFSET('1课程考核方式及成绩组成'!$F$10,(ROW(E691)-5)/7,MOD((ROW(E691)-5),7))</f>
        <v>34</v>
      </c>
      <c r="F691" s="19">
        <f ca="1">OFFSET('1课程考核方式及成绩组成'!$N$10,(ROW(F691)-5)/7,MOD((ROW(F691)-5),7))</f>
        <v>0</v>
      </c>
      <c r="G691" s="19">
        <f ca="1">OFFSET('1课程考核方式及成绩组成'!$V$10,(ROW(G691)-5)/7,MOD((ROW(G691)-5),7))</f>
        <v>0</v>
      </c>
      <c r="H691" s="19">
        <f ca="1">OFFSET('1课程考核方式及成绩组成'!$AD$10,(ROW(H691)-5)/7,MOD((ROW(H691)-5),7))</f>
        <v>0</v>
      </c>
      <c r="I691" s="19">
        <f ca="1">OFFSET('1课程考核方式及成绩组成'!$AL$10,(ROW(I691)-5)/7,MOD((ROW(I691)-5),7))</f>
        <v>21</v>
      </c>
      <c r="J691" s="25">
        <f ca="1">IF('0信息维护'!$I$85=0,0,E691/('0信息维护'!$I$85)*'0信息维护'!$E$35*'0信息维护'!$S$25)+IF('0信息维护'!$I$86=0,0,F691/('0信息维护'!$I$86)*'0信息维护'!$E$35*'0信息维护'!$T$25)+IF('0信息维护'!$I$87=0,0,G691/('0信息维护'!$I$87)*'0信息维护'!$E$35*'0信息维护'!$U$25)+IF('0信息维护'!$I$88=0,0,H691/('0信息维护'!$I$88)*'0信息维护'!$E$35*'0信息维护'!$V$25)+IF('0信息维护'!$I$89=0,0,I691/'0信息维护'!$I$89*'0信息维护'!$I$35)</f>
        <v>0.716666666666667</v>
      </c>
      <c r="K691" s="26">
        <f ca="1">J691*'0信息维护'!$D$132+J692*'0信息维护'!$D$133+J693*'0信息维护'!$D$134+J694*'0信息维护'!$D$135+J695*'0信息维护'!$D$136+J696*'0信息维护'!$D$137+J697*'0信息维护'!$D$138</f>
        <v>0.709352941176471</v>
      </c>
    </row>
    <row r="692" spans="1:14">
      <c r="A692" s="20"/>
      <c r="B692" s="20"/>
      <c r="C692" s="20"/>
      <c r="D692" s="18" t="str">
        <f>'0信息维护'!A$26</f>
        <v>课程目标2</v>
      </c>
      <c r="E692" s="19">
        <f ca="1">OFFSET('1课程考核方式及成绩组成'!$F$10,(ROW(E692)-5)/7,MOD((ROW(E692)-5),7))</f>
        <v>51</v>
      </c>
      <c r="F692" s="19">
        <f ca="1">OFFSET('1课程考核方式及成绩组成'!$N$10,(ROW(F692)-5)/7,MOD((ROW(F692)-5),7))</f>
        <v>0</v>
      </c>
      <c r="G692" s="19">
        <f ca="1">OFFSET('1课程考核方式及成绩组成'!$V$10,(ROW(G692)-5)/7,MOD((ROW(G692)-5),7))</f>
        <v>0</v>
      </c>
      <c r="H692" s="19">
        <f ca="1">OFFSET('1课程考核方式及成绩组成'!$AD$10,(ROW(H692)-5)/7,MOD((ROW(H692)-5),7))</f>
        <v>0</v>
      </c>
      <c r="I692" s="19">
        <f ca="1">OFFSET('1课程考核方式及成绩组成'!$AL$10,(ROW(I692)-5)/7,MOD((ROW(I692)-5),7))</f>
        <v>18</v>
      </c>
      <c r="J692" s="25">
        <f ca="1">IF('0信息维护'!$I$91=0,0,E692/('0信息维护'!$I$91)*'0信息维护'!$S$26*'0信息维护'!$E$36)+IF('0信息维护'!$I$92=0,0,F692/('0信息维护'!$I$92)*'0信息维护'!$T$26*'0信息维护'!$E$36)+IF('0信息维护'!$I$93=0,0,G692/('0信息维护'!$I$93)*'0信息维护'!$U$26*'0信息维护'!$E$36)+IF('0信息维护'!$I$94=0,0,H692/('0信息维护'!$I$94)*'0信息维护'!$V$26*'0信息维护'!$E$36)+IF('0信息维护'!$I$95=0,0,I692/'0信息维护'!$I$95*'0信息维护'!$I$36)</f>
        <v>0.725</v>
      </c>
      <c r="K692" s="27"/>
      <c r="N692" s="29"/>
    </row>
    <row r="693" spans="1:11">
      <c r="A693" s="20"/>
      <c r="B693" s="20"/>
      <c r="C693" s="20"/>
      <c r="D693" s="18" t="str">
        <f>'0信息维护'!A$27</f>
        <v>课程目标3</v>
      </c>
      <c r="E693" s="19">
        <f ca="1">OFFSET('1课程考核方式及成绩组成'!$F$10,(ROW(E693)-5)/7,MOD((ROW(E693)-5),7))</f>
        <v>0</v>
      </c>
      <c r="F693" s="19">
        <f ca="1">OFFSET('1课程考核方式及成绩组成'!$N$10,(ROW(F693)-5)/7,MOD((ROW(F693)-5),7))</f>
        <v>0</v>
      </c>
      <c r="G693" s="19">
        <f ca="1">OFFSET('1课程考核方式及成绩组成'!$V$10,(ROW(G693)-5)/7,MOD((ROW(G693)-5),7))</f>
        <v>0</v>
      </c>
      <c r="H693" s="19">
        <f ca="1">OFFSET('1课程考核方式及成绩组成'!$AD$10,(ROW(H693)-5)/7,MOD((ROW(H693)-5),7))</f>
        <v>0</v>
      </c>
      <c r="I693" s="19">
        <f ca="1">OFFSET('1课程考核方式及成绩组成'!$AL$10,(ROW(I693)-5)/7,MOD((ROW(I693)-5),7))</f>
        <v>18</v>
      </c>
      <c r="J693" s="25">
        <f ca="1">IF('0信息维护'!$I$97=0,0,E693/('0信息维护'!$I$97)*'0信息维护'!$E$37*'0信息维护'!$S$27)+IF('0信息维护'!$I$98=0,0,F693/('0信息维护'!$I$98)*'0信息维护'!$E$37*'0信息维护'!$T$27)+IF('0信息维护'!$I$99=0,0,G693/('0信息维护'!$I$99)*'0信息维护'!$E$37*'0信息维护'!$U$27)+IF('0信息维护'!$I$100=0,0,H693/('0信息维护'!$I$100)*'0信息维护'!$E$37*'0信息维护'!$V$27)+IF('0信息维护'!$I$101=0,0,I693/'0信息维护'!$I$101*'0信息维护'!$I$37)</f>
        <v>0.529411764705882</v>
      </c>
      <c r="K693" s="27"/>
    </row>
    <row r="694" spans="1:11">
      <c r="A694" s="20"/>
      <c r="B694" s="20"/>
      <c r="C694" s="20"/>
      <c r="D694" s="18" t="str">
        <f>'0信息维护'!A$28</f>
        <v>课程目标4</v>
      </c>
      <c r="E694" s="19">
        <f ca="1">OFFSET('1课程考核方式及成绩组成'!$F$10,(ROW(E694)-5)/7,MOD((ROW(E694)-5),7))</f>
        <v>0</v>
      </c>
      <c r="F694" s="19">
        <f ca="1">OFFSET('1课程考核方式及成绩组成'!$N$10,(ROW(F694)-5)/7,MOD((ROW(F694)-5),7))</f>
        <v>84</v>
      </c>
      <c r="G694" s="19">
        <f ca="1">OFFSET('1课程考核方式及成绩组成'!$V$10,(ROW(G694)-5)/7,MOD((ROW(G694)-5),7))</f>
        <v>0</v>
      </c>
      <c r="H694" s="19">
        <f ca="1">OFFSET('1课程考核方式及成绩组成'!$AD$10,(ROW(H694)-5)/7,MOD((ROW(H694)-5),7))</f>
        <v>0</v>
      </c>
      <c r="I694" s="19">
        <f ca="1">OFFSET('1课程考核方式及成绩组成'!$AL$10,(ROW(I694)-5)/7,MOD((ROW(I694)-5),7))</f>
        <v>0</v>
      </c>
      <c r="J694" s="25">
        <f ca="1">IF('0信息维护'!$I$103=0,0,E694/('0信息维护'!$I$103)*'0信息维护'!$E$38*'0信息维护'!$S$28)+IF('0信息维护'!$I$104=0,0,F694/('0信息维护'!$I$104)*'0信息维护'!$E$38*'0信息维护'!$T$28)+IF('0信息维护'!$I$105=0,0,G694/('0信息维护'!$I$105)*'0信息维护'!$E$38*'0信息维护'!$U$28)+IF('0信息维护'!$I$106=0,0,H694/('0信息维护'!$I$106)*'0信息维护'!$E$38*'0信息维护'!$V$28)+IF('0信息维护'!$I$107=0,0,I694/'0信息维护'!$I$107*'0信息维护'!$I$38)</f>
        <v>0.84</v>
      </c>
      <c r="K694" s="27"/>
    </row>
    <row r="695" spans="1:11">
      <c r="A695" s="20"/>
      <c r="B695" s="20"/>
      <c r="C695" s="20"/>
      <c r="D695" s="18" t="str">
        <f>'0信息维护'!A$29</f>
        <v>课程目标5</v>
      </c>
      <c r="E695" s="19">
        <f ca="1">OFFSET('1课程考核方式及成绩组成'!$F$10,(ROW(E695)-5)/7,MOD((ROW(E695)-5),7))</f>
        <v>0</v>
      </c>
      <c r="F695" s="19">
        <f ca="1">OFFSET('1课程考核方式及成绩组成'!$N$10,(ROW(F695)-5)/7,MOD((ROW(F695)-5),7))</f>
        <v>0</v>
      </c>
      <c r="G695" s="19">
        <f ca="1">OFFSET('1课程考核方式及成绩组成'!$V$10,(ROW(G695)-5)/7,MOD((ROW(G695)-5),7))</f>
        <v>0</v>
      </c>
      <c r="H695" s="19">
        <f ca="1">OFFSET('1课程考核方式及成绩组成'!$AD$10,(ROW(H695)-5)/7,MOD((ROW(H695)-5),7))</f>
        <v>0</v>
      </c>
      <c r="I695" s="19">
        <f ca="1">OFFSET('1课程考核方式及成绩组成'!$AL$10,(ROW(I695)-5)/7,MOD((ROW(I695)-5),7))</f>
        <v>0</v>
      </c>
      <c r="J695" s="25">
        <f ca="1">IF('0信息维护'!$I$109=0,0,E695/('0信息维护'!$I$109)*'0信息维护'!$E$39*'0信息维护'!$S$29)+IF('0信息维护'!$I$110=0,0,F695/('0信息维护'!$I$110)*'0信息维护'!$E$39*'0信息维护'!$T$29)+IF('0信息维护'!$I$111=0,0,G695/('0信息维护'!$I$111)*'0信息维护'!$E$39*'0信息维护'!$U$29)+IF('0信息维护'!$I$112=0,0,H695/('0信息维护'!$I$112)*'0信息维护'!$E$39*'0信息维护'!$V$29)+IF('0信息维护'!$I$113=0,0,I695/'0信息维护'!$I$113*'0信息维护'!$I$39)</f>
        <v>0</v>
      </c>
      <c r="K695" s="27"/>
    </row>
    <row r="696" spans="1:11">
      <c r="A696" s="20"/>
      <c r="B696" s="20"/>
      <c r="C696" s="20"/>
      <c r="D696" s="18" t="str">
        <f>'0信息维护'!A$30</f>
        <v>课程目标6</v>
      </c>
      <c r="E696" s="19">
        <f ca="1">OFFSET('1课程考核方式及成绩组成'!$F$10,(ROW(E696)-5)/7,MOD((ROW(E696)-5),7))</f>
        <v>0</v>
      </c>
      <c r="F696" s="19">
        <f ca="1">OFFSET('1课程考核方式及成绩组成'!$N$10,(ROW(F696)-5)/7,MOD((ROW(F696)-5),7))</f>
        <v>0</v>
      </c>
      <c r="G696" s="19">
        <f ca="1">OFFSET('1课程考核方式及成绩组成'!$V$10,(ROW(G696)-5)/7,MOD((ROW(G696)-5),7))</f>
        <v>0</v>
      </c>
      <c r="H696" s="19">
        <f ca="1">OFFSET('1课程考核方式及成绩组成'!$AD$10,(ROW(H696)-5)/7,MOD((ROW(H696)-5),7))</f>
        <v>0</v>
      </c>
      <c r="I696" s="19">
        <f ca="1">OFFSET('1课程考核方式及成绩组成'!$AL$10,(ROW(I696)-5)/7,MOD((ROW(I696)-5),7))</f>
        <v>0</v>
      </c>
      <c r="J696" s="25">
        <f ca="1">IF('0信息维护'!$I$115=0,0,E696/('0信息维护'!$I$115)*'0信息维护'!$E$40*'0信息维护'!$S$30)+IF('0信息维护'!$I$116=0,0,F696/('0信息维护'!$I$116)*'0信息维护'!$E$40*'0信息维护'!$T$30)+IF('0信息维护'!$I$117=0,0,G696/('0信息维护'!$I$117)*'0信息维护'!$E$40*'0信息维护'!$U$30)+IF('0信息维护'!$I$118=0,0,H696/('0信息维护'!$I$118)*'0信息维护'!$E$40*'0信息维护'!$V$30)+IF('0信息维护'!$I$119=0,0,I696/'0信息维护'!$I$119*'0信息维护'!$I$40)</f>
        <v>0</v>
      </c>
      <c r="K696" s="27"/>
    </row>
    <row r="697" spans="1:11">
      <c r="A697" s="21"/>
      <c r="B697" s="21"/>
      <c r="C697" s="21"/>
      <c r="D697" s="18" t="str">
        <f>'0信息维护'!A$31</f>
        <v>课程目标7</v>
      </c>
      <c r="E697" s="19">
        <f ca="1">OFFSET('1课程考核方式及成绩组成'!$F$10,(ROW(E697)-5)/7,MOD((ROW(E697)-5),7))</f>
        <v>0</v>
      </c>
      <c r="F697" s="19">
        <f ca="1">OFFSET('1课程考核方式及成绩组成'!$N$10,(ROW(F697)-5)/7,MOD((ROW(F697)-5),7))</f>
        <v>0</v>
      </c>
      <c r="G697" s="19">
        <f ca="1">OFFSET('1课程考核方式及成绩组成'!$V$10,(ROW(G697)-5)/7,MOD((ROW(G697)-5),7))</f>
        <v>0</v>
      </c>
      <c r="H697" s="19">
        <f ca="1">OFFSET('1课程考核方式及成绩组成'!$AD$10,(ROW(H697)-5)/7,MOD((ROW(H697)-5),7))</f>
        <v>0</v>
      </c>
      <c r="I697" s="19">
        <f ca="1">OFFSET('1课程考核方式及成绩组成'!$AL$10,(ROW(I697)-5)/7,MOD((ROW(I697)-5),7))</f>
        <v>0</v>
      </c>
      <c r="J697" s="25">
        <f ca="1">IF('0信息维护'!$I$121=0,0,E697/('0信息维护'!$I$121)*'0信息维护'!$E$41*'0信息维护'!$S$31)+IF('0信息维护'!$I$122=0,0,F697/('0信息维护'!$I$122)*'0信息维护'!$E$41*'0信息维护'!$T$31)+IF('0信息维护'!$I$123=0,0,G697/('0信息维护'!$I$123)*'0信息维护'!$E$41*'0信息维护'!$U$31)+IF('0信息维护'!$I$124=0,0,H697/('0信息维护'!$I$124)*'0信息维护'!$E$41*'0信息维护'!$T$31)+IF('0信息维护'!$I$125=0,0,I697/'0信息维护'!$I$125*'0信息维护'!$I$41)</f>
        <v>0</v>
      </c>
      <c r="K697" s="30"/>
    </row>
    <row r="698" spans="1:11">
      <c r="A698" s="17">
        <v>100</v>
      </c>
      <c r="B698" s="17" t="str">
        <f ca="1">OFFSET('1课程考核方式及成绩组成'!$D$10,(ROW(B698)-5)/7,)</f>
        <v>220106123</v>
      </c>
      <c r="C698" s="17" t="str">
        <f ca="1">OFFSET('1课程考核方式及成绩组成'!$E$10,(ROW(C698)-5)/7,)</f>
        <v>陈巧玲</v>
      </c>
      <c r="D698" s="18" t="str">
        <f>'0信息维护'!A$25</f>
        <v>课程目标1</v>
      </c>
      <c r="E698" s="19">
        <f ca="1">OFFSET('1课程考核方式及成绩组成'!$F$10,(ROW(E698)-5)/7,MOD((ROW(E698)-5),7))</f>
        <v>33</v>
      </c>
      <c r="F698" s="19">
        <f ca="1">OFFSET('1课程考核方式及成绩组成'!$N$10,(ROW(F698)-5)/7,MOD((ROW(F698)-5),7))</f>
        <v>0</v>
      </c>
      <c r="G698" s="19">
        <f ca="1">OFFSET('1课程考核方式及成绩组成'!$V$10,(ROW(G698)-5)/7,MOD((ROW(G698)-5),7))</f>
        <v>0</v>
      </c>
      <c r="H698" s="19">
        <f ca="1">OFFSET('1课程考核方式及成绩组成'!$AD$10,(ROW(H698)-5)/7,MOD((ROW(H698)-5),7))</f>
        <v>0</v>
      </c>
      <c r="I698" s="19">
        <f ca="1">OFFSET('1课程考核方式及成绩组成'!$AL$10,(ROW(I698)-5)/7,MOD((ROW(I698)-5),7))</f>
        <v>18</v>
      </c>
      <c r="J698" s="25">
        <f ca="1">IF('0信息维护'!$I$85=0,0,E698/('0信息维护'!$I$85)*'0信息维护'!$E$35*'0信息维护'!$S$25)+IF('0信息维护'!$I$86=0,0,F698/('0信息维护'!$I$86)*'0信息维护'!$E$35*'0信息维护'!$T$25)+IF('0信息维护'!$I$87=0,0,G698/('0信息维护'!$I$87)*'0信息维护'!$E$35*'0信息维护'!$U$25)+IF('0信息维护'!$I$88=0,0,H698/('0信息维护'!$I$88)*'0信息维护'!$E$35*'0信息维护'!$V$25)+IF('0信息维护'!$I$89=0,0,I698/'0信息维护'!$I$89*'0信息维护'!$I$35)</f>
        <v>0.6625</v>
      </c>
      <c r="K698" s="26">
        <f ca="1">J698*'0信息维护'!$D$132+J699*'0信息维护'!$D$133+J700*'0信息维护'!$D$134+J701*'0信息维护'!$D$135+J702*'0信息维护'!$D$136+J703*'0信息维护'!$D$137+J704*'0信息维护'!$D$138</f>
        <v>0.686022058823529</v>
      </c>
    </row>
    <row r="699" spans="1:14">
      <c r="A699" s="20"/>
      <c r="B699" s="20"/>
      <c r="C699" s="20"/>
      <c r="D699" s="18" t="str">
        <f>'0信息维护'!A$26</f>
        <v>课程目标2</v>
      </c>
      <c r="E699" s="19">
        <f ca="1">OFFSET('1课程考核方式及成绩组成'!$F$10,(ROW(E699)-5)/7,MOD((ROW(E699)-5),7))</f>
        <v>50</v>
      </c>
      <c r="F699" s="19">
        <f ca="1">OFFSET('1课程考核方式及成绩组成'!$N$10,(ROW(F699)-5)/7,MOD((ROW(F699)-5),7))</f>
        <v>0</v>
      </c>
      <c r="G699" s="19">
        <f ca="1">OFFSET('1课程考核方式及成绩组成'!$V$10,(ROW(G699)-5)/7,MOD((ROW(G699)-5),7))</f>
        <v>0</v>
      </c>
      <c r="H699" s="19">
        <f ca="1">OFFSET('1课程考核方式及成绩组成'!$AD$10,(ROW(H699)-5)/7,MOD((ROW(H699)-5),7))</f>
        <v>0</v>
      </c>
      <c r="I699" s="19">
        <f ca="1">OFFSET('1课程考核方式及成绩组成'!$AL$10,(ROW(I699)-5)/7,MOD((ROW(I699)-5),7))</f>
        <v>19</v>
      </c>
      <c r="J699" s="25">
        <f ca="1">IF('0信息维护'!$I$91=0,0,E699/('0信息维护'!$I$91)*'0信息维护'!$S$26*'0信息维护'!$E$36)+IF('0信息维护'!$I$92=0,0,F699/('0信息维护'!$I$92)*'0信息维护'!$T$26*'0信息维护'!$E$36)+IF('0信息维护'!$I$93=0,0,G699/('0信息维护'!$I$93)*'0信息维护'!$U$26*'0信息维护'!$E$36)+IF('0信息维护'!$I$94=0,0,H699/('0信息维护'!$I$94)*'0信息维护'!$V$26*'0信息维护'!$E$36)+IF('0信息维护'!$I$95=0,0,I699/'0信息维护'!$I$95*'0信息维护'!$I$36)</f>
        <v>0.733333333333333</v>
      </c>
      <c r="K699" s="27"/>
      <c r="N699" s="29"/>
    </row>
    <row r="700" spans="1:11">
      <c r="A700" s="20"/>
      <c r="B700" s="20"/>
      <c r="C700" s="20"/>
      <c r="D700" s="18" t="str">
        <f>'0信息维护'!A$27</f>
        <v>课程目标3</v>
      </c>
      <c r="E700" s="19">
        <f ca="1">OFFSET('1课程考核方式及成绩组成'!$F$10,(ROW(E700)-5)/7,MOD((ROW(E700)-5),7))</f>
        <v>0</v>
      </c>
      <c r="F700" s="19">
        <f ca="1">OFFSET('1课程考核方式及成绩组成'!$N$10,(ROW(F700)-5)/7,MOD((ROW(F700)-5),7))</f>
        <v>0</v>
      </c>
      <c r="G700" s="19">
        <f ca="1">OFFSET('1课程考核方式及成绩组成'!$V$10,(ROW(G700)-5)/7,MOD((ROW(G700)-5),7))</f>
        <v>0</v>
      </c>
      <c r="H700" s="19">
        <f ca="1">OFFSET('1课程考核方式及成绩组成'!$AD$10,(ROW(H700)-5)/7,MOD((ROW(H700)-5),7))</f>
        <v>0</v>
      </c>
      <c r="I700" s="19">
        <f ca="1">OFFSET('1课程考核方式及成绩组成'!$AL$10,(ROW(I700)-5)/7,MOD((ROW(I700)-5),7))</f>
        <v>16</v>
      </c>
      <c r="J700" s="25">
        <f ca="1">IF('0信息维护'!$I$97=0,0,E700/('0信息维护'!$I$97)*'0信息维护'!$E$37*'0信息维护'!$S$27)+IF('0信息维护'!$I$98=0,0,F700/('0信息维护'!$I$98)*'0信息维护'!$E$37*'0信息维护'!$T$27)+IF('0信息维护'!$I$99=0,0,G700/('0信息维护'!$I$99)*'0信息维护'!$E$37*'0信息维护'!$U$27)+IF('0信息维护'!$I$100=0,0,H700/('0信息维护'!$I$100)*'0信息维护'!$E$37*'0信息维护'!$V$27)+IF('0信息维护'!$I$101=0,0,I700/'0信息维护'!$I$101*'0信息维护'!$I$37)</f>
        <v>0.470588235294118</v>
      </c>
      <c r="K700" s="27"/>
    </row>
    <row r="701" spans="1:11">
      <c r="A701" s="20"/>
      <c r="B701" s="20"/>
      <c r="C701" s="20"/>
      <c r="D701" s="18" t="str">
        <f>'0信息维护'!A$28</f>
        <v>课程目标4</v>
      </c>
      <c r="E701" s="19">
        <f ca="1">OFFSET('1课程考核方式及成绩组成'!$F$10,(ROW(E701)-5)/7,MOD((ROW(E701)-5),7))</f>
        <v>0</v>
      </c>
      <c r="F701" s="19">
        <f ca="1">OFFSET('1课程考核方式及成绩组成'!$N$10,(ROW(F701)-5)/7,MOD((ROW(F701)-5),7))</f>
        <v>83</v>
      </c>
      <c r="G701" s="19">
        <f ca="1">OFFSET('1课程考核方式及成绩组成'!$V$10,(ROW(G701)-5)/7,MOD((ROW(G701)-5),7))</f>
        <v>0</v>
      </c>
      <c r="H701" s="19">
        <f ca="1">OFFSET('1课程考核方式及成绩组成'!$AD$10,(ROW(H701)-5)/7,MOD((ROW(H701)-5),7))</f>
        <v>0</v>
      </c>
      <c r="I701" s="19">
        <f ca="1">OFFSET('1课程考核方式及成绩组成'!$AL$10,(ROW(I701)-5)/7,MOD((ROW(I701)-5),7))</f>
        <v>0</v>
      </c>
      <c r="J701" s="25">
        <f ca="1">IF('0信息维护'!$I$103=0,0,E701/('0信息维护'!$I$103)*'0信息维护'!$E$38*'0信息维护'!$S$28)+IF('0信息维护'!$I$104=0,0,F701/('0信息维护'!$I$104)*'0信息维护'!$E$38*'0信息维护'!$T$28)+IF('0信息维护'!$I$105=0,0,G701/('0信息维护'!$I$105)*'0信息维护'!$E$38*'0信息维护'!$U$28)+IF('0信息维护'!$I$106=0,0,H701/('0信息维护'!$I$106)*'0信息维护'!$E$38*'0信息维护'!$V$28)+IF('0信息维护'!$I$107=0,0,I701/'0信息维护'!$I$107*'0信息维护'!$I$38)</f>
        <v>0.83</v>
      </c>
      <c r="K701" s="27"/>
    </row>
    <row r="702" spans="1:11">
      <c r="A702" s="20"/>
      <c r="B702" s="20"/>
      <c r="C702" s="20"/>
      <c r="D702" s="18" t="str">
        <f>'0信息维护'!A$29</f>
        <v>课程目标5</v>
      </c>
      <c r="E702" s="19">
        <f ca="1">OFFSET('1课程考核方式及成绩组成'!$F$10,(ROW(E702)-5)/7,MOD((ROW(E702)-5),7))</f>
        <v>0</v>
      </c>
      <c r="F702" s="19">
        <f ca="1">OFFSET('1课程考核方式及成绩组成'!$N$10,(ROW(F702)-5)/7,MOD((ROW(F702)-5),7))</f>
        <v>0</v>
      </c>
      <c r="G702" s="19">
        <f ca="1">OFFSET('1课程考核方式及成绩组成'!$V$10,(ROW(G702)-5)/7,MOD((ROW(G702)-5),7))</f>
        <v>0</v>
      </c>
      <c r="H702" s="19">
        <f ca="1">OFFSET('1课程考核方式及成绩组成'!$AD$10,(ROW(H702)-5)/7,MOD((ROW(H702)-5),7))</f>
        <v>0</v>
      </c>
      <c r="I702" s="19">
        <f ca="1">OFFSET('1课程考核方式及成绩组成'!$AL$10,(ROW(I702)-5)/7,MOD((ROW(I702)-5),7))</f>
        <v>0</v>
      </c>
      <c r="J702" s="25">
        <f ca="1">IF('0信息维护'!$I$109=0,0,E702/('0信息维护'!$I$109)*'0信息维护'!$E$39*'0信息维护'!$S$29)+IF('0信息维护'!$I$110=0,0,F702/('0信息维护'!$I$110)*'0信息维护'!$E$39*'0信息维护'!$T$29)+IF('0信息维护'!$I$111=0,0,G702/('0信息维护'!$I$111)*'0信息维护'!$E$39*'0信息维护'!$U$29)+IF('0信息维护'!$I$112=0,0,H702/('0信息维护'!$I$112)*'0信息维护'!$E$39*'0信息维护'!$V$29)+IF('0信息维护'!$I$113=0,0,I702/'0信息维护'!$I$113*'0信息维护'!$I$39)</f>
        <v>0</v>
      </c>
      <c r="K702" s="27"/>
    </row>
    <row r="703" spans="1:11">
      <c r="A703" s="20"/>
      <c r="B703" s="20"/>
      <c r="C703" s="20"/>
      <c r="D703" s="18" t="str">
        <f>'0信息维护'!A$30</f>
        <v>课程目标6</v>
      </c>
      <c r="E703" s="19">
        <f ca="1">OFFSET('1课程考核方式及成绩组成'!$F$10,(ROW(E703)-5)/7,MOD((ROW(E703)-5),7))</f>
        <v>0</v>
      </c>
      <c r="F703" s="19">
        <f ca="1">OFFSET('1课程考核方式及成绩组成'!$N$10,(ROW(F703)-5)/7,MOD((ROW(F703)-5),7))</f>
        <v>0</v>
      </c>
      <c r="G703" s="19">
        <f ca="1">OFFSET('1课程考核方式及成绩组成'!$V$10,(ROW(G703)-5)/7,MOD((ROW(G703)-5),7))</f>
        <v>0</v>
      </c>
      <c r="H703" s="19">
        <f ca="1">OFFSET('1课程考核方式及成绩组成'!$AD$10,(ROW(H703)-5)/7,MOD((ROW(H703)-5),7))</f>
        <v>0</v>
      </c>
      <c r="I703" s="19">
        <f ca="1">OFFSET('1课程考核方式及成绩组成'!$AL$10,(ROW(I703)-5)/7,MOD((ROW(I703)-5),7))</f>
        <v>0</v>
      </c>
      <c r="J703" s="25">
        <f ca="1">IF('0信息维护'!$I$115=0,0,E703/('0信息维护'!$I$115)*'0信息维护'!$E$40*'0信息维护'!$S$30)+IF('0信息维护'!$I$116=0,0,F703/('0信息维护'!$I$116)*'0信息维护'!$E$40*'0信息维护'!$T$30)+IF('0信息维护'!$I$117=0,0,G703/('0信息维护'!$I$117)*'0信息维护'!$E$40*'0信息维护'!$U$30)+IF('0信息维护'!$I$118=0,0,H703/('0信息维护'!$I$118)*'0信息维护'!$E$40*'0信息维护'!$V$30)+IF('0信息维护'!$I$119=0,0,I703/'0信息维护'!$I$119*'0信息维护'!$I$40)</f>
        <v>0</v>
      </c>
      <c r="K703" s="27"/>
    </row>
    <row r="704" spans="1:11">
      <c r="A704" s="21"/>
      <c r="B704" s="21"/>
      <c r="C704" s="21"/>
      <c r="D704" s="18" t="str">
        <f>'0信息维护'!A$31</f>
        <v>课程目标7</v>
      </c>
      <c r="E704" s="19">
        <f ca="1">OFFSET('1课程考核方式及成绩组成'!$F$10,(ROW(E704)-5)/7,MOD((ROW(E704)-5),7))</f>
        <v>0</v>
      </c>
      <c r="F704" s="19">
        <f ca="1">OFFSET('1课程考核方式及成绩组成'!$N$10,(ROW(F704)-5)/7,MOD((ROW(F704)-5),7))</f>
        <v>0</v>
      </c>
      <c r="G704" s="19">
        <f ca="1">OFFSET('1课程考核方式及成绩组成'!$V$10,(ROW(G704)-5)/7,MOD((ROW(G704)-5),7))</f>
        <v>0</v>
      </c>
      <c r="H704" s="19">
        <f ca="1">OFFSET('1课程考核方式及成绩组成'!$AD$10,(ROW(H704)-5)/7,MOD((ROW(H704)-5),7))</f>
        <v>0</v>
      </c>
      <c r="I704" s="19">
        <f ca="1">OFFSET('1课程考核方式及成绩组成'!$AL$10,(ROW(I704)-5)/7,MOD((ROW(I704)-5),7))</f>
        <v>0</v>
      </c>
      <c r="J704" s="25">
        <f ca="1">IF('0信息维护'!$I$121=0,0,E704/('0信息维护'!$I$121)*'0信息维护'!$E$41*'0信息维护'!$S$31)+IF('0信息维护'!$I$122=0,0,F704/('0信息维护'!$I$122)*'0信息维护'!$E$41*'0信息维护'!$T$31)+IF('0信息维护'!$I$123=0,0,G704/('0信息维护'!$I$123)*'0信息维护'!$E$41*'0信息维护'!$U$31)+IF('0信息维护'!$I$124=0,0,H704/('0信息维护'!$I$124)*'0信息维护'!$E$41*'0信息维护'!$T$31)+IF('0信息维护'!$I$125=0,0,I704/'0信息维护'!$I$125*'0信息维护'!$I$41)</f>
        <v>0</v>
      </c>
      <c r="K704" s="30"/>
    </row>
    <row r="705" spans="1:11">
      <c r="A705" s="17">
        <v>101</v>
      </c>
      <c r="B705" s="17" t="str">
        <f ca="1">OFFSET('1课程考核方式及成绩组成'!$D$10,(ROW(B705)-5)/7,)</f>
        <v>220106124</v>
      </c>
      <c r="C705" s="17" t="str">
        <f ca="1">OFFSET('1课程考核方式及成绩组成'!$E$10,(ROW(C705)-5)/7,)</f>
        <v>蒋春宇</v>
      </c>
      <c r="D705" s="18" t="str">
        <f>'0信息维护'!A$25</f>
        <v>课程目标1</v>
      </c>
      <c r="E705" s="19">
        <f ca="1">OFFSET('1课程考核方式及成绩组成'!$F$10,(ROW(E705)-5)/7,MOD((ROW(E705)-5),7))</f>
        <v>34</v>
      </c>
      <c r="F705" s="19">
        <f ca="1">OFFSET('1课程考核方式及成绩组成'!$N$10,(ROW(F705)-5)/7,MOD((ROW(F705)-5),7))</f>
        <v>0</v>
      </c>
      <c r="G705" s="19">
        <f ca="1">OFFSET('1课程考核方式及成绩组成'!$V$10,(ROW(G705)-5)/7,MOD((ROW(G705)-5),7))</f>
        <v>0</v>
      </c>
      <c r="H705" s="19">
        <f ca="1">OFFSET('1课程考核方式及成绩组成'!$AD$10,(ROW(H705)-5)/7,MOD((ROW(H705)-5),7))</f>
        <v>0</v>
      </c>
      <c r="I705" s="19">
        <f ca="1">OFFSET('1课程考核方式及成绩组成'!$AL$10,(ROW(I705)-5)/7,MOD((ROW(I705)-5),7))</f>
        <v>32</v>
      </c>
      <c r="J705" s="25">
        <f ca="1">IF('0信息维护'!$I$85=0,0,E705/('0信息维护'!$I$85)*'0信息维护'!$E$35*'0信息维护'!$S$25)+IF('0信息维护'!$I$86=0,0,F705/('0信息维护'!$I$86)*'0信息维护'!$E$35*'0信息维护'!$T$25)+IF('0信息维护'!$I$87=0,0,G705/('0信息维护'!$I$87)*'0信息维护'!$E$35*'0信息维护'!$U$25)+IF('0信息维护'!$I$88=0,0,H705/('0信息维护'!$I$88)*'0信息维护'!$E$35*'0信息维护'!$V$25)+IF('0信息维护'!$I$89=0,0,I705/'0信息维护'!$I$89*'0信息维护'!$I$35)</f>
        <v>0.869444444444444</v>
      </c>
      <c r="K705" s="26">
        <f ca="1">J705*'0信息维护'!$D$132+J706*'0信息维护'!$D$133+J707*'0信息维护'!$D$134+J708*'0信息维护'!$D$135+J709*'0信息维护'!$D$136+J710*'0信息维护'!$D$137+J711*'0信息维护'!$D$138</f>
        <v>0.717916666666667</v>
      </c>
    </row>
    <row r="706" spans="1:14">
      <c r="A706" s="20"/>
      <c r="B706" s="20"/>
      <c r="C706" s="20"/>
      <c r="D706" s="18" t="str">
        <f>'0信息维护'!A$26</f>
        <v>课程目标2</v>
      </c>
      <c r="E706" s="19">
        <f ca="1">OFFSET('1课程考核方式及成绩组成'!$F$10,(ROW(E706)-5)/7,MOD((ROW(E706)-5),7))</f>
        <v>51</v>
      </c>
      <c r="F706" s="19">
        <f ca="1">OFFSET('1课程考核方式及成绩组成'!$N$10,(ROW(F706)-5)/7,MOD((ROW(F706)-5),7))</f>
        <v>0</v>
      </c>
      <c r="G706" s="19">
        <f ca="1">OFFSET('1课程考核方式及成绩组成'!$V$10,(ROW(G706)-5)/7,MOD((ROW(G706)-5),7))</f>
        <v>0</v>
      </c>
      <c r="H706" s="19">
        <f ca="1">OFFSET('1课程考核方式及成绩组成'!$AD$10,(ROW(H706)-5)/7,MOD((ROW(H706)-5),7))</f>
        <v>0</v>
      </c>
      <c r="I706" s="19">
        <f ca="1">OFFSET('1课程考核方式及成绩组成'!$AL$10,(ROW(I706)-5)/7,MOD((ROW(I706)-5),7))</f>
        <v>16</v>
      </c>
      <c r="J706" s="25">
        <f ca="1">IF('0信息维护'!$I$91=0,0,E706/('0信息维护'!$I$91)*'0信息维护'!$S$26*'0信息维护'!$E$36)+IF('0信息维护'!$I$92=0,0,F706/('0信息维护'!$I$92)*'0信息维护'!$T$26*'0信息维护'!$E$36)+IF('0信息维护'!$I$93=0,0,G706/('0信息维护'!$I$93)*'0信息维护'!$U$26*'0信息维护'!$E$36)+IF('0信息维护'!$I$94=0,0,H706/('0信息维护'!$I$94)*'0信息维护'!$V$26*'0信息维护'!$E$36)+IF('0信息维护'!$I$95=0,0,I706/'0信息维护'!$I$95*'0信息维护'!$I$36)</f>
        <v>0.691666666666667</v>
      </c>
      <c r="K706" s="27"/>
      <c r="N706" s="29"/>
    </row>
    <row r="707" spans="1:11">
      <c r="A707" s="20"/>
      <c r="B707" s="20"/>
      <c r="C707" s="20"/>
      <c r="D707" s="18" t="str">
        <f>'0信息维护'!A$27</f>
        <v>课程目标3</v>
      </c>
      <c r="E707" s="19">
        <f ca="1">OFFSET('1课程考核方式及成绩组成'!$F$10,(ROW(E707)-5)/7,MOD((ROW(E707)-5),7))</f>
        <v>0</v>
      </c>
      <c r="F707" s="19">
        <f ca="1">OFFSET('1课程考核方式及成绩组成'!$N$10,(ROW(F707)-5)/7,MOD((ROW(F707)-5),7))</f>
        <v>0</v>
      </c>
      <c r="G707" s="19">
        <f ca="1">OFFSET('1课程考核方式及成绩组成'!$V$10,(ROW(G707)-5)/7,MOD((ROW(G707)-5),7))</f>
        <v>0</v>
      </c>
      <c r="H707" s="19">
        <f ca="1">OFFSET('1课程考核方式及成绩组成'!$AD$10,(ROW(H707)-5)/7,MOD((ROW(H707)-5),7))</f>
        <v>0</v>
      </c>
      <c r="I707" s="19">
        <f ca="1">OFFSET('1课程考核方式及成绩组成'!$AL$10,(ROW(I707)-5)/7,MOD((ROW(I707)-5),7))</f>
        <v>17</v>
      </c>
      <c r="J707" s="25">
        <f ca="1">IF('0信息维护'!$I$97=0,0,E707/('0信息维护'!$I$97)*'0信息维护'!$E$37*'0信息维护'!$S$27)+IF('0信息维护'!$I$98=0,0,F707/('0信息维护'!$I$98)*'0信息维护'!$E$37*'0信息维护'!$T$27)+IF('0信息维护'!$I$99=0,0,G707/('0信息维护'!$I$99)*'0信息维护'!$E$37*'0信息维护'!$U$27)+IF('0信息维护'!$I$100=0,0,H707/('0信息维护'!$I$100)*'0信息维护'!$E$37*'0信息维护'!$V$27)+IF('0信息维护'!$I$101=0,0,I707/'0信息维护'!$I$101*'0信息维护'!$I$37)</f>
        <v>0.5</v>
      </c>
      <c r="K707" s="27"/>
    </row>
    <row r="708" spans="1:11">
      <c r="A708" s="20"/>
      <c r="B708" s="20"/>
      <c r="C708" s="20"/>
      <c r="D708" s="18" t="str">
        <f>'0信息维护'!A$28</f>
        <v>课程目标4</v>
      </c>
      <c r="E708" s="19">
        <f ca="1">OFFSET('1课程考核方式及成绩组成'!$F$10,(ROW(E708)-5)/7,MOD((ROW(E708)-5),7))</f>
        <v>0</v>
      </c>
      <c r="F708" s="19">
        <f ca="1">OFFSET('1课程考核方式及成绩组成'!$N$10,(ROW(F708)-5)/7,MOD((ROW(F708)-5),7))</f>
        <v>85</v>
      </c>
      <c r="G708" s="19">
        <f ca="1">OFFSET('1课程考核方式及成绩组成'!$V$10,(ROW(G708)-5)/7,MOD((ROW(G708)-5),7))</f>
        <v>0</v>
      </c>
      <c r="H708" s="19">
        <f ca="1">OFFSET('1课程考核方式及成绩组成'!$AD$10,(ROW(H708)-5)/7,MOD((ROW(H708)-5),7))</f>
        <v>0</v>
      </c>
      <c r="I708" s="19">
        <f ca="1">OFFSET('1课程考核方式及成绩组成'!$AL$10,(ROW(I708)-5)/7,MOD((ROW(I708)-5),7))</f>
        <v>0</v>
      </c>
      <c r="J708" s="25">
        <f ca="1">IF('0信息维护'!$I$103=0,0,E708/('0信息维护'!$I$103)*'0信息维护'!$E$38*'0信息维护'!$S$28)+IF('0信息维护'!$I$104=0,0,F708/('0信息维护'!$I$104)*'0信息维护'!$E$38*'0信息维护'!$T$28)+IF('0信息维护'!$I$105=0,0,G708/('0信息维护'!$I$105)*'0信息维护'!$E$38*'0信息维护'!$U$28)+IF('0信息维护'!$I$106=0,0,H708/('0信息维护'!$I$106)*'0信息维护'!$E$38*'0信息维护'!$V$28)+IF('0信息维护'!$I$107=0,0,I708/'0信息维护'!$I$107*'0信息维护'!$I$38)</f>
        <v>0.85</v>
      </c>
      <c r="K708" s="27"/>
    </row>
    <row r="709" spans="1:11">
      <c r="A709" s="20"/>
      <c r="B709" s="20"/>
      <c r="C709" s="20"/>
      <c r="D709" s="18" t="str">
        <f>'0信息维护'!A$29</f>
        <v>课程目标5</v>
      </c>
      <c r="E709" s="19">
        <f ca="1">OFFSET('1课程考核方式及成绩组成'!$F$10,(ROW(E709)-5)/7,MOD((ROW(E709)-5),7))</f>
        <v>0</v>
      </c>
      <c r="F709" s="19">
        <f ca="1">OFFSET('1课程考核方式及成绩组成'!$N$10,(ROW(F709)-5)/7,MOD((ROW(F709)-5),7))</f>
        <v>0</v>
      </c>
      <c r="G709" s="19">
        <f ca="1">OFFSET('1课程考核方式及成绩组成'!$V$10,(ROW(G709)-5)/7,MOD((ROW(G709)-5),7))</f>
        <v>0</v>
      </c>
      <c r="H709" s="19">
        <f ca="1">OFFSET('1课程考核方式及成绩组成'!$AD$10,(ROW(H709)-5)/7,MOD((ROW(H709)-5),7))</f>
        <v>0</v>
      </c>
      <c r="I709" s="19">
        <f ca="1">OFFSET('1课程考核方式及成绩组成'!$AL$10,(ROW(I709)-5)/7,MOD((ROW(I709)-5),7))</f>
        <v>0</v>
      </c>
      <c r="J709" s="25">
        <f ca="1">IF('0信息维护'!$I$109=0,0,E709/('0信息维护'!$I$109)*'0信息维护'!$E$39*'0信息维护'!$S$29)+IF('0信息维护'!$I$110=0,0,F709/('0信息维护'!$I$110)*'0信息维护'!$E$39*'0信息维护'!$T$29)+IF('0信息维护'!$I$111=0,0,G709/('0信息维护'!$I$111)*'0信息维护'!$E$39*'0信息维护'!$U$29)+IF('0信息维护'!$I$112=0,0,H709/('0信息维护'!$I$112)*'0信息维护'!$E$39*'0信息维护'!$V$29)+IF('0信息维护'!$I$113=0,0,I709/'0信息维护'!$I$113*'0信息维护'!$I$39)</f>
        <v>0</v>
      </c>
      <c r="K709" s="27"/>
    </row>
    <row r="710" spans="1:11">
      <c r="A710" s="20"/>
      <c r="B710" s="20"/>
      <c r="C710" s="20"/>
      <c r="D710" s="18" t="str">
        <f>'0信息维护'!A$30</f>
        <v>课程目标6</v>
      </c>
      <c r="E710" s="19">
        <f ca="1">OFFSET('1课程考核方式及成绩组成'!$F$10,(ROW(E710)-5)/7,MOD((ROW(E710)-5),7))</f>
        <v>0</v>
      </c>
      <c r="F710" s="19">
        <f ca="1">OFFSET('1课程考核方式及成绩组成'!$N$10,(ROW(F710)-5)/7,MOD((ROW(F710)-5),7))</f>
        <v>0</v>
      </c>
      <c r="G710" s="19">
        <f ca="1">OFFSET('1课程考核方式及成绩组成'!$V$10,(ROW(G710)-5)/7,MOD((ROW(G710)-5),7))</f>
        <v>0</v>
      </c>
      <c r="H710" s="19">
        <f ca="1">OFFSET('1课程考核方式及成绩组成'!$AD$10,(ROW(H710)-5)/7,MOD((ROW(H710)-5),7))</f>
        <v>0</v>
      </c>
      <c r="I710" s="19">
        <f ca="1">OFFSET('1课程考核方式及成绩组成'!$AL$10,(ROW(I710)-5)/7,MOD((ROW(I710)-5),7))</f>
        <v>0</v>
      </c>
      <c r="J710" s="25">
        <f ca="1">IF('0信息维护'!$I$115=0,0,E710/('0信息维护'!$I$115)*'0信息维护'!$E$40*'0信息维护'!$S$30)+IF('0信息维护'!$I$116=0,0,F710/('0信息维护'!$I$116)*'0信息维护'!$E$40*'0信息维护'!$T$30)+IF('0信息维护'!$I$117=0,0,G710/('0信息维护'!$I$117)*'0信息维护'!$E$40*'0信息维护'!$U$30)+IF('0信息维护'!$I$118=0,0,H710/('0信息维护'!$I$118)*'0信息维护'!$E$40*'0信息维护'!$V$30)+IF('0信息维护'!$I$119=0,0,I710/'0信息维护'!$I$119*'0信息维护'!$I$40)</f>
        <v>0</v>
      </c>
      <c r="K710" s="27"/>
    </row>
    <row r="711" spans="1:11">
      <c r="A711" s="21"/>
      <c r="B711" s="21"/>
      <c r="C711" s="21"/>
      <c r="D711" s="18" t="str">
        <f>'0信息维护'!A$31</f>
        <v>课程目标7</v>
      </c>
      <c r="E711" s="19">
        <f ca="1">OFFSET('1课程考核方式及成绩组成'!$F$10,(ROW(E711)-5)/7,MOD((ROW(E711)-5),7))</f>
        <v>0</v>
      </c>
      <c r="F711" s="19">
        <f ca="1">OFFSET('1课程考核方式及成绩组成'!$N$10,(ROW(F711)-5)/7,MOD((ROW(F711)-5),7))</f>
        <v>0</v>
      </c>
      <c r="G711" s="19">
        <f ca="1">OFFSET('1课程考核方式及成绩组成'!$V$10,(ROW(G711)-5)/7,MOD((ROW(G711)-5),7))</f>
        <v>0</v>
      </c>
      <c r="H711" s="19">
        <f ca="1">OFFSET('1课程考核方式及成绩组成'!$AD$10,(ROW(H711)-5)/7,MOD((ROW(H711)-5),7))</f>
        <v>0</v>
      </c>
      <c r="I711" s="19">
        <f ca="1">OFFSET('1课程考核方式及成绩组成'!$AL$10,(ROW(I711)-5)/7,MOD((ROW(I711)-5),7))</f>
        <v>0</v>
      </c>
      <c r="J711" s="25">
        <f ca="1">IF('0信息维护'!$I$121=0,0,E711/('0信息维护'!$I$121)*'0信息维护'!$E$41*'0信息维护'!$S$31)+IF('0信息维护'!$I$122=0,0,F711/('0信息维护'!$I$122)*'0信息维护'!$E$41*'0信息维护'!$T$31)+IF('0信息维护'!$I$123=0,0,G711/('0信息维护'!$I$123)*'0信息维护'!$E$41*'0信息维护'!$U$31)+IF('0信息维护'!$I$124=0,0,H711/('0信息维护'!$I$124)*'0信息维护'!$E$41*'0信息维护'!$T$31)+IF('0信息维护'!$I$125=0,0,I711/'0信息维护'!$I$125*'0信息维护'!$I$41)</f>
        <v>0</v>
      </c>
      <c r="K711" s="30"/>
    </row>
    <row r="712" spans="1:11">
      <c r="A712" s="17">
        <v>102</v>
      </c>
      <c r="B712" s="17" t="str">
        <f ca="1">OFFSET('1课程考核方式及成绩组成'!$D$10,(ROW(B712)-5)/7,)</f>
        <v>220106125</v>
      </c>
      <c r="C712" s="17" t="str">
        <f ca="1">OFFSET('1课程考核方式及成绩组成'!$E$10,(ROW(C712)-5)/7,)</f>
        <v>卢攀</v>
      </c>
      <c r="D712" s="18" t="str">
        <f>'0信息维护'!A$25</f>
        <v>课程目标1</v>
      </c>
      <c r="E712" s="19">
        <f ca="1">OFFSET('1课程考核方式及成绩组成'!$F$10,(ROW(E712)-5)/7,MOD((ROW(E712)-5),7))</f>
        <v>34</v>
      </c>
      <c r="F712" s="19">
        <f ca="1">OFFSET('1课程考核方式及成绩组成'!$N$10,(ROW(F712)-5)/7,MOD((ROW(F712)-5),7))</f>
        <v>0</v>
      </c>
      <c r="G712" s="19">
        <f ca="1">OFFSET('1课程考核方式及成绩组成'!$V$10,(ROW(G712)-5)/7,MOD((ROW(G712)-5),7))</f>
        <v>0</v>
      </c>
      <c r="H712" s="19">
        <f ca="1">OFFSET('1课程考核方式及成绩组成'!$AD$10,(ROW(H712)-5)/7,MOD((ROW(H712)-5),7))</f>
        <v>0</v>
      </c>
      <c r="I712" s="19">
        <f ca="1">OFFSET('1课程考核方式及成绩组成'!$AL$10,(ROW(I712)-5)/7,MOD((ROW(I712)-5),7))</f>
        <v>22</v>
      </c>
      <c r="J712" s="25">
        <f ca="1">IF('0信息维护'!$I$85=0,0,E712/('0信息维护'!$I$85)*'0信息维护'!$E$35*'0信息维护'!$S$25)+IF('0信息维护'!$I$86=0,0,F712/('0信息维护'!$I$86)*'0信息维护'!$E$35*'0信息维护'!$T$25)+IF('0信息维护'!$I$87=0,0,G712/('0信息维护'!$I$87)*'0信息维护'!$E$35*'0信息维护'!$U$25)+IF('0信息维护'!$I$88=0,0,H712/('0信息维护'!$I$88)*'0信息维护'!$E$35*'0信息维护'!$V$25)+IF('0信息维护'!$I$89=0,0,I712/'0信息维护'!$I$89*'0信息维护'!$I$35)</f>
        <v>0.730555555555556</v>
      </c>
      <c r="K712" s="26">
        <f ca="1">J712*'0信息维护'!$D$132+J713*'0信息维护'!$D$133+J714*'0信息维护'!$D$134+J715*'0信息维护'!$D$135+J716*'0信息维护'!$D$136+J717*'0信息维护'!$D$137+J718*'0信息维护'!$D$138</f>
        <v>0.678377450980392</v>
      </c>
    </row>
    <row r="713" spans="1:14">
      <c r="A713" s="20"/>
      <c r="B713" s="20"/>
      <c r="C713" s="20"/>
      <c r="D713" s="18" t="str">
        <f>'0信息维护'!A$26</f>
        <v>课程目标2</v>
      </c>
      <c r="E713" s="19">
        <f ca="1">OFFSET('1课程考核方式及成绩组成'!$F$10,(ROW(E713)-5)/7,MOD((ROW(E713)-5),7))</f>
        <v>51</v>
      </c>
      <c r="F713" s="19">
        <f ca="1">OFFSET('1课程考核方式及成绩组成'!$N$10,(ROW(F713)-5)/7,MOD((ROW(F713)-5),7))</f>
        <v>0</v>
      </c>
      <c r="G713" s="19">
        <f ca="1">OFFSET('1课程考核方式及成绩组成'!$V$10,(ROW(G713)-5)/7,MOD((ROW(G713)-5),7))</f>
        <v>0</v>
      </c>
      <c r="H713" s="19">
        <f ca="1">OFFSET('1课程考核方式及成绩组成'!$AD$10,(ROW(H713)-5)/7,MOD((ROW(H713)-5),7))</f>
        <v>0</v>
      </c>
      <c r="I713" s="19">
        <f ca="1">OFFSET('1课程考核方式及成绩组成'!$AL$10,(ROW(I713)-5)/7,MOD((ROW(I713)-5),7))</f>
        <v>20</v>
      </c>
      <c r="J713" s="25">
        <f ca="1">IF('0信息维护'!$I$91=0,0,E713/('0信息维护'!$I$91)*'0信息维护'!$S$26*'0信息维护'!$E$36)+IF('0信息维护'!$I$92=0,0,F713/('0信息维护'!$I$92)*'0信息维护'!$T$26*'0信息维护'!$E$36)+IF('0信息维护'!$I$93=0,0,G713/('0信息维护'!$I$93)*'0信息维护'!$U$26*'0信息维护'!$E$36)+IF('0信息维护'!$I$94=0,0,H713/('0信息维护'!$I$94)*'0信息维护'!$V$26*'0信息维护'!$E$36)+IF('0信息维护'!$I$95=0,0,I713/'0信息维护'!$I$95*'0信息维护'!$I$36)</f>
        <v>0.758333333333333</v>
      </c>
      <c r="K713" s="27"/>
      <c r="N713" s="29"/>
    </row>
    <row r="714" spans="1:11">
      <c r="A714" s="20"/>
      <c r="B714" s="20"/>
      <c r="C714" s="20"/>
      <c r="D714" s="18" t="str">
        <f>'0信息维护'!A$27</f>
        <v>课程目标3</v>
      </c>
      <c r="E714" s="19">
        <f ca="1">OFFSET('1课程考核方式及成绩组成'!$F$10,(ROW(E714)-5)/7,MOD((ROW(E714)-5),7))</f>
        <v>0</v>
      </c>
      <c r="F714" s="19">
        <f ca="1">OFFSET('1课程考核方式及成绩组成'!$N$10,(ROW(F714)-5)/7,MOD((ROW(F714)-5),7))</f>
        <v>0</v>
      </c>
      <c r="G714" s="19">
        <f ca="1">OFFSET('1课程考核方式及成绩组成'!$V$10,(ROW(G714)-5)/7,MOD((ROW(G714)-5),7))</f>
        <v>0</v>
      </c>
      <c r="H714" s="19">
        <f ca="1">OFFSET('1课程考核方式及成绩组成'!$AD$10,(ROW(H714)-5)/7,MOD((ROW(H714)-5),7))</f>
        <v>0</v>
      </c>
      <c r="I714" s="19">
        <f ca="1">OFFSET('1课程考核方式及成绩组成'!$AL$10,(ROW(I714)-5)/7,MOD((ROW(I714)-5),7))</f>
        <v>15</v>
      </c>
      <c r="J714" s="25">
        <f ca="1">IF('0信息维护'!$I$97=0,0,E714/('0信息维护'!$I$97)*'0信息维护'!$E$37*'0信息维护'!$S$27)+IF('0信息维护'!$I$98=0,0,F714/('0信息维护'!$I$98)*'0信息维护'!$E$37*'0信息维护'!$T$27)+IF('0信息维护'!$I$99=0,0,G714/('0信息维护'!$I$99)*'0信息维护'!$E$37*'0信息维护'!$U$27)+IF('0信息维护'!$I$100=0,0,H714/('0信息维护'!$I$100)*'0信息维护'!$E$37*'0信息维护'!$V$27)+IF('0信息维护'!$I$101=0,0,I714/'0信息维护'!$I$101*'0信息维护'!$I$37)</f>
        <v>0.441176470588235</v>
      </c>
      <c r="K714" s="27"/>
    </row>
    <row r="715" spans="1:11">
      <c r="A715" s="20"/>
      <c r="B715" s="20"/>
      <c r="C715" s="20"/>
      <c r="D715" s="18" t="str">
        <f>'0信息维护'!A$28</f>
        <v>课程目标4</v>
      </c>
      <c r="E715" s="19">
        <f ca="1">OFFSET('1课程考核方式及成绩组成'!$F$10,(ROW(E715)-5)/7,MOD((ROW(E715)-5),7))</f>
        <v>0</v>
      </c>
      <c r="F715" s="19">
        <f ca="1">OFFSET('1课程考核方式及成绩组成'!$N$10,(ROW(F715)-5)/7,MOD((ROW(F715)-5),7))</f>
        <v>77</v>
      </c>
      <c r="G715" s="19">
        <f ca="1">OFFSET('1课程考核方式及成绩组成'!$V$10,(ROW(G715)-5)/7,MOD((ROW(G715)-5),7))</f>
        <v>0</v>
      </c>
      <c r="H715" s="19">
        <f ca="1">OFFSET('1课程考核方式及成绩组成'!$AD$10,(ROW(H715)-5)/7,MOD((ROW(H715)-5),7))</f>
        <v>0</v>
      </c>
      <c r="I715" s="19">
        <f ca="1">OFFSET('1课程考核方式及成绩组成'!$AL$10,(ROW(I715)-5)/7,MOD((ROW(I715)-5),7))</f>
        <v>0</v>
      </c>
      <c r="J715" s="25">
        <f ca="1">IF('0信息维护'!$I$103=0,0,E715/('0信息维护'!$I$103)*'0信息维护'!$E$38*'0信息维护'!$S$28)+IF('0信息维护'!$I$104=0,0,F715/('0信息维护'!$I$104)*'0信息维护'!$E$38*'0信息维护'!$T$28)+IF('0信息维护'!$I$105=0,0,G715/('0信息维护'!$I$105)*'0信息维护'!$E$38*'0信息维护'!$U$28)+IF('0信息维护'!$I$106=0,0,H715/('0信息维护'!$I$106)*'0信息维护'!$E$38*'0信息维护'!$V$28)+IF('0信息维护'!$I$107=0,0,I715/'0信息维护'!$I$107*'0信息维护'!$I$38)</f>
        <v>0.77</v>
      </c>
      <c r="K715" s="27"/>
    </row>
    <row r="716" spans="1:11">
      <c r="A716" s="20"/>
      <c r="B716" s="20"/>
      <c r="C716" s="20"/>
      <c r="D716" s="18" t="str">
        <f>'0信息维护'!A$29</f>
        <v>课程目标5</v>
      </c>
      <c r="E716" s="19">
        <f ca="1">OFFSET('1课程考核方式及成绩组成'!$F$10,(ROW(E716)-5)/7,MOD((ROW(E716)-5),7))</f>
        <v>0</v>
      </c>
      <c r="F716" s="19">
        <f ca="1">OFFSET('1课程考核方式及成绩组成'!$N$10,(ROW(F716)-5)/7,MOD((ROW(F716)-5),7))</f>
        <v>0</v>
      </c>
      <c r="G716" s="19">
        <f ca="1">OFFSET('1课程考核方式及成绩组成'!$V$10,(ROW(G716)-5)/7,MOD((ROW(G716)-5),7))</f>
        <v>0</v>
      </c>
      <c r="H716" s="19">
        <f ca="1">OFFSET('1课程考核方式及成绩组成'!$AD$10,(ROW(H716)-5)/7,MOD((ROW(H716)-5),7))</f>
        <v>0</v>
      </c>
      <c r="I716" s="19">
        <f ca="1">OFFSET('1课程考核方式及成绩组成'!$AL$10,(ROW(I716)-5)/7,MOD((ROW(I716)-5),7))</f>
        <v>0</v>
      </c>
      <c r="J716" s="25">
        <f ca="1">IF('0信息维护'!$I$109=0,0,E716/('0信息维护'!$I$109)*'0信息维护'!$E$39*'0信息维护'!$S$29)+IF('0信息维护'!$I$110=0,0,F716/('0信息维护'!$I$110)*'0信息维护'!$E$39*'0信息维护'!$T$29)+IF('0信息维护'!$I$111=0,0,G716/('0信息维护'!$I$111)*'0信息维护'!$E$39*'0信息维护'!$U$29)+IF('0信息维护'!$I$112=0,0,H716/('0信息维护'!$I$112)*'0信息维护'!$E$39*'0信息维护'!$V$29)+IF('0信息维护'!$I$113=0,0,I716/'0信息维护'!$I$113*'0信息维护'!$I$39)</f>
        <v>0</v>
      </c>
      <c r="K716" s="27"/>
    </row>
    <row r="717" spans="1:11">
      <c r="A717" s="20"/>
      <c r="B717" s="20"/>
      <c r="C717" s="20"/>
      <c r="D717" s="18" t="str">
        <f>'0信息维护'!A$30</f>
        <v>课程目标6</v>
      </c>
      <c r="E717" s="19">
        <f ca="1">OFFSET('1课程考核方式及成绩组成'!$F$10,(ROW(E717)-5)/7,MOD((ROW(E717)-5),7))</f>
        <v>0</v>
      </c>
      <c r="F717" s="19">
        <f ca="1">OFFSET('1课程考核方式及成绩组成'!$N$10,(ROW(F717)-5)/7,MOD((ROW(F717)-5),7))</f>
        <v>0</v>
      </c>
      <c r="G717" s="19">
        <f ca="1">OFFSET('1课程考核方式及成绩组成'!$V$10,(ROW(G717)-5)/7,MOD((ROW(G717)-5),7))</f>
        <v>0</v>
      </c>
      <c r="H717" s="19">
        <f ca="1">OFFSET('1课程考核方式及成绩组成'!$AD$10,(ROW(H717)-5)/7,MOD((ROW(H717)-5),7))</f>
        <v>0</v>
      </c>
      <c r="I717" s="19">
        <f ca="1">OFFSET('1课程考核方式及成绩组成'!$AL$10,(ROW(I717)-5)/7,MOD((ROW(I717)-5),7))</f>
        <v>0</v>
      </c>
      <c r="J717" s="25">
        <f ca="1">IF('0信息维护'!$I$115=0,0,E717/('0信息维护'!$I$115)*'0信息维护'!$E$40*'0信息维护'!$S$30)+IF('0信息维护'!$I$116=0,0,F717/('0信息维护'!$I$116)*'0信息维护'!$E$40*'0信息维护'!$T$30)+IF('0信息维护'!$I$117=0,0,G717/('0信息维护'!$I$117)*'0信息维护'!$E$40*'0信息维护'!$U$30)+IF('0信息维护'!$I$118=0,0,H717/('0信息维护'!$I$118)*'0信息维护'!$E$40*'0信息维护'!$V$30)+IF('0信息维护'!$I$119=0,0,I717/'0信息维护'!$I$119*'0信息维护'!$I$40)</f>
        <v>0</v>
      </c>
      <c r="K717" s="27"/>
    </row>
    <row r="718" spans="1:11">
      <c r="A718" s="21"/>
      <c r="B718" s="21"/>
      <c r="C718" s="21"/>
      <c r="D718" s="18" t="str">
        <f>'0信息维护'!A$31</f>
        <v>课程目标7</v>
      </c>
      <c r="E718" s="19">
        <f ca="1">OFFSET('1课程考核方式及成绩组成'!$F$10,(ROW(E718)-5)/7,MOD((ROW(E718)-5),7))</f>
        <v>0</v>
      </c>
      <c r="F718" s="19">
        <f ca="1">OFFSET('1课程考核方式及成绩组成'!$N$10,(ROW(F718)-5)/7,MOD((ROW(F718)-5),7))</f>
        <v>0</v>
      </c>
      <c r="G718" s="19">
        <f ca="1">OFFSET('1课程考核方式及成绩组成'!$V$10,(ROW(G718)-5)/7,MOD((ROW(G718)-5),7))</f>
        <v>0</v>
      </c>
      <c r="H718" s="19">
        <f ca="1">OFFSET('1课程考核方式及成绩组成'!$AD$10,(ROW(H718)-5)/7,MOD((ROW(H718)-5),7))</f>
        <v>0</v>
      </c>
      <c r="I718" s="19">
        <f ca="1">OFFSET('1课程考核方式及成绩组成'!$AL$10,(ROW(I718)-5)/7,MOD((ROW(I718)-5),7))</f>
        <v>0</v>
      </c>
      <c r="J718" s="25">
        <f ca="1">IF('0信息维护'!$I$121=0,0,E718/('0信息维护'!$I$121)*'0信息维护'!$E$41*'0信息维护'!$S$31)+IF('0信息维护'!$I$122=0,0,F718/('0信息维护'!$I$122)*'0信息维护'!$E$41*'0信息维护'!$T$31)+IF('0信息维护'!$I$123=0,0,G718/('0信息维护'!$I$123)*'0信息维护'!$E$41*'0信息维护'!$U$31)+IF('0信息维护'!$I$124=0,0,H718/('0信息维护'!$I$124)*'0信息维护'!$E$41*'0信息维护'!$T$31)+IF('0信息维护'!$I$125=0,0,I718/'0信息维护'!$I$125*'0信息维护'!$I$41)</f>
        <v>0</v>
      </c>
      <c r="K718" s="30"/>
    </row>
    <row r="719" spans="1:11">
      <c r="A719" s="17">
        <v>103</v>
      </c>
      <c r="B719" s="17" t="str">
        <f ca="1">OFFSET('1课程考核方式及成绩组成'!$D$10,(ROW(B719)-5)/7,)</f>
        <v>220106127</v>
      </c>
      <c r="C719" s="17" t="str">
        <f ca="1">OFFSET('1课程考核方式及成绩组成'!$E$10,(ROW(C719)-5)/7,)</f>
        <v>廖子豪</v>
      </c>
      <c r="D719" s="18" t="str">
        <f>'0信息维护'!A$25</f>
        <v>课程目标1</v>
      </c>
      <c r="E719" s="19">
        <f ca="1">OFFSET('1课程考核方式及成绩组成'!$F$10,(ROW(E719)-5)/7,MOD((ROW(E719)-5),7))</f>
        <v>34</v>
      </c>
      <c r="F719" s="19">
        <f ca="1">OFFSET('1课程考核方式及成绩组成'!$N$10,(ROW(F719)-5)/7,MOD((ROW(F719)-5),7))</f>
        <v>0</v>
      </c>
      <c r="G719" s="19">
        <f ca="1">OFFSET('1课程考核方式及成绩组成'!$V$10,(ROW(G719)-5)/7,MOD((ROW(G719)-5),7))</f>
        <v>0</v>
      </c>
      <c r="H719" s="19">
        <f ca="1">OFFSET('1课程考核方式及成绩组成'!$AD$10,(ROW(H719)-5)/7,MOD((ROW(H719)-5),7))</f>
        <v>0</v>
      </c>
      <c r="I719" s="19">
        <f ca="1">OFFSET('1课程考核方式及成绩组成'!$AL$10,(ROW(I719)-5)/7,MOD((ROW(I719)-5),7))</f>
        <v>15</v>
      </c>
      <c r="J719" s="25">
        <f ca="1">IF('0信息维护'!$I$85=0,0,E719/('0信息维护'!$I$85)*'0信息维护'!$E$35*'0信息维护'!$S$25)+IF('0信息维护'!$I$86=0,0,F719/('0信息维护'!$I$86)*'0信息维护'!$E$35*'0信息维护'!$T$25)+IF('0信息维护'!$I$87=0,0,G719/('0信息维护'!$I$87)*'0信息维护'!$E$35*'0信息维护'!$U$25)+IF('0信息维护'!$I$88=0,0,H719/('0信息维护'!$I$88)*'0信息维护'!$E$35*'0信息维护'!$V$25)+IF('0信息维护'!$I$89=0,0,I719/'0信息维护'!$I$89*'0信息维护'!$I$35)</f>
        <v>0.633333333333333</v>
      </c>
      <c r="K719" s="26">
        <f ca="1">J719*'0信息维护'!$D$132+J720*'0信息维护'!$D$133+J721*'0信息维护'!$D$134+J722*'0信息维护'!$D$135+J723*'0信息维护'!$D$136+J724*'0信息维护'!$D$137+J725*'0信息维护'!$D$138</f>
        <v>0.629088235294118</v>
      </c>
    </row>
    <row r="720" spans="1:14">
      <c r="A720" s="20"/>
      <c r="B720" s="20"/>
      <c r="C720" s="20"/>
      <c r="D720" s="18" t="str">
        <f>'0信息维护'!A$26</f>
        <v>课程目标2</v>
      </c>
      <c r="E720" s="19">
        <f ca="1">OFFSET('1课程考核方式及成绩组成'!$F$10,(ROW(E720)-5)/7,MOD((ROW(E720)-5),7))</f>
        <v>51</v>
      </c>
      <c r="F720" s="19">
        <f ca="1">OFFSET('1课程考核方式及成绩组成'!$N$10,(ROW(F720)-5)/7,MOD((ROW(F720)-5),7))</f>
        <v>0</v>
      </c>
      <c r="G720" s="19">
        <f ca="1">OFFSET('1课程考核方式及成绩组成'!$V$10,(ROW(G720)-5)/7,MOD((ROW(G720)-5),7))</f>
        <v>0</v>
      </c>
      <c r="H720" s="19">
        <f ca="1">OFFSET('1课程考核方式及成绩组成'!$AD$10,(ROW(H720)-5)/7,MOD((ROW(H720)-5),7))</f>
        <v>0</v>
      </c>
      <c r="I720" s="19">
        <f ca="1">OFFSET('1课程考核方式及成绩组成'!$AL$10,(ROW(I720)-5)/7,MOD((ROW(I720)-5),7))</f>
        <v>13</v>
      </c>
      <c r="J720" s="25">
        <f ca="1">IF('0信息维护'!$I$91=0,0,E720/('0信息维护'!$I$91)*'0信息维护'!$S$26*'0信息维护'!$E$36)+IF('0信息维护'!$I$92=0,0,F720/('0信息维护'!$I$92)*'0信息维护'!$T$26*'0信息维护'!$E$36)+IF('0信息维护'!$I$93=0,0,G720/('0信息维护'!$I$93)*'0信息维护'!$U$26*'0信息维护'!$E$36)+IF('0信息维护'!$I$94=0,0,H720/('0信息维护'!$I$94)*'0信息维护'!$V$26*'0信息维护'!$E$36)+IF('0信息维护'!$I$95=0,0,I720/'0信息维护'!$I$95*'0信息维护'!$I$36)</f>
        <v>0.641666666666667</v>
      </c>
      <c r="K720" s="27"/>
      <c r="N720" s="29"/>
    </row>
    <row r="721" spans="1:11">
      <c r="A721" s="20"/>
      <c r="B721" s="20"/>
      <c r="C721" s="20"/>
      <c r="D721" s="18" t="str">
        <f>'0信息维护'!A$27</f>
        <v>课程目标3</v>
      </c>
      <c r="E721" s="19">
        <f ca="1">OFFSET('1课程考核方式及成绩组成'!$F$10,(ROW(E721)-5)/7,MOD((ROW(E721)-5),7))</f>
        <v>0</v>
      </c>
      <c r="F721" s="19">
        <f ca="1">OFFSET('1课程考核方式及成绩组成'!$N$10,(ROW(F721)-5)/7,MOD((ROW(F721)-5),7))</f>
        <v>0</v>
      </c>
      <c r="G721" s="19">
        <f ca="1">OFFSET('1课程考核方式及成绩组成'!$V$10,(ROW(G721)-5)/7,MOD((ROW(G721)-5),7))</f>
        <v>0</v>
      </c>
      <c r="H721" s="19">
        <f ca="1">OFFSET('1课程考核方式及成绩组成'!$AD$10,(ROW(H721)-5)/7,MOD((ROW(H721)-5),7))</f>
        <v>0</v>
      </c>
      <c r="I721" s="19">
        <f ca="1">OFFSET('1课程考核方式及成绩组成'!$AL$10,(ROW(I721)-5)/7,MOD((ROW(I721)-5),7))</f>
        <v>13</v>
      </c>
      <c r="J721" s="25">
        <f ca="1">IF('0信息维护'!$I$97=0,0,E721/('0信息维护'!$I$97)*'0信息维护'!$E$37*'0信息维护'!$S$27)+IF('0信息维护'!$I$98=0,0,F721/('0信息维护'!$I$98)*'0信息维护'!$E$37*'0信息维护'!$T$27)+IF('0信息维护'!$I$99=0,0,G721/('0信息维护'!$I$99)*'0信息维护'!$E$37*'0信息维护'!$U$27)+IF('0信息维护'!$I$100=0,0,H721/('0信息维护'!$I$100)*'0信息维护'!$E$37*'0信息维护'!$V$27)+IF('0信息维护'!$I$101=0,0,I721/'0信息维护'!$I$101*'0信息维护'!$I$37)</f>
        <v>0.382352941176471</v>
      </c>
      <c r="K721" s="27"/>
    </row>
    <row r="722" spans="1:11">
      <c r="A722" s="20"/>
      <c r="B722" s="20"/>
      <c r="C722" s="20"/>
      <c r="D722" s="18" t="str">
        <f>'0信息维护'!A$28</f>
        <v>课程目标4</v>
      </c>
      <c r="E722" s="19">
        <f ca="1">OFFSET('1课程考核方式及成绩组成'!$F$10,(ROW(E722)-5)/7,MOD((ROW(E722)-5),7))</f>
        <v>0</v>
      </c>
      <c r="F722" s="19">
        <f ca="1">OFFSET('1课程考核方式及成绩组成'!$N$10,(ROW(F722)-5)/7,MOD((ROW(F722)-5),7))</f>
        <v>82</v>
      </c>
      <c r="G722" s="19">
        <f ca="1">OFFSET('1课程考核方式及成绩组成'!$V$10,(ROW(G722)-5)/7,MOD((ROW(G722)-5),7))</f>
        <v>0</v>
      </c>
      <c r="H722" s="19">
        <f ca="1">OFFSET('1课程考核方式及成绩组成'!$AD$10,(ROW(H722)-5)/7,MOD((ROW(H722)-5),7))</f>
        <v>0</v>
      </c>
      <c r="I722" s="19">
        <f ca="1">OFFSET('1课程考核方式及成绩组成'!$AL$10,(ROW(I722)-5)/7,MOD((ROW(I722)-5),7))</f>
        <v>0</v>
      </c>
      <c r="J722" s="25">
        <f ca="1">IF('0信息维护'!$I$103=0,0,E722/('0信息维护'!$I$103)*'0信息维护'!$E$38*'0信息维护'!$S$28)+IF('0信息维护'!$I$104=0,0,F722/('0信息维护'!$I$104)*'0信息维护'!$E$38*'0信息维护'!$T$28)+IF('0信息维护'!$I$105=0,0,G722/('0信息维护'!$I$105)*'0信息维护'!$E$38*'0信息维护'!$U$28)+IF('0信息维护'!$I$106=0,0,H722/('0信息维护'!$I$106)*'0信息维护'!$E$38*'0信息维护'!$V$28)+IF('0信息维护'!$I$107=0,0,I722/'0信息维护'!$I$107*'0信息维护'!$I$38)</f>
        <v>0.82</v>
      </c>
      <c r="K722" s="27"/>
    </row>
    <row r="723" spans="1:11">
      <c r="A723" s="20"/>
      <c r="B723" s="20"/>
      <c r="C723" s="20"/>
      <c r="D723" s="18" t="str">
        <f>'0信息维护'!A$29</f>
        <v>课程目标5</v>
      </c>
      <c r="E723" s="19">
        <f ca="1">OFFSET('1课程考核方式及成绩组成'!$F$10,(ROW(E723)-5)/7,MOD((ROW(E723)-5),7))</f>
        <v>0</v>
      </c>
      <c r="F723" s="19">
        <f ca="1">OFFSET('1课程考核方式及成绩组成'!$N$10,(ROW(F723)-5)/7,MOD((ROW(F723)-5),7))</f>
        <v>0</v>
      </c>
      <c r="G723" s="19">
        <f ca="1">OFFSET('1课程考核方式及成绩组成'!$V$10,(ROW(G723)-5)/7,MOD((ROW(G723)-5),7))</f>
        <v>0</v>
      </c>
      <c r="H723" s="19">
        <f ca="1">OFFSET('1课程考核方式及成绩组成'!$AD$10,(ROW(H723)-5)/7,MOD((ROW(H723)-5),7))</f>
        <v>0</v>
      </c>
      <c r="I723" s="19">
        <f ca="1">OFFSET('1课程考核方式及成绩组成'!$AL$10,(ROW(I723)-5)/7,MOD((ROW(I723)-5),7))</f>
        <v>0</v>
      </c>
      <c r="J723" s="25">
        <f ca="1">IF('0信息维护'!$I$109=0,0,E723/('0信息维护'!$I$109)*'0信息维护'!$E$39*'0信息维护'!$S$29)+IF('0信息维护'!$I$110=0,0,F723/('0信息维护'!$I$110)*'0信息维护'!$E$39*'0信息维护'!$T$29)+IF('0信息维护'!$I$111=0,0,G723/('0信息维护'!$I$111)*'0信息维护'!$E$39*'0信息维护'!$U$29)+IF('0信息维护'!$I$112=0,0,H723/('0信息维护'!$I$112)*'0信息维护'!$E$39*'0信息维护'!$V$29)+IF('0信息维护'!$I$113=0,0,I723/'0信息维护'!$I$113*'0信息维护'!$I$39)</f>
        <v>0</v>
      </c>
      <c r="K723" s="27"/>
    </row>
    <row r="724" spans="1:11">
      <c r="A724" s="20"/>
      <c r="B724" s="20"/>
      <c r="C724" s="20"/>
      <c r="D724" s="18" t="str">
        <f>'0信息维护'!A$30</f>
        <v>课程目标6</v>
      </c>
      <c r="E724" s="19">
        <f ca="1">OFFSET('1课程考核方式及成绩组成'!$F$10,(ROW(E724)-5)/7,MOD((ROW(E724)-5),7))</f>
        <v>0</v>
      </c>
      <c r="F724" s="19">
        <f ca="1">OFFSET('1课程考核方式及成绩组成'!$N$10,(ROW(F724)-5)/7,MOD((ROW(F724)-5),7))</f>
        <v>0</v>
      </c>
      <c r="G724" s="19">
        <f ca="1">OFFSET('1课程考核方式及成绩组成'!$V$10,(ROW(G724)-5)/7,MOD((ROW(G724)-5),7))</f>
        <v>0</v>
      </c>
      <c r="H724" s="19">
        <f ca="1">OFFSET('1课程考核方式及成绩组成'!$AD$10,(ROW(H724)-5)/7,MOD((ROW(H724)-5),7))</f>
        <v>0</v>
      </c>
      <c r="I724" s="19">
        <f ca="1">OFFSET('1课程考核方式及成绩组成'!$AL$10,(ROW(I724)-5)/7,MOD((ROW(I724)-5),7))</f>
        <v>0</v>
      </c>
      <c r="J724" s="25">
        <f ca="1">IF('0信息维护'!$I$115=0,0,E724/('0信息维护'!$I$115)*'0信息维护'!$E$40*'0信息维护'!$S$30)+IF('0信息维护'!$I$116=0,0,F724/('0信息维护'!$I$116)*'0信息维护'!$E$40*'0信息维护'!$T$30)+IF('0信息维护'!$I$117=0,0,G724/('0信息维护'!$I$117)*'0信息维护'!$E$40*'0信息维护'!$U$30)+IF('0信息维护'!$I$118=0,0,H724/('0信息维护'!$I$118)*'0信息维护'!$E$40*'0信息维护'!$V$30)+IF('0信息维护'!$I$119=0,0,I724/'0信息维护'!$I$119*'0信息维护'!$I$40)</f>
        <v>0</v>
      </c>
      <c r="K724" s="27"/>
    </row>
    <row r="725" spans="1:11">
      <c r="A725" s="21"/>
      <c r="B725" s="21"/>
      <c r="C725" s="21"/>
      <c r="D725" s="18" t="str">
        <f>'0信息维护'!A$31</f>
        <v>课程目标7</v>
      </c>
      <c r="E725" s="19">
        <f ca="1">OFFSET('1课程考核方式及成绩组成'!$F$10,(ROW(E725)-5)/7,MOD((ROW(E725)-5),7))</f>
        <v>0</v>
      </c>
      <c r="F725" s="19">
        <f ca="1">OFFSET('1课程考核方式及成绩组成'!$N$10,(ROW(F725)-5)/7,MOD((ROW(F725)-5),7))</f>
        <v>0</v>
      </c>
      <c r="G725" s="19">
        <f ca="1">OFFSET('1课程考核方式及成绩组成'!$V$10,(ROW(G725)-5)/7,MOD((ROW(G725)-5),7))</f>
        <v>0</v>
      </c>
      <c r="H725" s="19">
        <f ca="1">OFFSET('1课程考核方式及成绩组成'!$AD$10,(ROW(H725)-5)/7,MOD((ROW(H725)-5),7))</f>
        <v>0</v>
      </c>
      <c r="I725" s="19">
        <f ca="1">OFFSET('1课程考核方式及成绩组成'!$AL$10,(ROW(I725)-5)/7,MOD((ROW(I725)-5),7))</f>
        <v>0</v>
      </c>
      <c r="J725" s="25">
        <f ca="1">IF('0信息维护'!$I$121=0,0,E725/('0信息维护'!$I$121)*'0信息维护'!$E$41*'0信息维护'!$S$31)+IF('0信息维护'!$I$122=0,0,F725/('0信息维护'!$I$122)*'0信息维护'!$E$41*'0信息维护'!$T$31)+IF('0信息维护'!$I$123=0,0,G725/('0信息维护'!$I$123)*'0信息维护'!$E$41*'0信息维护'!$U$31)+IF('0信息维护'!$I$124=0,0,H725/('0信息维护'!$I$124)*'0信息维护'!$E$41*'0信息维护'!$T$31)+IF('0信息维护'!$I$125=0,0,I725/'0信息维护'!$I$125*'0信息维护'!$I$41)</f>
        <v>0</v>
      </c>
      <c r="K725" s="30"/>
    </row>
    <row r="726" spans="1:11">
      <c r="A726" s="17">
        <v>104</v>
      </c>
      <c r="B726" s="17" t="str">
        <f ca="1">OFFSET('1课程考核方式及成绩组成'!$D$10,(ROW(B726)-5)/7,)</f>
        <v>220106128</v>
      </c>
      <c r="C726" s="17" t="str">
        <f ca="1">OFFSET('1课程考核方式及成绩组成'!$E$10,(ROW(C726)-5)/7,)</f>
        <v>秦浩</v>
      </c>
      <c r="D726" s="18" t="str">
        <f>'0信息维护'!A$25</f>
        <v>课程目标1</v>
      </c>
      <c r="E726" s="19">
        <f ca="1">OFFSET('1课程考核方式及成绩组成'!$F$10,(ROW(E726)-5)/7,MOD((ROW(E726)-5),7))</f>
        <v>33</v>
      </c>
      <c r="F726" s="19">
        <f ca="1">OFFSET('1课程考核方式及成绩组成'!$N$10,(ROW(F726)-5)/7,MOD((ROW(F726)-5),7))</f>
        <v>0</v>
      </c>
      <c r="G726" s="19">
        <f ca="1">OFFSET('1课程考核方式及成绩组成'!$V$10,(ROW(G726)-5)/7,MOD((ROW(G726)-5),7))</f>
        <v>0</v>
      </c>
      <c r="H726" s="19">
        <f ca="1">OFFSET('1课程考核方式及成绩组成'!$AD$10,(ROW(H726)-5)/7,MOD((ROW(H726)-5),7))</f>
        <v>0</v>
      </c>
      <c r="I726" s="19">
        <f ca="1">OFFSET('1课程考核方式及成绩组成'!$AL$10,(ROW(I726)-5)/7,MOD((ROW(I726)-5),7))</f>
        <v>22</v>
      </c>
      <c r="J726" s="25">
        <f ca="1">IF('0信息维护'!$I$85=0,0,E726/('0信息维护'!$I$85)*'0信息维护'!$E$35*'0信息维护'!$S$25)+IF('0信息维护'!$I$86=0,0,F726/('0信息维护'!$I$86)*'0信息维护'!$E$35*'0信息维护'!$T$25)+IF('0信息维护'!$I$87=0,0,G726/('0信息维护'!$I$87)*'0信息维护'!$E$35*'0信息维护'!$U$25)+IF('0信息维护'!$I$88=0,0,H726/('0信息维护'!$I$88)*'0信息维护'!$E$35*'0信息维护'!$V$25)+IF('0信息维护'!$I$89=0,0,I726/'0信息维护'!$I$89*'0信息维护'!$I$35)</f>
        <v>0.718055555555556</v>
      </c>
      <c r="K726" s="26">
        <f ca="1">J726*'0信息维护'!$D$132+J727*'0信息维护'!$D$133+J728*'0信息维护'!$D$134+J729*'0信息维护'!$D$135+J730*'0信息维护'!$D$136+J731*'0信息维护'!$D$137+J732*'0信息维护'!$D$138</f>
        <v>0.659502450980392</v>
      </c>
    </row>
    <row r="727" spans="1:14">
      <c r="A727" s="20"/>
      <c r="B727" s="20"/>
      <c r="C727" s="20"/>
      <c r="D727" s="18" t="str">
        <f>'0信息维护'!A$26</f>
        <v>课程目标2</v>
      </c>
      <c r="E727" s="19">
        <f ca="1">OFFSET('1课程考核方式及成绩组成'!$F$10,(ROW(E727)-5)/7,MOD((ROW(E727)-5),7))</f>
        <v>51</v>
      </c>
      <c r="F727" s="19">
        <f ca="1">OFFSET('1课程考核方式及成绩组成'!$N$10,(ROW(F727)-5)/7,MOD((ROW(F727)-5),7))</f>
        <v>0</v>
      </c>
      <c r="G727" s="19">
        <f ca="1">OFFSET('1课程考核方式及成绩组成'!$V$10,(ROW(G727)-5)/7,MOD((ROW(G727)-5),7))</f>
        <v>0</v>
      </c>
      <c r="H727" s="19">
        <f ca="1">OFFSET('1课程考核方式及成绩组成'!$AD$10,(ROW(H727)-5)/7,MOD((ROW(H727)-5),7))</f>
        <v>0</v>
      </c>
      <c r="I727" s="19">
        <f ca="1">OFFSET('1课程考核方式及成绩组成'!$AL$10,(ROW(I727)-5)/7,MOD((ROW(I727)-5),7))</f>
        <v>10</v>
      </c>
      <c r="J727" s="25">
        <f ca="1">IF('0信息维护'!$I$91=0,0,E727/('0信息维护'!$I$91)*'0信息维护'!$S$26*'0信息维护'!$E$36)+IF('0信息维护'!$I$92=0,0,F727/('0信息维护'!$I$92)*'0信息维护'!$T$26*'0信息维护'!$E$36)+IF('0信息维护'!$I$93=0,0,G727/('0信息维护'!$I$93)*'0信息维护'!$U$26*'0信息维护'!$E$36)+IF('0信息维护'!$I$94=0,0,H727/('0信息维护'!$I$94)*'0信息维护'!$V$26*'0信息维护'!$E$36)+IF('0信息维护'!$I$95=0,0,I727/'0信息维护'!$I$95*'0信息维护'!$I$36)</f>
        <v>0.591666666666667</v>
      </c>
      <c r="K727" s="27"/>
      <c r="N727" s="29"/>
    </row>
    <row r="728" spans="1:11">
      <c r="A728" s="20"/>
      <c r="B728" s="20"/>
      <c r="C728" s="20"/>
      <c r="D728" s="18" t="str">
        <f>'0信息维护'!A$27</f>
        <v>课程目标3</v>
      </c>
      <c r="E728" s="19">
        <f ca="1">OFFSET('1课程考核方式及成绩组成'!$F$10,(ROW(E728)-5)/7,MOD((ROW(E728)-5),7))</f>
        <v>0</v>
      </c>
      <c r="F728" s="19">
        <f ca="1">OFFSET('1课程考核方式及成绩组成'!$N$10,(ROW(F728)-5)/7,MOD((ROW(F728)-5),7))</f>
        <v>0</v>
      </c>
      <c r="G728" s="19">
        <f ca="1">OFFSET('1课程考核方式及成绩组成'!$V$10,(ROW(G728)-5)/7,MOD((ROW(G728)-5),7))</f>
        <v>0</v>
      </c>
      <c r="H728" s="19">
        <f ca="1">OFFSET('1课程考核方式及成绩组成'!$AD$10,(ROW(H728)-5)/7,MOD((ROW(H728)-5),7))</f>
        <v>0</v>
      </c>
      <c r="I728" s="19">
        <f ca="1">OFFSET('1课程考核方式及成绩组成'!$AL$10,(ROW(I728)-5)/7,MOD((ROW(I728)-5),7))</f>
        <v>15</v>
      </c>
      <c r="J728" s="25">
        <f ca="1">IF('0信息维护'!$I$97=0,0,E728/('0信息维护'!$I$97)*'0信息维护'!$E$37*'0信息维护'!$S$27)+IF('0信息维护'!$I$98=0,0,F728/('0信息维护'!$I$98)*'0信息维护'!$E$37*'0信息维护'!$T$27)+IF('0信息维护'!$I$99=0,0,G728/('0信息维护'!$I$99)*'0信息维护'!$E$37*'0信息维护'!$U$27)+IF('0信息维护'!$I$100=0,0,H728/('0信息维护'!$I$100)*'0信息维护'!$E$37*'0信息维护'!$V$27)+IF('0信息维护'!$I$101=0,0,I728/'0信息维护'!$I$101*'0信息维护'!$I$37)</f>
        <v>0.441176470588235</v>
      </c>
      <c r="K728" s="27"/>
    </row>
    <row r="729" spans="1:11">
      <c r="A729" s="20"/>
      <c r="B729" s="20"/>
      <c r="C729" s="20"/>
      <c r="D729" s="18" t="str">
        <f>'0信息维护'!A$28</f>
        <v>课程目标4</v>
      </c>
      <c r="E729" s="19">
        <f ca="1">OFFSET('1课程考核方式及成绩组成'!$F$10,(ROW(E729)-5)/7,MOD((ROW(E729)-5),7))</f>
        <v>0</v>
      </c>
      <c r="F729" s="19">
        <f ca="1">OFFSET('1课程考核方式及成绩组成'!$N$10,(ROW(F729)-5)/7,MOD((ROW(F729)-5),7))</f>
        <v>88</v>
      </c>
      <c r="G729" s="19">
        <f ca="1">OFFSET('1课程考核方式及成绩组成'!$V$10,(ROW(G729)-5)/7,MOD((ROW(G729)-5),7))</f>
        <v>0</v>
      </c>
      <c r="H729" s="19">
        <f ca="1">OFFSET('1课程考核方式及成绩组成'!$AD$10,(ROW(H729)-5)/7,MOD((ROW(H729)-5),7))</f>
        <v>0</v>
      </c>
      <c r="I729" s="19">
        <f ca="1">OFFSET('1课程考核方式及成绩组成'!$AL$10,(ROW(I729)-5)/7,MOD((ROW(I729)-5),7))</f>
        <v>0</v>
      </c>
      <c r="J729" s="25">
        <f ca="1">IF('0信息维护'!$I$103=0,0,E729/('0信息维护'!$I$103)*'0信息维护'!$E$38*'0信息维护'!$S$28)+IF('0信息维护'!$I$104=0,0,F729/('0信息维护'!$I$104)*'0信息维护'!$E$38*'0信息维护'!$T$28)+IF('0信息维护'!$I$105=0,0,G729/('0信息维护'!$I$105)*'0信息维护'!$E$38*'0信息维护'!$U$28)+IF('0信息维护'!$I$106=0,0,H729/('0信息维护'!$I$106)*'0信息维护'!$E$38*'0信息维护'!$V$28)+IF('0信息维护'!$I$107=0,0,I729/'0信息维护'!$I$107*'0信息维护'!$I$38)</f>
        <v>0.88</v>
      </c>
      <c r="K729" s="27"/>
    </row>
    <row r="730" spans="1:11">
      <c r="A730" s="20"/>
      <c r="B730" s="20"/>
      <c r="C730" s="20"/>
      <c r="D730" s="18" t="str">
        <f>'0信息维护'!A$29</f>
        <v>课程目标5</v>
      </c>
      <c r="E730" s="19">
        <f ca="1">OFFSET('1课程考核方式及成绩组成'!$F$10,(ROW(E730)-5)/7,MOD((ROW(E730)-5),7))</f>
        <v>0</v>
      </c>
      <c r="F730" s="19">
        <f ca="1">OFFSET('1课程考核方式及成绩组成'!$N$10,(ROW(F730)-5)/7,MOD((ROW(F730)-5),7))</f>
        <v>0</v>
      </c>
      <c r="G730" s="19">
        <f ca="1">OFFSET('1课程考核方式及成绩组成'!$V$10,(ROW(G730)-5)/7,MOD((ROW(G730)-5),7))</f>
        <v>0</v>
      </c>
      <c r="H730" s="19">
        <f ca="1">OFFSET('1课程考核方式及成绩组成'!$AD$10,(ROW(H730)-5)/7,MOD((ROW(H730)-5),7))</f>
        <v>0</v>
      </c>
      <c r="I730" s="19">
        <f ca="1">OFFSET('1课程考核方式及成绩组成'!$AL$10,(ROW(I730)-5)/7,MOD((ROW(I730)-5),7))</f>
        <v>0</v>
      </c>
      <c r="J730" s="25">
        <f ca="1">IF('0信息维护'!$I$109=0,0,E730/('0信息维护'!$I$109)*'0信息维护'!$E$39*'0信息维护'!$S$29)+IF('0信息维护'!$I$110=0,0,F730/('0信息维护'!$I$110)*'0信息维护'!$E$39*'0信息维护'!$T$29)+IF('0信息维护'!$I$111=0,0,G730/('0信息维护'!$I$111)*'0信息维护'!$E$39*'0信息维护'!$U$29)+IF('0信息维护'!$I$112=0,0,H730/('0信息维护'!$I$112)*'0信息维护'!$E$39*'0信息维护'!$V$29)+IF('0信息维护'!$I$113=0,0,I730/'0信息维护'!$I$113*'0信息维护'!$I$39)</f>
        <v>0</v>
      </c>
      <c r="K730" s="27"/>
    </row>
    <row r="731" spans="1:11">
      <c r="A731" s="20"/>
      <c r="B731" s="20"/>
      <c r="C731" s="20"/>
      <c r="D731" s="18" t="str">
        <f>'0信息维护'!A$30</f>
        <v>课程目标6</v>
      </c>
      <c r="E731" s="19">
        <f ca="1">OFFSET('1课程考核方式及成绩组成'!$F$10,(ROW(E731)-5)/7,MOD((ROW(E731)-5),7))</f>
        <v>0</v>
      </c>
      <c r="F731" s="19">
        <f ca="1">OFFSET('1课程考核方式及成绩组成'!$N$10,(ROW(F731)-5)/7,MOD((ROW(F731)-5),7))</f>
        <v>0</v>
      </c>
      <c r="G731" s="19">
        <f ca="1">OFFSET('1课程考核方式及成绩组成'!$V$10,(ROW(G731)-5)/7,MOD((ROW(G731)-5),7))</f>
        <v>0</v>
      </c>
      <c r="H731" s="19">
        <f ca="1">OFFSET('1课程考核方式及成绩组成'!$AD$10,(ROW(H731)-5)/7,MOD((ROW(H731)-5),7))</f>
        <v>0</v>
      </c>
      <c r="I731" s="19">
        <f ca="1">OFFSET('1课程考核方式及成绩组成'!$AL$10,(ROW(I731)-5)/7,MOD((ROW(I731)-5),7))</f>
        <v>0</v>
      </c>
      <c r="J731" s="25">
        <f ca="1">IF('0信息维护'!$I$115=0,0,E731/('0信息维护'!$I$115)*'0信息维护'!$E$40*'0信息维护'!$S$30)+IF('0信息维护'!$I$116=0,0,F731/('0信息维护'!$I$116)*'0信息维护'!$E$40*'0信息维护'!$T$30)+IF('0信息维护'!$I$117=0,0,G731/('0信息维护'!$I$117)*'0信息维护'!$E$40*'0信息维护'!$U$30)+IF('0信息维护'!$I$118=0,0,H731/('0信息维护'!$I$118)*'0信息维护'!$E$40*'0信息维护'!$V$30)+IF('0信息维护'!$I$119=0,0,I731/'0信息维护'!$I$119*'0信息维护'!$I$40)</f>
        <v>0</v>
      </c>
      <c r="K731" s="27"/>
    </row>
    <row r="732" spans="1:11">
      <c r="A732" s="21"/>
      <c r="B732" s="21"/>
      <c r="C732" s="21"/>
      <c r="D732" s="18" t="str">
        <f>'0信息维护'!A$31</f>
        <v>课程目标7</v>
      </c>
      <c r="E732" s="19">
        <f ca="1">OFFSET('1课程考核方式及成绩组成'!$F$10,(ROW(E732)-5)/7,MOD((ROW(E732)-5),7))</f>
        <v>0</v>
      </c>
      <c r="F732" s="19">
        <f ca="1">OFFSET('1课程考核方式及成绩组成'!$N$10,(ROW(F732)-5)/7,MOD((ROW(F732)-5),7))</f>
        <v>0</v>
      </c>
      <c r="G732" s="19">
        <f ca="1">OFFSET('1课程考核方式及成绩组成'!$V$10,(ROW(G732)-5)/7,MOD((ROW(G732)-5),7))</f>
        <v>0</v>
      </c>
      <c r="H732" s="19">
        <f ca="1">OFFSET('1课程考核方式及成绩组成'!$AD$10,(ROW(H732)-5)/7,MOD((ROW(H732)-5),7))</f>
        <v>0</v>
      </c>
      <c r="I732" s="19">
        <f ca="1">OFFSET('1课程考核方式及成绩组成'!$AL$10,(ROW(I732)-5)/7,MOD((ROW(I732)-5),7))</f>
        <v>0</v>
      </c>
      <c r="J732" s="25">
        <f ca="1">IF('0信息维护'!$I$121=0,0,E732/('0信息维护'!$I$121)*'0信息维护'!$E$41*'0信息维护'!$S$31)+IF('0信息维护'!$I$122=0,0,F732/('0信息维护'!$I$122)*'0信息维护'!$E$41*'0信息维护'!$T$31)+IF('0信息维护'!$I$123=0,0,G732/('0信息维护'!$I$123)*'0信息维护'!$E$41*'0信息维护'!$U$31)+IF('0信息维护'!$I$124=0,0,H732/('0信息维护'!$I$124)*'0信息维护'!$E$41*'0信息维护'!$T$31)+IF('0信息维护'!$I$125=0,0,I732/'0信息维护'!$I$125*'0信息维护'!$I$41)</f>
        <v>0</v>
      </c>
      <c r="K732" s="30"/>
    </row>
    <row r="733" spans="1:11">
      <c r="A733" s="17">
        <v>105</v>
      </c>
      <c r="B733" s="17" t="str">
        <f ca="1">OFFSET('1课程考核方式及成绩组成'!$D$10,(ROW(B733)-5)/7,)</f>
        <v>220106129</v>
      </c>
      <c r="C733" s="17" t="str">
        <f ca="1">OFFSET('1课程考核方式及成绩组成'!$E$10,(ROW(C733)-5)/7,)</f>
        <v>阳文杰</v>
      </c>
      <c r="D733" s="18" t="str">
        <f>'0信息维护'!A$25</f>
        <v>课程目标1</v>
      </c>
      <c r="E733" s="19">
        <f ca="1">OFFSET('1课程考核方式及成绩组成'!$F$10,(ROW(E733)-5)/7,MOD((ROW(E733)-5),7))</f>
        <v>32</v>
      </c>
      <c r="F733" s="19">
        <f ca="1">OFFSET('1课程考核方式及成绩组成'!$N$10,(ROW(F733)-5)/7,MOD((ROW(F733)-5),7))</f>
        <v>0</v>
      </c>
      <c r="G733" s="19">
        <f ca="1">OFFSET('1课程考核方式及成绩组成'!$V$10,(ROW(G733)-5)/7,MOD((ROW(G733)-5),7))</f>
        <v>0</v>
      </c>
      <c r="H733" s="19">
        <f ca="1">OFFSET('1课程考核方式及成绩组成'!$AD$10,(ROW(H733)-5)/7,MOD((ROW(H733)-5),7))</f>
        <v>0</v>
      </c>
      <c r="I733" s="19">
        <f ca="1">OFFSET('1课程考核方式及成绩组成'!$AL$10,(ROW(I733)-5)/7,MOD((ROW(I733)-5),7))</f>
        <v>15</v>
      </c>
      <c r="J733" s="25">
        <f ca="1">IF('0信息维护'!$I$85=0,0,E733/('0信息维护'!$I$85)*'0信息维护'!$E$35*'0信息维护'!$S$25)+IF('0信息维护'!$I$86=0,0,F733/('0信息维护'!$I$86)*'0信息维护'!$E$35*'0信息维护'!$T$25)+IF('0信息维护'!$I$87=0,0,G733/('0信息维护'!$I$87)*'0信息维护'!$E$35*'0信息维护'!$U$25)+IF('0信息维护'!$I$88=0,0,H733/('0信息维护'!$I$88)*'0信息维护'!$E$35*'0信息维护'!$V$25)+IF('0信息维护'!$I$89=0,0,I733/'0信息维护'!$I$89*'0信息维护'!$I$35)</f>
        <v>0.608333333333333</v>
      </c>
      <c r="K733" s="26">
        <f ca="1">J733*'0信息维护'!$D$132+J734*'0信息维护'!$D$133+J735*'0信息维护'!$D$134+J736*'0信息维护'!$D$135+J737*'0信息维护'!$D$136+J738*'0信息维护'!$D$137+J739*'0信息维护'!$D$138</f>
        <v>0.569191176470588</v>
      </c>
    </row>
    <row r="734" spans="1:14">
      <c r="A734" s="20"/>
      <c r="B734" s="20"/>
      <c r="C734" s="20"/>
      <c r="D734" s="18" t="str">
        <f>'0信息维护'!A$26</f>
        <v>课程目标2</v>
      </c>
      <c r="E734" s="19">
        <f ca="1">OFFSET('1课程考核方式及成绩组成'!$F$10,(ROW(E734)-5)/7,MOD((ROW(E734)-5),7))</f>
        <v>48</v>
      </c>
      <c r="F734" s="19">
        <f ca="1">OFFSET('1课程考核方式及成绩组成'!$N$10,(ROW(F734)-5)/7,MOD((ROW(F734)-5),7))</f>
        <v>0</v>
      </c>
      <c r="G734" s="19">
        <f ca="1">OFFSET('1课程考核方式及成绩组成'!$V$10,(ROW(G734)-5)/7,MOD((ROW(G734)-5),7))</f>
        <v>0</v>
      </c>
      <c r="H734" s="19">
        <f ca="1">OFFSET('1课程考核方式及成绩组成'!$AD$10,(ROW(H734)-5)/7,MOD((ROW(H734)-5),7))</f>
        <v>0</v>
      </c>
      <c r="I734" s="19">
        <f ca="1">OFFSET('1课程考核方式及成绩组成'!$AL$10,(ROW(I734)-5)/7,MOD((ROW(I734)-5),7))</f>
        <v>9</v>
      </c>
      <c r="J734" s="25">
        <f ca="1">IF('0信息维护'!$I$91=0,0,E734/('0信息维护'!$I$91)*'0信息维护'!$S$26*'0信息维护'!$E$36)+IF('0信息维护'!$I$92=0,0,F734/('0信息维护'!$I$92)*'0信息维护'!$T$26*'0信息维护'!$E$36)+IF('0信息维护'!$I$93=0,0,G734/('0信息维护'!$I$93)*'0信息维护'!$U$26*'0信息维护'!$E$36)+IF('0信息维护'!$I$94=0,0,H734/('0信息维护'!$I$94)*'0信息维护'!$V$26*'0信息维护'!$E$36)+IF('0信息维护'!$I$95=0,0,I734/'0信息维护'!$I$95*'0信息维护'!$I$36)</f>
        <v>0.55</v>
      </c>
      <c r="K734" s="27"/>
      <c r="N734" s="29"/>
    </row>
    <row r="735" spans="1:11">
      <c r="A735" s="20"/>
      <c r="B735" s="20"/>
      <c r="C735" s="20"/>
      <c r="D735" s="18" t="str">
        <f>'0信息维护'!A$27</f>
        <v>课程目标3</v>
      </c>
      <c r="E735" s="19">
        <f ca="1">OFFSET('1课程考核方式及成绩组成'!$F$10,(ROW(E735)-5)/7,MOD((ROW(E735)-5),7))</f>
        <v>0</v>
      </c>
      <c r="F735" s="19">
        <f ca="1">OFFSET('1课程考核方式及成绩组成'!$N$10,(ROW(F735)-5)/7,MOD((ROW(F735)-5),7))</f>
        <v>0</v>
      </c>
      <c r="G735" s="19">
        <f ca="1">OFFSET('1课程考核方式及成绩组成'!$V$10,(ROW(G735)-5)/7,MOD((ROW(G735)-5),7))</f>
        <v>0</v>
      </c>
      <c r="H735" s="19">
        <f ca="1">OFFSET('1课程考核方式及成绩组成'!$AD$10,(ROW(H735)-5)/7,MOD((ROW(H735)-5),7))</f>
        <v>0</v>
      </c>
      <c r="I735" s="19">
        <f ca="1">OFFSET('1课程考核方式及成绩组成'!$AL$10,(ROW(I735)-5)/7,MOD((ROW(I735)-5),7))</f>
        <v>14</v>
      </c>
      <c r="J735" s="25">
        <f ca="1">IF('0信息维护'!$I$97=0,0,E735/('0信息维护'!$I$97)*'0信息维护'!$E$37*'0信息维护'!$S$27)+IF('0信息维护'!$I$98=0,0,F735/('0信息维护'!$I$98)*'0信息维护'!$E$37*'0信息维护'!$T$27)+IF('0信息维护'!$I$99=0,0,G735/('0信息维护'!$I$99)*'0信息维护'!$E$37*'0信息维护'!$U$27)+IF('0信息维护'!$I$100=0,0,H735/('0信息维护'!$I$100)*'0信息维护'!$E$37*'0信息维护'!$V$27)+IF('0信息维护'!$I$101=0,0,I735/'0信息维护'!$I$101*'0信息维护'!$I$37)</f>
        <v>0.411764705882353</v>
      </c>
      <c r="K735" s="27"/>
    </row>
    <row r="736" spans="1:11">
      <c r="A736" s="20"/>
      <c r="B736" s="20"/>
      <c r="C736" s="20"/>
      <c r="D736" s="18" t="str">
        <f>'0信息维护'!A$28</f>
        <v>课程目标4</v>
      </c>
      <c r="E736" s="19">
        <f ca="1">OFFSET('1课程考核方式及成绩组成'!$F$10,(ROW(E736)-5)/7,MOD((ROW(E736)-5),7))</f>
        <v>0</v>
      </c>
      <c r="F736" s="19">
        <f ca="1">OFFSET('1课程考核方式及成绩组成'!$N$10,(ROW(F736)-5)/7,MOD((ROW(F736)-5),7))</f>
        <v>70</v>
      </c>
      <c r="G736" s="19">
        <f ca="1">OFFSET('1课程考核方式及成绩组成'!$V$10,(ROW(G736)-5)/7,MOD((ROW(G736)-5),7))</f>
        <v>0</v>
      </c>
      <c r="H736" s="19">
        <f ca="1">OFFSET('1课程考核方式及成绩组成'!$AD$10,(ROW(H736)-5)/7,MOD((ROW(H736)-5),7))</f>
        <v>0</v>
      </c>
      <c r="I736" s="19">
        <f ca="1">OFFSET('1课程考核方式及成绩组成'!$AL$10,(ROW(I736)-5)/7,MOD((ROW(I736)-5),7))</f>
        <v>0</v>
      </c>
      <c r="J736" s="25">
        <f ca="1">IF('0信息维护'!$I$103=0,0,E736/('0信息维护'!$I$103)*'0信息维护'!$E$38*'0信息维护'!$S$28)+IF('0信息维护'!$I$104=0,0,F736/('0信息维护'!$I$104)*'0信息维护'!$E$38*'0信息维护'!$T$28)+IF('0信息维护'!$I$105=0,0,G736/('0信息维护'!$I$105)*'0信息维护'!$E$38*'0信息维护'!$U$28)+IF('0信息维护'!$I$106=0,0,H736/('0信息维护'!$I$106)*'0信息维护'!$E$38*'0信息维护'!$V$28)+IF('0信息维护'!$I$107=0,0,I736/'0信息维护'!$I$107*'0信息维护'!$I$38)</f>
        <v>0.7</v>
      </c>
      <c r="K736" s="27"/>
    </row>
    <row r="737" spans="1:11">
      <c r="A737" s="20"/>
      <c r="B737" s="20"/>
      <c r="C737" s="20"/>
      <c r="D737" s="18" t="str">
        <f>'0信息维护'!A$29</f>
        <v>课程目标5</v>
      </c>
      <c r="E737" s="19">
        <f ca="1">OFFSET('1课程考核方式及成绩组成'!$F$10,(ROW(E737)-5)/7,MOD((ROW(E737)-5),7))</f>
        <v>0</v>
      </c>
      <c r="F737" s="19">
        <f ca="1">OFFSET('1课程考核方式及成绩组成'!$N$10,(ROW(F737)-5)/7,MOD((ROW(F737)-5),7))</f>
        <v>0</v>
      </c>
      <c r="G737" s="19">
        <f ca="1">OFFSET('1课程考核方式及成绩组成'!$V$10,(ROW(G737)-5)/7,MOD((ROW(G737)-5),7))</f>
        <v>0</v>
      </c>
      <c r="H737" s="19">
        <f ca="1">OFFSET('1课程考核方式及成绩组成'!$AD$10,(ROW(H737)-5)/7,MOD((ROW(H737)-5),7))</f>
        <v>0</v>
      </c>
      <c r="I737" s="19">
        <f ca="1">OFFSET('1课程考核方式及成绩组成'!$AL$10,(ROW(I737)-5)/7,MOD((ROW(I737)-5),7))</f>
        <v>0</v>
      </c>
      <c r="J737" s="25">
        <f ca="1">IF('0信息维护'!$I$109=0,0,E737/('0信息维护'!$I$109)*'0信息维护'!$E$39*'0信息维护'!$S$29)+IF('0信息维护'!$I$110=0,0,F737/('0信息维护'!$I$110)*'0信息维护'!$E$39*'0信息维护'!$T$29)+IF('0信息维护'!$I$111=0,0,G737/('0信息维护'!$I$111)*'0信息维护'!$E$39*'0信息维护'!$U$29)+IF('0信息维护'!$I$112=0,0,H737/('0信息维护'!$I$112)*'0信息维护'!$E$39*'0信息维护'!$V$29)+IF('0信息维护'!$I$113=0,0,I737/'0信息维护'!$I$113*'0信息维护'!$I$39)</f>
        <v>0</v>
      </c>
      <c r="K737" s="27"/>
    </row>
    <row r="738" spans="1:11">
      <c r="A738" s="20"/>
      <c r="B738" s="20"/>
      <c r="C738" s="20"/>
      <c r="D738" s="18" t="str">
        <f>'0信息维护'!A$30</f>
        <v>课程目标6</v>
      </c>
      <c r="E738" s="19">
        <f ca="1">OFFSET('1课程考核方式及成绩组成'!$F$10,(ROW(E738)-5)/7,MOD((ROW(E738)-5),7))</f>
        <v>0</v>
      </c>
      <c r="F738" s="19">
        <f ca="1">OFFSET('1课程考核方式及成绩组成'!$N$10,(ROW(F738)-5)/7,MOD((ROW(F738)-5),7))</f>
        <v>0</v>
      </c>
      <c r="G738" s="19">
        <f ca="1">OFFSET('1课程考核方式及成绩组成'!$V$10,(ROW(G738)-5)/7,MOD((ROW(G738)-5),7))</f>
        <v>0</v>
      </c>
      <c r="H738" s="19">
        <f ca="1">OFFSET('1课程考核方式及成绩组成'!$AD$10,(ROW(H738)-5)/7,MOD((ROW(H738)-5),7))</f>
        <v>0</v>
      </c>
      <c r="I738" s="19">
        <f ca="1">OFFSET('1课程考核方式及成绩组成'!$AL$10,(ROW(I738)-5)/7,MOD((ROW(I738)-5),7))</f>
        <v>0</v>
      </c>
      <c r="J738" s="25">
        <f ca="1">IF('0信息维护'!$I$115=0,0,E738/('0信息维护'!$I$115)*'0信息维护'!$E$40*'0信息维护'!$S$30)+IF('0信息维护'!$I$116=0,0,F738/('0信息维护'!$I$116)*'0信息维护'!$E$40*'0信息维护'!$T$30)+IF('0信息维护'!$I$117=0,0,G738/('0信息维护'!$I$117)*'0信息维护'!$E$40*'0信息维护'!$U$30)+IF('0信息维护'!$I$118=0,0,H738/('0信息维护'!$I$118)*'0信息维护'!$E$40*'0信息维护'!$V$30)+IF('0信息维护'!$I$119=0,0,I738/'0信息维护'!$I$119*'0信息维护'!$I$40)</f>
        <v>0</v>
      </c>
      <c r="K738" s="27"/>
    </row>
    <row r="739" spans="1:11">
      <c r="A739" s="21"/>
      <c r="B739" s="21"/>
      <c r="C739" s="21"/>
      <c r="D739" s="18" t="str">
        <f>'0信息维护'!A$31</f>
        <v>课程目标7</v>
      </c>
      <c r="E739" s="19">
        <f ca="1">OFFSET('1课程考核方式及成绩组成'!$F$10,(ROW(E739)-5)/7,MOD((ROW(E739)-5),7))</f>
        <v>0</v>
      </c>
      <c r="F739" s="19">
        <f ca="1">OFFSET('1课程考核方式及成绩组成'!$N$10,(ROW(F739)-5)/7,MOD((ROW(F739)-5),7))</f>
        <v>0</v>
      </c>
      <c r="G739" s="19">
        <f ca="1">OFFSET('1课程考核方式及成绩组成'!$V$10,(ROW(G739)-5)/7,MOD((ROW(G739)-5),7))</f>
        <v>0</v>
      </c>
      <c r="H739" s="19">
        <f ca="1">OFFSET('1课程考核方式及成绩组成'!$AD$10,(ROW(H739)-5)/7,MOD((ROW(H739)-5),7))</f>
        <v>0</v>
      </c>
      <c r="I739" s="19">
        <f ca="1">OFFSET('1课程考核方式及成绩组成'!$AL$10,(ROW(I739)-5)/7,MOD((ROW(I739)-5),7))</f>
        <v>0</v>
      </c>
      <c r="J739" s="25">
        <f ca="1">IF('0信息维护'!$I$121=0,0,E739/('0信息维护'!$I$121)*'0信息维护'!$E$41*'0信息维护'!$S$31)+IF('0信息维护'!$I$122=0,0,F739/('0信息维护'!$I$122)*'0信息维护'!$E$41*'0信息维护'!$T$31)+IF('0信息维护'!$I$123=0,0,G739/('0信息维护'!$I$123)*'0信息维护'!$E$41*'0信息维护'!$U$31)+IF('0信息维护'!$I$124=0,0,H739/('0信息维护'!$I$124)*'0信息维护'!$E$41*'0信息维护'!$T$31)+IF('0信息维护'!$I$125=0,0,I739/'0信息维护'!$I$125*'0信息维护'!$I$41)</f>
        <v>0</v>
      </c>
      <c r="K739" s="30"/>
    </row>
    <row r="740" spans="1:11">
      <c r="A740" s="17">
        <v>106</v>
      </c>
      <c r="B740" s="17" t="str">
        <f ca="1">OFFSET('1课程考核方式及成绩组成'!$D$10,(ROW(B740)-5)/7,)</f>
        <v>220106130</v>
      </c>
      <c r="C740" s="17" t="str">
        <f ca="1">OFFSET('1课程考核方式及成绩组成'!$E$10,(ROW(C740)-5)/7,)</f>
        <v>陈康</v>
      </c>
      <c r="D740" s="18" t="str">
        <f>'0信息维护'!A$25</f>
        <v>课程目标1</v>
      </c>
      <c r="E740" s="19">
        <f ca="1">OFFSET('1课程考核方式及成绩组成'!$F$10,(ROW(E740)-5)/7,MOD((ROW(E740)-5),7))</f>
        <v>36</v>
      </c>
      <c r="F740" s="19">
        <f ca="1">OFFSET('1课程考核方式及成绩组成'!$N$10,(ROW(F740)-5)/7,MOD((ROW(F740)-5),7))</f>
        <v>0</v>
      </c>
      <c r="G740" s="19">
        <f ca="1">OFFSET('1课程考核方式及成绩组成'!$V$10,(ROW(G740)-5)/7,MOD((ROW(G740)-5),7))</f>
        <v>0</v>
      </c>
      <c r="H740" s="19">
        <f ca="1">OFFSET('1课程考核方式及成绩组成'!$AD$10,(ROW(H740)-5)/7,MOD((ROW(H740)-5),7))</f>
        <v>0</v>
      </c>
      <c r="I740" s="19">
        <f ca="1">OFFSET('1课程考核方式及成绩组成'!$AL$10,(ROW(I740)-5)/7,MOD((ROW(I740)-5),7))</f>
        <v>30</v>
      </c>
      <c r="J740" s="25">
        <f ca="1">IF('0信息维护'!$I$85=0,0,E740/('0信息维护'!$I$85)*'0信息维护'!$E$35*'0信息维护'!$S$25)+IF('0信息维护'!$I$86=0,0,F740/('0信息维护'!$I$86)*'0信息维护'!$E$35*'0信息维护'!$T$25)+IF('0信息维护'!$I$87=0,0,G740/('0信息维护'!$I$87)*'0信息维护'!$E$35*'0信息维护'!$U$25)+IF('0信息维护'!$I$88=0,0,H740/('0信息维护'!$I$88)*'0信息维护'!$E$35*'0信息维护'!$V$25)+IF('0信息维护'!$I$89=0,0,I740/'0信息维护'!$I$89*'0信息维护'!$I$35)</f>
        <v>0.866666666666667</v>
      </c>
      <c r="K740" s="26">
        <f ca="1">J740*'0信息维护'!$D$132+J741*'0信息维护'!$D$133+J742*'0信息维护'!$D$134+J743*'0信息维护'!$D$135+J744*'0信息维护'!$D$136+J745*'0信息维护'!$D$137+J746*'0信息维护'!$D$138</f>
        <v>0.845176470588235</v>
      </c>
    </row>
    <row r="741" spans="1:14">
      <c r="A741" s="20"/>
      <c r="B741" s="20"/>
      <c r="C741" s="20"/>
      <c r="D741" s="18" t="str">
        <f>'0信息维护'!A$26</f>
        <v>课程目标2</v>
      </c>
      <c r="E741" s="19">
        <f ca="1">OFFSET('1课程考核方式及成绩组成'!$F$10,(ROW(E741)-5)/7,MOD((ROW(E741)-5),7))</f>
        <v>54</v>
      </c>
      <c r="F741" s="19">
        <f ca="1">OFFSET('1课程考核方式及成绩组成'!$N$10,(ROW(F741)-5)/7,MOD((ROW(F741)-5),7))</f>
        <v>0</v>
      </c>
      <c r="G741" s="19">
        <f ca="1">OFFSET('1课程考核方式及成绩组成'!$V$10,(ROW(G741)-5)/7,MOD((ROW(G741)-5),7))</f>
        <v>0</v>
      </c>
      <c r="H741" s="19">
        <f ca="1">OFFSET('1课程考核方式及成绩组成'!$AD$10,(ROW(H741)-5)/7,MOD((ROW(H741)-5),7))</f>
        <v>0</v>
      </c>
      <c r="I741" s="19">
        <f ca="1">OFFSET('1课程考核方式及成绩组成'!$AL$10,(ROW(I741)-5)/7,MOD((ROW(I741)-5),7))</f>
        <v>28</v>
      </c>
      <c r="J741" s="25">
        <f ca="1">IF('0信息维护'!$I$91=0,0,E741/('0信息维护'!$I$91)*'0信息维护'!$S$26*'0信息维护'!$E$36)+IF('0信息维护'!$I$92=0,0,F741/('0信息维护'!$I$92)*'0信息维护'!$T$26*'0信息维护'!$E$36)+IF('0信息维护'!$I$93=0,0,G741/('0信息维护'!$I$93)*'0信息维护'!$U$26*'0信息维护'!$E$36)+IF('0信息维护'!$I$94=0,0,H741/('0信息维护'!$I$94)*'0信息维护'!$V$26*'0信息维护'!$E$36)+IF('0信息维护'!$I$95=0,0,I741/'0信息维护'!$I$95*'0信息维护'!$I$36)</f>
        <v>0.916666666666667</v>
      </c>
      <c r="K741" s="27"/>
      <c r="N741" s="29"/>
    </row>
    <row r="742" spans="1:11">
      <c r="A742" s="20"/>
      <c r="B742" s="20"/>
      <c r="C742" s="20"/>
      <c r="D742" s="18" t="str">
        <f>'0信息维护'!A$27</f>
        <v>课程目标3</v>
      </c>
      <c r="E742" s="19">
        <f ca="1">OFFSET('1课程考核方式及成绩组成'!$F$10,(ROW(E742)-5)/7,MOD((ROW(E742)-5),7))</f>
        <v>0</v>
      </c>
      <c r="F742" s="19">
        <f ca="1">OFFSET('1课程考核方式及成绩组成'!$N$10,(ROW(F742)-5)/7,MOD((ROW(F742)-5),7))</f>
        <v>0</v>
      </c>
      <c r="G742" s="19">
        <f ca="1">OFFSET('1课程考核方式及成绩组成'!$V$10,(ROW(G742)-5)/7,MOD((ROW(G742)-5),7))</f>
        <v>0</v>
      </c>
      <c r="H742" s="19">
        <f ca="1">OFFSET('1课程考核方式及成绩组成'!$AD$10,(ROW(H742)-5)/7,MOD((ROW(H742)-5),7))</f>
        <v>0</v>
      </c>
      <c r="I742" s="19">
        <f ca="1">OFFSET('1课程考核方式及成绩组成'!$AL$10,(ROW(I742)-5)/7,MOD((ROW(I742)-5),7))</f>
        <v>26</v>
      </c>
      <c r="J742" s="25">
        <f ca="1">IF('0信息维护'!$I$97=0,0,E742/('0信息维护'!$I$97)*'0信息维护'!$E$37*'0信息维护'!$S$27)+IF('0信息维护'!$I$98=0,0,F742/('0信息维护'!$I$98)*'0信息维护'!$E$37*'0信息维护'!$T$27)+IF('0信息维护'!$I$99=0,0,G742/('0信息维护'!$I$99)*'0信息维护'!$E$37*'0信息维护'!$U$27)+IF('0信息维护'!$I$100=0,0,H742/('0信息维护'!$I$100)*'0信息维护'!$E$37*'0信息维护'!$V$27)+IF('0信息维护'!$I$101=0,0,I742/'0信息维护'!$I$101*'0信息维护'!$I$37)</f>
        <v>0.764705882352941</v>
      </c>
      <c r="K742" s="27"/>
    </row>
    <row r="743" spans="1:11">
      <c r="A743" s="20"/>
      <c r="B743" s="20"/>
      <c r="C743" s="20"/>
      <c r="D743" s="18" t="str">
        <f>'0信息维护'!A$28</f>
        <v>课程目标4</v>
      </c>
      <c r="E743" s="19">
        <f ca="1">OFFSET('1课程考核方式及成绩组成'!$F$10,(ROW(E743)-5)/7,MOD((ROW(E743)-5),7))</f>
        <v>0</v>
      </c>
      <c r="F743" s="19">
        <f ca="1">OFFSET('1课程考核方式及成绩组成'!$N$10,(ROW(F743)-5)/7,MOD((ROW(F743)-5),7))</f>
        <v>83</v>
      </c>
      <c r="G743" s="19">
        <f ca="1">OFFSET('1课程考核方式及成绩组成'!$V$10,(ROW(G743)-5)/7,MOD((ROW(G743)-5),7))</f>
        <v>0</v>
      </c>
      <c r="H743" s="19">
        <f ca="1">OFFSET('1课程考核方式及成绩组成'!$AD$10,(ROW(H743)-5)/7,MOD((ROW(H743)-5),7))</f>
        <v>0</v>
      </c>
      <c r="I743" s="19">
        <f ca="1">OFFSET('1课程考核方式及成绩组成'!$AL$10,(ROW(I743)-5)/7,MOD((ROW(I743)-5),7))</f>
        <v>0</v>
      </c>
      <c r="J743" s="25">
        <f ca="1">IF('0信息维护'!$I$103=0,0,E743/('0信息维护'!$I$103)*'0信息维护'!$E$38*'0信息维护'!$S$28)+IF('0信息维护'!$I$104=0,0,F743/('0信息维护'!$I$104)*'0信息维护'!$E$38*'0信息维护'!$T$28)+IF('0信息维护'!$I$105=0,0,G743/('0信息维护'!$I$105)*'0信息维护'!$E$38*'0信息维护'!$U$28)+IF('0信息维护'!$I$106=0,0,H743/('0信息维护'!$I$106)*'0信息维护'!$E$38*'0信息维护'!$V$28)+IF('0信息维护'!$I$107=0,0,I743/'0信息维护'!$I$107*'0信息维护'!$I$38)</f>
        <v>0.83</v>
      </c>
      <c r="K743" s="27"/>
    </row>
    <row r="744" spans="1:11">
      <c r="A744" s="20"/>
      <c r="B744" s="20"/>
      <c r="C744" s="20"/>
      <c r="D744" s="18" t="str">
        <f>'0信息维护'!A$29</f>
        <v>课程目标5</v>
      </c>
      <c r="E744" s="19">
        <f ca="1">OFFSET('1课程考核方式及成绩组成'!$F$10,(ROW(E744)-5)/7,MOD((ROW(E744)-5),7))</f>
        <v>0</v>
      </c>
      <c r="F744" s="19">
        <f ca="1">OFFSET('1课程考核方式及成绩组成'!$N$10,(ROW(F744)-5)/7,MOD((ROW(F744)-5),7))</f>
        <v>0</v>
      </c>
      <c r="G744" s="19">
        <f ca="1">OFFSET('1课程考核方式及成绩组成'!$V$10,(ROW(G744)-5)/7,MOD((ROW(G744)-5),7))</f>
        <v>0</v>
      </c>
      <c r="H744" s="19">
        <f ca="1">OFFSET('1课程考核方式及成绩组成'!$AD$10,(ROW(H744)-5)/7,MOD((ROW(H744)-5),7))</f>
        <v>0</v>
      </c>
      <c r="I744" s="19">
        <f ca="1">OFFSET('1课程考核方式及成绩组成'!$AL$10,(ROW(I744)-5)/7,MOD((ROW(I744)-5),7))</f>
        <v>0</v>
      </c>
      <c r="J744" s="25">
        <f ca="1">IF('0信息维护'!$I$109=0,0,E744/('0信息维护'!$I$109)*'0信息维护'!$E$39*'0信息维护'!$S$29)+IF('0信息维护'!$I$110=0,0,F744/('0信息维护'!$I$110)*'0信息维护'!$E$39*'0信息维护'!$T$29)+IF('0信息维护'!$I$111=0,0,G744/('0信息维护'!$I$111)*'0信息维护'!$E$39*'0信息维护'!$U$29)+IF('0信息维护'!$I$112=0,0,H744/('0信息维护'!$I$112)*'0信息维护'!$E$39*'0信息维护'!$V$29)+IF('0信息维护'!$I$113=0,0,I744/'0信息维护'!$I$113*'0信息维护'!$I$39)</f>
        <v>0</v>
      </c>
      <c r="K744" s="27"/>
    </row>
    <row r="745" spans="1:11">
      <c r="A745" s="20"/>
      <c r="B745" s="20"/>
      <c r="C745" s="20"/>
      <c r="D745" s="18" t="str">
        <f>'0信息维护'!A$30</f>
        <v>课程目标6</v>
      </c>
      <c r="E745" s="19">
        <f ca="1">OFFSET('1课程考核方式及成绩组成'!$F$10,(ROW(E745)-5)/7,MOD((ROW(E745)-5),7))</f>
        <v>0</v>
      </c>
      <c r="F745" s="19">
        <f ca="1">OFFSET('1课程考核方式及成绩组成'!$N$10,(ROW(F745)-5)/7,MOD((ROW(F745)-5),7))</f>
        <v>0</v>
      </c>
      <c r="G745" s="19">
        <f ca="1">OFFSET('1课程考核方式及成绩组成'!$V$10,(ROW(G745)-5)/7,MOD((ROW(G745)-5),7))</f>
        <v>0</v>
      </c>
      <c r="H745" s="19">
        <f ca="1">OFFSET('1课程考核方式及成绩组成'!$AD$10,(ROW(H745)-5)/7,MOD((ROW(H745)-5),7))</f>
        <v>0</v>
      </c>
      <c r="I745" s="19">
        <f ca="1">OFFSET('1课程考核方式及成绩组成'!$AL$10,(ROW(I745)-5)/7,MOD((ROW(I745)-5),7))</f>
        <v>0</v>
      </c>
      <c r="J745" s="25">
        <f ca="1">IF('0信息维护'!$I$115=0,0,E745/('0信息维护'!$I$115)*'0信息维护'!$E$40*'0信息维护'!$S$30)+IF('0信息维护'!$I$116=0,0,F745/('0信息维护'!$I$116)*'0信息维护'!$E$40*'0信息维护'!$T$30)+IF('0信息维护'!$I$117=0,0,G745/('0信息维护'!$I$117)*'0信息维护'!$E$40*'0信息维护'!$U$30)+IF('0信息维护'!$I$118=0,0,H745/('0信息维护'!$I$118)*'0信息维护'!$E$40*'0信息维护'!$V$30)+IF('0信息维护'!$I$119=0,0,I745/'0信息维护'!$I$119*'0信息维护'!$I$40)</f>
        <v>0</v>
      </c>
      <c r="K745" s="27"/>
    </row>
    <row r="746" spans="1:11">
      <c r="A746" s="21"/>
      <c r="B746" s="21"/>
      <c r="C746" s="21"/>
      <c r="D746" s="18" t="str">
        <f>'0信息维护'!A$31</f>
        <v>课程目标7</v>
      </c>
      <c r="E746" s="19">
        <f ca="1">OFFSET('1课程考核方式及成绩组成'!$F$10,(ROW(E746)-5)/7,MOD((ROW(E746)-5),7))</f>
        <v>0</v>
      </c>
      <c r="F746" s="19">
        <f ca="1">OFFSET('1课程考核方式及成绩组成'!$N$10,(ROW(F746)-5)/7,MOD((ROW(F746)-5),7))</f>
        <v>0</v>
      </c>
      <c r="G746" s="19">
        <f ca="1">OFFSET('1课程考核方式及成绩组成'!$V$10,(ROW(G746)-5)/7,MOD((ROW(G746)-5),7))</f>
        <v>0</v>
      </c>
      <c r="H746" s="19">
        <f ca="1">OFFSET('1课程考核方式及成绩组成'!$AD$10,(ROW(H746)-5)/7,MOD((ROW(H746)-5),7))</f>
        <v>0</v>
      </c>
      <c r="I746" s="19">
        <f ca="1">OFFSET('1课程考核方式及成绩组成'!$AL$10,(ROW(I746)-5)/7,MOD((ROW(I746)-5),7))</f>
        <v>0</v>
      </c>
      <c r="J746" s="25">
        <f ca="1">IF('0信息维护'!$I$121=0,0,E746/('0信息维护'!$I$121)*'0信息维护'!$E$41*'0信息维护'!$S$31)+IF('0信息维护'!$I$122=0,0,F746/('0信息维护'!$I$122)*'0信息维护'!$E$41*'0信息维护'!$T$31)+IF('0信息维护'!$I$123=0,0,G746/('0信息维护'!$I$123)*'0信息维护'!$E$41*'0信息维护'!$U$31)+IF('0信息维护'!$I$124=0,0,H746/('0信息维护'!$I$124)*'0信息维护'!$E$41*'0信息维护'!$T$31)+IF('0信息维护'!$I$125=0,0,I746/'0信息维护'!$I$125*'0信息维护'!$I$41)</f>
        <v>0</v>
      </c>
      <c r="K746" s="30"/>
    </row>
    <row r="747" spans="1:11">
      <c r="A747" s="17">
        <v>107</v>
      </c>
      <c r="B747" s="17" t="str">
        <f ca="1">OFFSET('1课程考核方式及成绩组成'!$D$10,(ROW(B747)-5)/7,)</f>
        <v>220106131</v>
      </c>
      <c r="C747" s="17" t="str">
        <f ca="1">OFFSET('1课程考核方式及成绩组成'!$E$10,(ROW(C747)-5)/7,)</f>
        <v>段海潮</v>
      </c>
      <c r="D747" s="18" t="str">
        <f>'0信息维护'!A$25</f>
        <v>课程目标1</v>
      </c>
      <c r="E747" s="19">
        <f ca="1">OFFSET('1课程考核方式及成绩组成'!$F$10,(ROW(E747)-5)/7,MOD((ROW(E747)-5),7))</f>
        <v>34</v>
      </c>
      <c r="F747" s="19">
        <f ca="1">OFFSET('1课程考核方式及成绩组成'!$N$10,(ROW(F747)-5)/7,MOD((ROW(F747)-5),7))</f>
        <v>0</v>
      </c>
      <c r="G747" s="19">
        <f ca="1">OFFSET('1课程考核方式及成绩组成'!$V$10,(ROW(G747)-5)/7,MOD((ROW(G747)-5),7))</f>
        <v>0</v>
      </c>
      <c r="H747" s="19">
        <f ca="1">OFFSET('1课程考核方式及成绩组成'!$AD$10,(ROW(H747)-5)/7,MOD((ROW(H747)-5),7))</f>
        <v>0</v>
      </c>
      <c r="I747" s="19">
        <f ca="1">OFFSET('1课程考核方式及成绩组成'!$AL$10,(ROW(I747)-5)/7,MOD((ROW(I747)-5),7))</f>
        <v>32</v>
      </c>
      <c r="J747" s="25">
        <f ca="1">IF('0信息维护'!$I$85=0,0,E747/('0信息维护'!$I$85)*'0信息维护'!$E$35*'0信息维护'!$S$25)+IF('0信息维护'!$I$86=0,0,F747/('0信息维护'!$I$86)*'0信息维护'!$E$35*'0信息维护'!$T$25)+IF('0信息维护'!$I$87=0,0,G747/('0信息维护'!$I$87)*'0信息维护'!$E$35*'0信息维护'!$U$25)+IF('0信息维护'!$I$88=0,0,H747/('0信息维护'!$I$88)*'0信息维护'!$E$35*'0信息维护'!$V$25)+IF('0信息维护'!$I$89=0,0,I747/'0信息维护'!$I$89*'0信息维护'!$I$35)</f>
        <v>0.869444444444444</v>
      </c>
      <c r="K747" s="26">
        <f ca="1">J747*'0信息维护'!$D$132+J748*'0信息维护'!$D$133+J749*'0信息维护'!$D$134+J750*'0信息维护'!$D$135+J751*'0信息维护'!$D$136+J752*'0信息维护'!$D$137+J753*'0信息维护'!$D$138</f>
        <v>0.794828431372549</v>
      </c>
    </row>
    <row r="748" spans="1:14">
      <c r="A748" s="20"/>
      <c r="B748" s="20"/>
      <c r="C748" s="20"/>
      <c r="D748" s="18" t="str">
        <f>'0信息维护'!A$26</f>
        <v>课程目标2</v>
      </c>
      <c r="E748" s="19">
        <f ca="1">OFFSET('1课程考核方式及成绩组成'!$F$10,(ROW(E748)-5)/7,MOD((ROW(E748)-5),7))</f>
        <v>52</v>
      </c>
      <c r="F748" s="19">
        <f ca="1">OFFSET('1课程考核方式及成绩组成'!$N$10,(ROW(F748)-5)/7,MOD((ROW(F748)-5),7))</f>
        <v>0</v>
      </c>
      <c r="G748" s="19">
        <f ca="1">OFFSET('1课程考核方式及成绩组成'!$V$10,(ROW(G748)-5)/7,MOD((ROW(G748)-5),7))</f>
        <v>0</v>
      </c>
      <c r="H748" s="19">
        <f ca="1">OFFSET('1课程考核方式及成绩组成'!$AD$10,(ROW(H748)-5)/7,MOD((ROW(H748)-5),7))</f>
        <v>0</v>
      </c>
      <c r="I748" s="19">
        <f ca="1">OFFSET('1课程考核方式及成绩组成'!$AL$10,(ROW(I748)-5)/7,MOD((ROW(I748)-5),7))</f>
        <v>28</v>
      </c>
      <c r="J748" s="25">
        <f ca="1">IF('0信息维护'!$I$91=0,0,E748/('0信息维护'!$I$91)*'0信息维护'!$S$26*'0信息维护'!$E$36)+IF('0信息维护'!$I$92=0,0,F748/('0信息维护'!$I$92)*'0信息维护'!$T$26*'0信息维护'!$E$36)+IF('0信息维护'!$I$93=0,0,G748/('0信息维护'!$I$93)*'0信息维护'!$U$26*'0信息维护'!$E$36)+IF('0信息维护'!$I$94=0,0,H748/('0信息维护'!$I$94)*'0信息维护'!$V$26*'0信息维护'!$E$36)+IF('0信息维护'!$I$95=0,0,I748/'0信息维护'!$I$95*'0信息维护'!$I$36)</f>
        <v>0.9</v>
      </c>
      <c r="K748" s="27"/>
      <c r="N748" s="29"/>
    </row>
    <row r="749" spans="1:11">
      <c r="A749" s="20"/>
      <c r="B749" s="20"/>
      <c r="C749" s="20"/>
      <c r="D749" s="18" t="str">
        <f>'0信息维护'!A$27</f>
        <v>课程目标3</v>
      </c>
      <c r="E749" s="19">
        <f ca="1">OFFSET('1课程考核方式及成绩组成'!$F$10,(ROW(E749)-5)/7,MOD((ROW(E749)-5),7))</f>
        <v>0</v>
      </c>
      <c r="F749" s="19">
        <f ca="1">OFFSET('1课程考核方式及成绩组成'!$N$10,(ROW(F749)-5)/7,MOD((ROW(F749)-5),7))</f>
        <v>0</v>
      </c>
      <c r="G749" s="19">
        <f ca="1">OFFSET('1课程考核方式及成绩组成'!$V$10,(ROW(G749)-5)/7,MOD((ROW(G749)-5),7))</f>
        <v>0</v>
      </c>
      <c r="H749" s="19">
        <f ca="1">OFFSET('1课程考核方式及成绩组成'!$AD$10,(ROW(H749)-5)/7,MOD((ROW(H749)-5),7))</f>
        <v>0</v>
      </c>
      <c r="I749" s="19">
        <f ca="1">OFFSET('1课程考核方式及成绩组成'!$AL$10,(ROW(I749)-5)/7,MOD((ROW(I749)-5),7))</f>
        <v>21</v>
      </c>
      <c r="J749" s="25">
        <f ca="1">IF('0信息维护'!$I$97=0,0,E749/('0信息维护'!$I$97)*'0信息维护'!$E$37*'0信息维护'!$S$27)+IF('0信息维护'!$I$98=0,0,F749/('0信息维护'!$I$98)*'0信息维护'!$E$37*'0信息维护'!$T$27)+IF('0信息维护'!$I$99=0,0,G749/('0信息维护'!$I$99)*'0信息维护'!$E$37*'0信息维护'!$U$27)+IF('0信息维护'!$I$100=0,0,H749/('0信息维护'!$I$100)*'0信息维护'!$E$37*'0信息维护'!$V$27)+IF('0信息维护'!$I$101=0,0,I749/'0信息维护'!$I$101*'0信息维护'!$I$37)</f>
        <v>0.617647058823529</v>
      </c>
      <c r="K749" s="27"/>
    </row>
    <row r="750" spans="1:11">
      <c r="A750" s="20"/>
      <c r="B750" s="20"/>
      <c r="C750" s="20"/>
      <c r="D750" s="18" t="str">
        <f>'0信息维护'!A$28</f>
        <v>课程目标4</v>
      </c>
      <c r="E750" s="19">
        <f ca="1">OFFSET('1课程考核方式及成绩组成'!$F$10,(ROW(E750)-5)/7,MOD((ROW(E750)-5),7))</f>
        <v>0</v>
      </c>
      <c r="F750" s="19">
        <f ca="1">OFFSET('1课程考核方式及成绩组成'!$N$10,(ROW(F750)-5)/7,MOD((ROW(F750)-5),7))</f>
        <v>80</v>
      </c>
      <c r="G750" s="19">
        <f ca="1">OFFSET('1课程考核方式及成绩组成'!$V$10,(ROW(G750)-5)/7,MOD((ROW(G750)-5),7))</f>
        <v>0</v>
      </c>
      <c r="H750" s="19">
        <f ca="1">OFFSET('1课程考核方式及成绩组成'!$AD$10,(ROW(H750)-5)/7,MOD((ROW(H750)-5),7))</f>
        <v>0</v>
      </c>
      <c r="I750" s="19">
        <f ca="1">OFFSET('1课程考核方式及成绩组成'!$AL$10,(ROW(I750)-5)/7,MOD((ROW(I750)-5),7))</f>
        <v>0</v>
      </c>
      <c r="J750" s="25">
        <f ca="1">IF('0信息维护'!$I$103=0,0,E750/('0信息维护'!$I$103)*'0信息维护'!$E$38*'0信息维护'!$S$28)+IF('0信息维护'!$I$104=0,0,F750/('0信息维护'!$I$104)*'0信息维护'!$E$38*'0信息维护'!$T$28)+IF('0信息维护'!$I$105=0,0,G750/('0信息维护'!$I$105)*'0信息维护'!$E$38*'0信息维护'!$U$28)+IF('0信息维护'!$I$106=0,0,H750/('0信息维护'!$I$106)*'0信息维护'!$E$38*'0信息维护'!$V$28)+IF('0信息维护'!$I$107=0,0,I750/'0信息维护'!$I$107*'0信息维护'!$I$38)</f>
        <v>0.8</v>
      </c>
      <c r="K750" s="27"/>
    </row>
    <row r="751" spans="1:11">
      <c r="A751" s="20"/>
      <c r="B751" s="20"/>
      <c r="C751" s="20"/>
      <c r="D751" s="18" t="str">
        <f>'0信息维护'!A$29</f>
        <v>课程目标5</v>
      </c>
      <c r="E751" s="19">
        <f ca="1">OFFSET('1课程考核方式及成绩组成'!$F$10,(ROW(E751)-5)/7,MOD((ROW(E751)-5),7))</f>
        <v>0</v>
      </c>
      <c r="F751" s="19">
        <f ca="1">OFFSET('1课程考核方式及成绩组成'!$N$10,(ROW(F751)-5)/7,MOD((ROW(F751)-5),7))</f>
        <v>0</v>
      </c>
      <c r="G751" s="19">
        <f ca="1">OFFSET('1课程考核方式及成绩组成'!$V$10,(ROW(G751)-5)/7,MOD((ROW(G751)-5),7))</f>
        <v>0</v>
      </c>
      <c r="H751" s="19">
        <f ca="1">OFFSET('1课程考核方式及成绩组成'!$AD$10,(ROW(H751)-5)/7,MOD((ROW(H751)-5),7))</f>
        <v>0</v>
      </c>
      <c r="I751" s="19">
        <f ca="1">OFFSET('1课程考核方式及成绩组成'!$AL$10,(ROW(I751)-5)/7,MOD((ROW(I751)-5),7))</f>
        <v>0</v>
      </c>
      <c r="J751" s="25">
        <f ca="1">IF('0信息维护'!$I$109=0,0,E751/('0信息维护'!$I$109)*'0信息维护'!$E$39*'0信息维护'!$S$29)+IF('0信息维护'!$I$110=0,0,F751/('0信息维护'!$I$110)*'0信息维护'!$E$39*'0信息维护'!$T$29)+IF('0信息维护'!$I$111=0,0,G751/('0信息维护'!$I$111)*'0信息维护'!$E$39*'0信息维护'!$U$29)+IF('0信息维护'!$I$112=0,0,H751/('0信息维护'!$I$112)*'0信息维护'!$E$39*'0信息维护'!$V$29)+IF('0信息维护'!$I$113=0,0,I751/'0信息维护'!$I$113*'0信息维护'!$I$39)</f>
        <v>0</v>
      </c>
      <c r="K751" s="27"/>
    </row>
    <row r="752" spans="1:11">
      <c r="A752" s="20"/>
      <c r="B752" s="20"/>
      <c r="C752" s="20"/>
      <c r="D752" s="18" t="str">
        <f>'0信息维护'!A$30</f>
        <v>课程目标6</v>
      </c>
      <c r="E752" s="19">
        <f ca="1">OFFSET('1课程考核方式及成绩组成'!$F$10,(ROW(E752)-5)/7,MOD((ROW(E752)-5),7))</f>
        <v>0</v>
      </c>
      <c r="F752" s="19">
        <f ca="1">OFFSET('1课程考核方式及成绩组成'!$N$10,(ROW(F752)-5)/7,MOD((ROW(F752)-5),7))</f>
        <v>0</v>
      </c>
      <c r="G752" s="19">
        <f ca="1">OFFSET('1课程考核方式及成绩组成'!$V$10,(ROW(G752)-5)/7,MOD((ROW(G752)-5),7))</f>
        <v>0</v>
      </c>
      <c r="H752" s="19">
        <f ca="1">OFFSET('1课程考核方式及成绩组成'!$AD$10,(ROW(H752)-5)/7,MOD((ROW(H752)-5),7))</f>
        <v>0</v>
      </c>
      <c r="I752" s="19">
        <f ca="1">OFFSET('1课程考核方式及成绩组成'!$AL$10,(ROW(I752)-5)/7,MOD((ROW(I752)-5),7))</f>
        <v>0</v>
      </c>
      <c r="J752" s="25">
        <f ca="1">IF('0信息维护'!$I$115=0,0,E752/('0信息维护'!$I$115)*'0信息维护'!$E$40*'0信息维护'!$S$30)+IF('0信息维护'!$I$116=0,0,F752/('0信息维护'!$I$116)*'0信息维护'!$E$40*'0信息维护'!$T$30)+IF('0信息维护'!$I$117=0,0,G752/('0信息维护'!$I$117)*'0信息维护'!$E$40*'0信息维护'!$U$30)+IF('0信息维护'!$I$118=0,0,H752/('0信息维护'!$I$118)*'0信息维护'!$E$40*'0信息维护'!$V$30)+IF('0信息维护'!$I$119=0,0,I752/'0信息维护'!$I$119*'0信息维护'!$I$40)</f>
        <v>0</v>
      </c>
      <c r="K752" s="27"/>
    </row>
    <row r="753" spans="1:11">
      <c r="A753" s="21"/>
      <c r="B753" s="21"/>
      <c r="C753" s="21"/>
      <c r="D753" s="18" t="str">
        <f>'0信息维护'!A$31</f>
        <v>课程目标7</v>
      </c>
      <c r="E753" s="19">
        <f ca="1">OFFSET('1课程考核方式及成绩组成'!$F$10,(ROW(E753)-5)/7,MOD((ROW(E753)-5),7))</f>
        <v>0</v>
      </c>
      <c r="F753" s="19">
        <f ca="1">OFFSET('1课程考核方式及成绩组成'!$N$10,(ROW(F753)-5)/7,MOD((ROW(F753)-5),7))</f>
        <v>0</v>
      </c>
      <c r="G753" s="19">
        <f ca="1">OFFSET('1课程考核方式及成绩组成'!$V$10,(ROW(G753)-5)/7,MOD((ROW(G753)-5),7))</f>
        <v>0</v>
      </c>
      <c r="H753" s="19">
        <f ca="1">OFFSET('1课程考核方式及成绩组成'!$AD$10,(ROW(H753)-5)/7,MOD((ROW(H753)-5),7))</f>
        <v>0</v>
      </c>
      <c r="I753" s="19">
        <f ca="1">OFFSET('1课程考核方式及成绩组成'!$AL$10,(ROW(I753)-5)/7,MOD((ROW(I753)-5),7))</f>
        <v>0</v>
      </c>
      <c r="J753" s="25">
        <f ca="1">IF('0信息维护'!$I$121=0,0,E753/('0信息维护'!$I$121)*'0信息维护'!$E$41*'0信息维护'!$S$31)+IF('0信息维护'!$I$122=0,0,F753/('0信息维护'!$I$122)*'0信息维护'!$E$41*'0信息维护'!$T$31)+IF('0信息维护'!$I$123=0,0,G753/('0信息维护'!$I$123)*'0信息维护'!$E$41*'0信息维护'!$U$31)+IF('0信息维护'!$I$124=0,0,H753/('0信息维护'!$I$124)*'0信息维护'!$E$41*'0信息维护'!$T$31)+IF('0信息维护'!$I$125=0,0,I753/'0信息维护'!$I$125*'0信息维护'!$I$41)</f>
        <v>0</v>
      </c>
      <c r="K753" s="30"/>
    </row>
    <row r="754" spans="1:11">
      <c r="A754" s="17">
        <v>108</v>
      </c>
      <c r="B754" s="17" t="str">
        <f ca="1">OFFSET('1课程考核方式及成绩组成'!$D$10,(ROW(B754)-5)/7,)</f>
        <v>220106132</v>
      </c>
      <c r="C754" s="17" t="str">
        <f ca="1">OFFSET('1课程考核方式及成绩组成'!$E$10,(ROW(C754)-5)/7,)</f>
        <v>周艺</v>
      </c>
      <c r="D754" s="18" t="str">
        <f>'0信息维护'!A$25</f>
        <v>课程目标1</v>
      </c>
      <c r="E754" s="19">
        <f ca="1">OFFSET('1课程考核方式及成绩组成'!$F$10,(ROW(E754)-5)/7,MOD((ROW(E754)-5),7))</f>
        <v>34</v>
      </c>
      <c r="F754" s="19">
        <f ca="1">OFFSET('1课程考核方式及成绩组成'!$N$10,(ROW(F754)-5)/7,MOD((ROW(F754)-5),7))</f>
        <v>0</v>
      </c>
      <c r="G754" s="19">
        <f ca="1">OFFSET('1课程考核方式及成绩组成'!$V$10,(ROW(G754)-5)/7,MOD((ROW(G754)-5),7))</f>
        <v>0</v>
      </c>
      <c r="H754" s="19">
        <f ca="1">OFFSET('1课程考核方式及成绩组成'!$AD$10,(ROW(H754)-5)/7,MOD((ROW(H754)-5),7))</f>
        <v>0</v>
      </c>
      <c r="I754" s="19">
        <f ca="1">OFFSET('1课程考核方式及成绩组成'!$AL$10,(ROW(I754)-5)/7,MOD((ROW(I754)-5),7))</f>
        <v>32</v>
      </c>
      <c r="J754" s="25">
        <f ca="1">IF('0信息维护'!$I$85=0,0,E754/('0信息维护'!$I$85)*'0信息维护'!$E$35*'0信息维护'!$S$25)+IF('0信息维护'!$I$86=0,0,F754/('0信息维护'!$I$86)*'0信息维护'!$E$35*'0信息维护'!$T$25)+IF('0信息维护'!$I$87=0,0,G754/('0信息维护'!$I$87)*'0信息维护'!$E$35*'0信息维护'!$U$25)+IF('0信息维护'!$I$88=0,0,H754/('0信息维护'!$I$88)*'0信息维护'!$E$35*'0信息维护'!$V$25)+IF('0信息维护'!$I$89=0,0,I754/'0信息维护'!$I$89*'0信息维护'!$I$35)</f>
        <v>0.869444444444444</v>
      </c>
      <c r="K754" s="26">
        <f ca="1">J754*'0信息维护'!$D$132+J755*'0信息维护'!$D$133+J756*'0信息维护'!$D$134+J757*'0信息维护'!$D$135+J758*'0信息维护'!$D$136+J759*'0信息维护'!$D$137+J760*'0信息维护'!$D$138</f>
        <v>0.79003431372549</v>
      </c>
    </row>
    <row r="755" spans="1:14">
      <c r="A755" s="20"/>
      <c r="B755" s="20"/>
      <c r="C755" s="20"/>
      <c r="D755" s="18" t="str">
        <f>'0信息维护'!A$26</f>
        <v>课程目标2</v>
      </c>
      <c r="E755" s="19">
        <f ca="1">OFFSET('1课程考核方式及成绩组成'!$F$10,(ROW(E755)-5)/7,MOD((ROW(E755)-5),7))</f>
        <v>51</v>
      </c>
      <c r="F755" s="19">
        <f ca="1">OFFSET('1课程考核方式及成绩组成'!$N$10,(ROW(F755)-5)/7,MOD((ROW(F755)-5),7))</f>
        <v>0</v>
      </c>
      <c r="G755" s="19">
        <f ca="1">OFFSET('1课程考核方式及成绩组成'!$V$10,(ROW(G755)-5)/7,MOD((ROW(G755)-5),7))</f>
        <v>0</v>
      </c>
      <c r="H755" s="19">
        <f ca="1">OFFSET('1课程考核方式及成绩组成'!$AD$10,(ROW(H755)-5)/7,MOD((ROW(H755)-5),7))</f>
        <v>0</v>
      </c>
      <c r="I755" s="19">
        <f ca="1">OFFSET('1课程考核方式及成绩组成'!$AL$10,(ROW(I755)-5)/7,MOD((ROW(I755)-5),7))</f>
        <v>24</v>
      </c>
      <c r="J755" s="25">
        <f ca="1">IF('0信息维护'!$I$91=0,0,E755/('0信息维护'!$I$91)*'0信息维护'!$S$26*'0信息维护'!$E$36)+IF('0信息维护'!$I$92=0,0,F755/('0信息维护'!$I$92)*'0信息维护'!$T$26*'0信息维护'!$E$36)+IF('0信息维护'!$I$93=0,0,G755/('0信息维护'!$I$93)*'0信息维护'!$U$26*'0信息维护'!$E$36)+IF('0信息维护'!$I$94=0,0,H755/('0信息维护'!$I$94)*'0信息维护'!$V$26*'0信息维护'!$E$36)+IF('0信息维护'!$I$95=0,0,I755/'0信息维护'!$I$95*'0信息维护'!$I$36)</f>
        <v>0.825</v>
      </c>
      <c r="K755" s="27"/>
      <c r="N755" s="29"/>
    </row>
    <row r="756" spans="1:11">
      <c r="A756" s="20"/>
      <c r="B756" s="20"/>
      <c r="C756" s="20"/>
      <c r="D756" s="18" t="str">
        <f>'0信息维护'!A$27</f>
        <v>课程目标3</v>
      </c>
      <c r="E756" s="19">
        <f ca="1">OFFSET('1课程考核方式及成绩组成'!$F$10,(ROW(E756)-5)/7,MOD((ROW(E756)-5),7))</f>
        <v>0</v>
      </c>
      <c r="F756" s="19">
        <f ca="1">OFFSET('1课程考核方式及成绩组成'!$N$10,(ROW(F756)-5)/7,MOD((ROW(F756)-5),7))</f>
        <v>0</v>
      </c>
      <c r="G756" s="19">
        <f ca="1">OFFSET('1课程考核方式及成绩组成'!$V$10,(ROW(G756)-5)/7,MOD((ROW(G756)-5),7))</f>
        <v>0</v>
      </c>
      <c r="H756" s="19">
        <f ca="1">OFFSET('1课程考核方式及成绩组成'!$AD$10,(ROW(H756)-5)/7,MOD((ROW(H756)-5),7))</f>
        <v>0</v>
      </c>
      <c r="I756" s="19">
        <f ca="1">OFFSET('1课程考核方式及成绩组成'!$AL$10,(ROW(I756)-5)/7,MOD((ROW(I756)-5),7))</f>
        <v>23</v>
      </c>
      <c r="J756" s="25">
        <f ca="1">IF('0信息维护'!$I$97=0,0,E756/('0信息维护'!$I$97)*'0信息维护'!$E$37*'0信息维护'!$S$27)+IF('0信息维护'!$I$98=0,0,F756/('0信息维护'!$I$98)*'0信息维护'!$E$37*'0信息维护'!$T$27)+IF('0信息维护'!$I$99=0,0,G756/('0信息维护'!$I$99)*'0信息维护'!$E$37*'0信息维护'!$U$27)+IF('0信息维护'!$I$100=0,0,H756/('0信息维护'!$I$100)*'0信息维护'!$E$37*'0信息维护'!$V$27)+IF('0信息维护'!$I$101=0,0,I756/'0信息维护'!$I$101*'0信息维护'!$I$37)</f>
        <v>0.676470588235294</v>
      </c>
      <c r="K756" s="27"/>
    </row>
    <row r="757" spans="1:11">
      <c r="A757" s="20"/>
      <c r="B757" s="20"/>
      <c r="C757" s="20"/>
      <c r="D757" s="18" t="str">
        <f>'0信息维护'!A$28</f>
        <v>课程目标4</v>
      </c>
      <c r="E757" s="19">
        <f ca="1">OFFSET('1课程考核方式及成绩组成'!$F$10,(ROW(E757)-5)/7,MOD((ROW(E757)-5),7))</f>
        <v>0</v>
      </c>
      <c r="F757" s="19">
        <f ca="1">OFFSET('1课程考核方式及成绩组成'!$N$10,(ROW(F757)-5)/7,MOD((ROW(F757)-5),7))</f>
        <v>81</v>
      </c>
      <c r="G757" s="19">
        <f ca="1">OFFSET('1课程考核方式及成绩组成'!$V$10,(ROW(G757)-5)/7,MOD((ROW(G757)-5),7))</f>
        <v>0</v>
      </c>
      <c r="H757" s="19">
        <f ca="1">OFFSET('1课程考核方式及成绩组成'!$AD$10,(ROW(H757)-5)/7,MOD((ROW(H757)-5),7))</f>
        <v>0</v>
      </c>
      <c r="I757" s="19">
        <f ca="1">OFFSET('1课程考核方式及成绩组成'!$AL$10,(ROW(I757)-5)/7,MOD((ROW(I757)-5),7))</f>
        <v>0</v>
      </c>
      <c r="J757" s="25">
        <f ca="1">IF('0信息维护'!$I$103=0,0,E757/('0信息维护'!$I$103)*'0信息维护'!$E$38*'0信息维护'!$S$28)+IF('0信息维护'!$I$104=0,0,F757/('0信息维护'!$I$104)*'0信息维护'!$E$38*'0信息维护'!$T$28)+IF('0信息维护'!$I$105=0,0,G757/('0信息维护'!$I$105)*'0信息维护'!$E$38*'0信息维护'!$U$28)+IF('0信息维护'!$I$106=0,0,H757/('0信息维护'!$I$106)*'0信息维护'!$E$38*'0信息维护'!$V$28)+IF('0信息维护'!$I$107=0,0,I757/'0信息维护'!$I$107*'0信息维护'!$I$38)</f>
        <v>0.81</v>
      </c>
      <c r="K757" s="27"/>
    </row>
    <row r="758" spans="1:11">
      <c r="A758" s="20"/>
      <c r="B758" s="20"/>
      <c r="C758" s="20"/>
      <c r="D758" s="18" t="str">
        <f>'0信息维护'!A$29</f>
        <v>课程目标5</v>
      </c>
      <c r="E758" s="19">
        <f ca="1">OFFSET('1课程考核方式及成绩组成'!$F$10,(ROW(E758)-5)/7,MOD((ROW(E758)-5),7))</f>
        <v>0</v>
      </c>
      <c r="F758" s="19">
        <f ca="1">OFFSET('1课程考核方式及成绩组成'!$N$10,(ROW(F758)-5)/7,MOD((ROW(F758)-5),7))</f>
        <v>0</v>
      </c>
      <c r="G758" s="19">
        <f ca="1">OFFSET('1课程考核方式及成绩组成'!$V$10,(ROW(G758)-5)/7,MOD((ROW(G758)-5),7))</f>
        <v>0</v>
      </c>
      <c r="H758" s="19">
        <f ca="1">OFFSET('1课程考核方式及成绩组成'!$AD$10,(ROW(H758)-5)/7,MOD((ROW(H758)-5),7))</f>
        <v>0</v>
      </c>
      <c r="I758" s="19">
        <f ca="1">OFFSET('1课程考核方式及成绩组成'!$AL$10,(ROW(I758)-5)/7,MOD((ROW(I758)-5),7))</f>
        <v>0</v>
      </c>
      <c r="J758" s="25">
        <f ca="1">IF('0信息维护'!$I$109=0,0,E758/('0信息维护'!$I$109)*'0信息维护'!$E$39*'0信息维护'!$S$29)+IF('0信息维护'!$I$110=0,0,F758/('0信息维护'!$I$110)*'0信息维护'!$E$39*'0信息维护'!$T$29)+IF('0信息维护'!$I$111=0,0,G758/('0信息维护'!$I$111)*'0信息维护'!$E$39*'0信息维护'!$U$29)+IF('0信息维护'!$I$112=0,0,H758/('0信息维护'!$I$112)*'0信息维护'!$E$39*'0信息维护'!$V$29)+IF('0信息维护'!$I$113=0,0,I758/'0信息维护'!$I$113*'0信息维护'!$I$39)</f>
        <v>0</v>
      </c>
      <c r="K758" s="27"/>
    </row>
    <row r="759" spans="1:11">
      <c r="A759" s="20"/>
      <c r="B759" s="20"/>
      <c r="C759" s="20"/>
      <c r="D759" s="18" t="str">
        <f>'0信息维护'!A$30</f>
        <v>课程目标6</v>
      </c>
      <c r="E759" s="19">
        <f ca="1">OFFSET('1课程考核方式及成绩组成'!$F$10,(ROW(E759)-5)/7,MOD((ROW(E759)-5),7))</f>
        <v>0</v>
      </c>
      <c r="F759" s="19">
        <f ca="1">OFFSET('1课程考核方式及成绩组成'!$N$10,(ROW(F759)-5)/7,MOD((ROW(F759)-5),7))</f>
        <v>0</v>
      </c>
      <c r="G759" s="19">
        <f ca="1">OFFSET('1课程考核方式及成绩组成'!$V$10,(ROW(G759)-5)/7,MOD((ROW(G759)-5),7))</f>
        <v>0</v>
      </c>
      <c r="H759" s="19">
        <f ca="1">OFFSET('1课程考核方式及成绩组成'!$AD$10,(ROW(H759)-5)/7,MOD((ROW(H759)-5),7))</f>
        <v>0</v>
      </c>
      <c r="I759" s="19">
        <f ca="1">OFFSET('1课程考核方式及成绩组成'!$AL$10,(ROW(I759)-5)/7,MOD((ROW(I759)-5),7))</f>
        <v>0</v>
      </c>
      <c r="J759" s="25">
        <f ca="1">IF('0信息维护'!$I$115=0,0,E759/('0信息维护'!$I$115)*'0信息维护'!$E$40*'0信息维护'!$S$30)+IF('0信息维护'!$I$116=0,0,F759/('0信息维护'!$I$116)*'0信息维护'!$E$40*'0信息维护'!$T$30)+IF('0信息维护'!$I$117=0,0,G759/('0信息维护'!$I$117)*'0信息维护'!$E$40*'0信息维护'!$U$30)+IF('0信息维护'!$I$118=0,0,H759/('0信息维护'!$I$118)*'0信息维护'!$E$40*'0信息维护'!$V$30)+IF('0信息维护'!$I$119=0,0,I759/'0信息维护'!$I$119*'0信息维护'!$I$40)</f>
        <v>0</v>
      </c>
      <c r="K759" s="27"/>
    </row>
    <row r="760" spans="1:11">
      <c r="A760" s="21"/>
      <c r="B760" s="21"/>
      <c r="C760" s="21"/>
      <c r="D760" s="18" t="str">
        <f>'0信息维护'!A$31</f>
        <v>课程目标7</v>
      </c>
      <c r="E760" s="19">
        <f ca="1">OFFSET('1课程考核方式及成绩组成'!$F$10,(ROW(E760)-5)/7,MOD((ROW(E760)-5),7))</f>
        <v>0</v>
      </c>
      <c r="F760" s="19">
        <f ca="1">OFFSET('1课程考核方式及成绩组成'!$N$10,(ROW(F760)-5)/7,MOD((ROW(F760)-5),7))</f>
        <v>0</v>
      </c>
      <c r="G760" s="19">
        <f ca="1">OFFSET('1课程考核方式及成绩组成'!$V$10,(ROW(G760)-5)/7,MOD((ROW(G760)-5),7))</f>
        <v>0</v>
      </c>
      <c r="H760" s="19">
        <f ca="1">OFFSET('1课程考核方式及成绩组成'!$AD$10,(ROW(H760)-5)/7,MOD((ROW(H760)-5),7))</f>
        <v>0</v>
      </c>
      <c r="I760" s="19">
        <f ca="1">OFFSET('1课程考核方式及成绩组成'!$AL$10,(ROW(I760)-5)/7,MOD((ROW(I760)-5),7))</f>
        <v>0</v>
      </c>
      <c r="J760" s="25">
        <f ca="1">IF('0信息维护'!$I$121=0,0,E760/('0信息维护'!$I$121)*'0信息维护'!$E$41*'0信息维护'!$S$31)+IF('0信息维护'!$I$122=0,0,F760/('0信息维护'!$I$122)*'0信息维护'!$E$41*'0信息维护'!$T$31)+IF('0信息维护'!$I$123=0,0,G760/('0信息维护'!$I$123)*'0信息维护'!$E$41*'0信息维护'!$U$31)+IF('0信息维护'!$I$124=0,0,H760/('0信息维护'!$I$124)*'0信息维护'!$E$41*'0信息维护'!$T$31)+IF('0信息维护'!$I$125=0,0,I760/'0信息维护'!$I$125*'0信息维护'!$I$41)</f>
        <v>0</v>
      </c>
      <c r="K760" s="30"/>
    </row>
    <row r="761" spans="1:11">
      <c r="A761" s="17">
        <v>109</v>
      </c>
      <c r="B761" s="17" t="str">
        <f ca="1">OFFSET('1课程考核方式及成绩组成'!$D$10,(ROW(B761)-5)/7,)</f>
        <v>220106133</v>
      </c>
      <c r="C761" s="17" t="str">
        <f ca="1">OFFSET('1课程考核方式及成绩组成'!$E$10,(ROW(C761)-5)/7,)</f>
        <v>屈洪华</v>
      </c>
      <c r="D761" s="18" t="str">
        <f>'0信息维护'!A$25</f>
        <v>课程目标1</v>
      </c>
      <c r="E761" s="19">
        <f ca="1">OFFSET('1课程考核方式及成绩组成'!$F$10,(ROW(E761)-5)/7,MOD((ROW(E761)-5),7))</f>
        <v>32</v>
      </c>
      <c r="F761" s="19">
        <f ca="1">OFFSET('1课程考核方式及成绩组成'!$N$10,(ROW(F761)-5)/7,MOD((ROW(F761)-5),7))</f>
        <v>0</v>
      </c>
      <c r="G761" s="19">
        <f ca="1">OFFSET('1课程考核方式及成绩组成'!$V$10,(ROW(G761)-5)/7,MOD((ROW(G761)-5),7))</f>
        <v>0</v>
      </c>
      <c r="H761" s="19">
        <f ca="1">OFFSET('1课程考核方式及成绩组成'!$AD$10,(ROW(H761)-5)/7,MOD((ROW(H761)-5),7))</f>
        <v>0</v>
      </c>
      <c r="I761" s="19">
        <f ca="1">OFFSET('1课程考核方式及成绩组成'!$AL$10,(ROW(I761)-5)/7,MOD((ROW(I761)-5),7))</f>
        <v>24</v>
      </c>
      <c r="J761" s="25">
        <f ca="1">IF('0信息维护'!$I$85=0,0,E761/('0信息维护'!$I$85)*'0信息维护'!$E$35*'0信息维护'!$S$25)+IF('0信息维护'!$I$86=0,0,F761/('0信息维护'!$I$86)*'0信息维护'!$E$35*'0信息维护'!$T$25)+IF('0信息维护'!$I$87=0,0,G761/('0信息维护'!$I$87)*'0信息维护'!$E$35*'0信息维护'!$U$25)+IF('0信息维护'!$I$88=0,0,H761/('0信息维护'!$I$88)*'0信息维护'!$E$35*'0信息维护'!$V$25)+IF('0信息维护'!$I$89=0,0,I761/'0信息维护'!$I$89*'0信息维护'!$I$35)</f>
        <v>0.733333333333333</v>
      </c>
      <c r="K761" s="26">
        <f ca="1">J761*'0信息维护'!$D$132+J762*'0信息维护'!$D$133+J763*'0信息维护'!$D$134+J764*'0信息维护'!$D$135+J765*'0信息维护'!$D$136+J766*'0信息维护'!$D$137+J767*'0信息维护'!$D$138</f>
        <v>0.698705882352941</v>
      </c>
    </row>
    <row r="762" spans="1:14">
      <c r="A762" s="20"/>
      <c r="B762" s="20"/>
      <c r="C762" s="20"/>
      <c r="D762" s="18" t="str">
        <f>'0信息维护'!A$26</f>
        <v>课程目标2</v>
      </c>
      <c r="E762" s="19">
        <f ca="1">OFFSET('1课程考核方式及成绩组成'!$F$10,(ROW(E762)-5)/7,MOD((ROW(E762)-5),7))</f>
        <v>50</v>
      </c>
      <c r="F762" s="19">
        <f ca="1">OFFSET('1课程考核方式及成绩组成'!$N$10,(ROW(F762)-5)/7,MOD((ROW(F762)-5),7))</f>
        <v>0</v>
      </c>
      <c r="G762" s="19">
        <f ca="1">OFFSET('1课程考核方式及成绩组成'!$V$10,(ROW(G762)-5)/7,MOD((ROW(G762)-5),7))</f>
        <v>0</v>
      </c>
      <c r="H762" s="19">
        <f ca="1">OFFSET('1课程考核方式及成绩组成'!$AD$10,(ROW(H762)-5)/7,MOD((ROW(H762)-5),7))</f>
        <v>0</v>
      </c>
      <c r="I762" s="19">
        <f ca="1">OFFSET('1课程考核方式及成绩组成'!$AL$10,(ROW(I762)-5)/7,MOD((ROW(I762)-5),7))</f>
        <v>18</v>
      </c>
      <c r="J762" s="25">
        <f ca="1">IF('0信息维护'!$I$91=0,0,E762/('0信息维护'!$I$91)*'0信息维护'!$S$26*'0信息维护'!$E$36)+IF('0信息维护'!$I$92=0,0,F762/('0信息维护'!$I$92)*'0信息维护'!$T$26*'0信息维护'!$E$36)+IF('0信息维护'!$I$93=0,0,G762/('0信息维护'!$I$93)*'0信息维护'!$U$26*'0信息维护'!$E$36)+IF('0信息维护'!$I$94=0,0,H762/('0信息维护'!$I$94)*'0信息维护'!$V$26*'0信息维护'!$E$36)+IF('0信息维护'!$I$95=0,0,I762/'0信息维护'!$I$95*'0信息维护'!$I$36)</f>
        <v>0.716666666666667</v>
      </c>
      <c r="K762" s="27"/>
      <c r="N762" s="29"/>
    </row>
    <row r="763" spans="1:11">
      <c r="A763" s="20"/>
      <c r="B763" s="20"/>
      <c r="C763" s="20"/>
      <c r="D763" s="18" t="str">
        <f>'0信息维护'!A$27</f>
        <v>课程目标3</v>
      </c>
      <c r="E763" s="19">
        <f ca="1">OFFSET('1课程考核方式及成绩组成'!$F$10,(ROW(E763)-5)/7,MOD((ROW(E763)-5),7))</f>
        <v>0</v>
      </c>
      <c r="F763" s="19">
        <f ca="1">OFFSET('1课程考核方式及成绩组成'!$N$10,(ROW(F763)-5)/7,MOD((ROW(F763)-5),7))</f>
        <v>0</v>
      </c>
      <c r="G763" s="19">
        <f ca="1">OFFSET('1课程考核方式及成绩组成'!$V$10,(ROW(G763)-5)/7,MOD((ROW(G763)-5),7))</f>
        <v>0</v>
      </c>
      <c r="H763" s="19">
        <f ca="1">OFFSET('1课程考核方式及成绩组成'!$AD$10,(ROW(H763)-5)/7,MOD((ROW(H763)-5),7))</f>
        <v>0</v>
      </c>
      <c r="I763" s="19">
        <f ca="1">OFFSET('1课程考核方式及成绩组成'!$AL$10,(ROW(I763)-5)/7,MOD((ROW(I763)-5),7))</f>
        <v>19</v>
      </c>
      <c r="J763" s="25">
        <f ca="1">IF('0信息维护'!$I$97=0,0,E763/('0信息维护'!$I$97)*'0信息维护'!$E$37*'0信息维护'!$S$27)+IF('0信息维护'!$I$98=0,0,F763/('0信息维护'!$I$98)*'0信息维护'!$E$37*'0信息维护'!$T$27)+IF('0信息维护'!$I$99=0,0,G763/('0信息维护'!$I$99)*'0信息维护'!$E$37*'0信息维护'!$U$27)+IF('0信息维护'!$I$100=0,0,H763/('0信息维护'!$I$100)*'0信息维护'!$E$37*'0信息维护'!$V$27)+IF('0信息维护'!$I$101=0,0,I763/'0信息维护'!$I$101*'0信息维护'!$I$37)</f>
        <v>0.558823529411765</v>
      </c>
      <c r="K763" s="27"/>
    </row>
    <row r="764" spans="1:11">
      <c r="A764" s="20"/>
      <c r="B764" s="20"/>
      <c r="C764" s="20"/>
      <c r="D764" s="18" t="str">
        <f>'0信息维护'!A$28</f>
        <v>课程目标4</v>
      </c>
      <c r="E764" s="19">
        <f ca="1">OFFSET('1课程考核方式及成绩组成'!$F$10,(ROW(E764)-5)/7,MOD((ROW(E764)-5),7))</f>
        <v>0</v>
      </c>
      <c r="F764" s="19">
        <f ca="1">OFFSET('1课程考核方式及成绩组成'!$N$10,(ROW(F764)-5)/7,MOD((ROW(F764)-5),7))</f>
        <v>78</v>
      </c>
      <c r="G764" s="19">
        <f ca="1">OFFSET('1课程考核方式及成绩组成'!$V$10,(ROW(G764)-5)/7,MOD((ROW(G764)-5),7))</f>
        <v>0</v>
      </c>
      <c r="H764" s="19">
        <f ca="1">OFFSET('1课程考核方式及成绩组成'!$AD$10,(ROW(H764)-5)/7,MOD((ROW(H764)-5),7))</f>
        <v>0</v>
      </c>
      <c r="I764" s="19">
        <f ca="1">OFFSET('1课程考核方式及成绩组成'!$AL$10,(ROW(I764)-5)/7,MOD((ROW(I764)-5),7))</f>
        <v>0</v>
      </c>
      <c r="J764" s="25">
        <f ca="1">IF('0信息维护'!$I$103=0,0,E764/('0信息维护'!$I$103)*'0信息维护'!$E$38*'0信息维护'!$S$28)+IF('0信息维护'!$I$104=0,0,F764/('0信息维护'!$I$104)*'0信息维护'!$E$38*'0信息维护'!$T$28)+IF('0信息维护'!$I$105=0,0,G764/('0信息维护'!$I$105)*'0信息维护'!$E$38*'0信息维护'!$U$28)+IF('0信息维护'!$I$106=0,0,H764/('0信息维护'!$I$106)*'0信息维护'!$E$38*'0信息维护'!$V$28)+IF('0信息维护'!$I$107=0,0,I764/'0信息维护'!$I$107*'0信息维护'!$I$38)</f>
        <v>0.78</v>
      </c>
      <c r="K764" s="27"/>
    </row>
    <row r="765" spans="1:11">
      <c r="A765" s="20"/>
      <c r="B765" s="20"/>
      <c r="C765" s="20"/>
      <c r="D765" s="18" t="str">
        <f>'0信息维护'!A$29</f>
        <v>课程目标5</v>
      </c>
      <c r="E765" s="19">
        <f ca="1">OFFSET('1课程考核方式及成绩组成'!$F$10,(ROW(E765)-5)/7,MOD((ROW(E765)-5),7))</f>
        <v>0</v>
      </c>
      <c r="F765" s="19">
        <f ca="1">OFFSET('1课程考核方式及成绩组成'!$N$10,(ROW(F765)-5)/7,MOD((ROW(F765)-5),7))</f>
        <v>0</v>
      </c>
      <c r="G765" s="19">
        <f ca="1">OFFSET('1课程考核方式及成绩组成'!$V$10,(ROW(G765)-5)/7,MOD((ROW(G765)-5),7))</f>
        <v>0</v>
      </c>
      <c r="H765" s="19">
        <f ca="1">OFFSET('1课程考核方式及成绩组成'!$AD$10,(ROW(H765)-5)/7,MOD((ROW(H765)-5),7))</f>
        <v>0</v>
      </c>
      <c r="I765" s="19">
        <f ca="1">OFFSET('1课程考核方式及成绩组成'!$AL$10,(ROW(I765)-5)/7,MOD((ROW(I765)-5),7))</f>
        <v>0</v>
      </c>
      <c r="J765" s="25">
        <f ca="1">IF('0信息维护'!$I$109=0,0,E765/('0信息维护'!$I$109)*'0信息维护'!$E$39*'0信息维护'!$S$29)+IF('0信息维护'!$I$110=0,0,F765/('0信息维护'!$I$110)*'0信息维护'!$E$39*'0信息维护'!$T$29)+IF('0信息维护'!$I$111=0,0,G765/('0信息维护'!$I$111)*'0信息维护'!$E$39*'0信息维护'!$U$29)+IF('0信息维护'!$I$112=0,0,H765/('0信息维护'!$I$112)*'0信息维护'!$E$39*'0信息维护'!$V$29)+IF('0信息维护'!$I$113=0,0,I765/'0信息维护'!$I$113*'0信息维护'!$I$39)</f>
        <v>0</v>
      </c>
      <c r="K765" s="27"/>
    </row>
    <row r="766" spans="1:11">
      <c r="A766" s="20"/>
      <c r="B766" s="20"/>
      <c r="C766" s="20"/>
      <c r="D766" s="18" t="str">
        <f>'0信息维护'!A$30</f>
        <v>课程目标6</v>
      </c>
      <c r="E766" s="19">
        <f ca="1">OFFSET('1课程考核方式及成绩组成'!$F$10,(ROW(E766)-5)/7,MOD((ROW(E766)-5),7))</f>
        <v>0</v>
      </c>
      <c r="F766" s="19">
        <f ca="1">OFFSET('1课程考核方式及成绩组成'!$N$10,(ROW(F766)-5)/7,MOD((ROW(F766)-5),7))</f>
        <v>0</v>
      </c>
      <c r="G766" s="19">
        <f ca="1">OFFSET('1课程考核方式及成绩组成'!$V$10,(ROW(G766)-5)/7,MOD((ROW(G766)-5),7))</f>
        <v>0</v>
      </c>
      <c r="H766" s="19">
        <f ca="1">OFFSET('1课程考核方式及成绩组成'!$AD$10,(ROW(H766)-5)/7,MOD((ROW(H766)-5),7))</f>
        <v>0</v>
      </c>
      <c r="I766" s="19">
        <f ca="1">OFFSET('1课程考核方式及成绩组成'!$AL$10,(ROW(I766)-5)/7,MOD((ROW(I766)-5),7))</f>
        <v>0</v>
      </c>
      <c r="J766" s="25">
        <f ca="1">IF('0信息维护'!$I$115=0,0,E766/('0信息维护'!$I$115)*'0信息维护'!$E$40*'0信息维护'!$S$30)+IF('0信息维护'!$I$116=0,0,F766/('0信息维护'!$I$116)*'0信息维护'!$E$40*'0信息维护'!$T$30)+IF('0信息维护'!$I$117=0,0,G766/('0信息维护'!$I$117)*'0信息维护'!$E$40*'0信息维护'!$U$30)+IF('0信息维护'!$I$118=0,0,H766/('0信息维护'!$I$118)*'0信息维护'!$E$40*'0信息维护'!$V$30)+IF('0信息维护'!$I$119=0,0,I766/'0信息维护'!$I$119*'0信息维护'!$I$40)</f>
        <v>0</v>
      </c>
      <c r="K766" s="27"/>
    </row>
    <row r="767" spans="1:11">
      <c r="A767" s="21"/>
      <c r="B767" s="21"/>
      <c r="C767" s="21"/>
      <c r="D767" s="18" t="str">
        <f>'0信息维护'!A$31</f>
        <v>课程目标7</v>
      </c>
      <c r="E767" s="19">
        <f ca="1">OFFSET('1课程考核方式及成绩组成'!$F$10,(ROW(E767)-5)/7,MOD((ROW(E767)-5),7))</f>
        <v>0</v>
      </c>
      <c r="F767" s="19">
        <f ca="1">OFFSET('1课程考核方式及成绩组成'!$N$10,(ROW(F767)-5)/7,MOD((ROW(F767)-5),7))</f>
        <v>0</v>
      </c>
      <c r="G767" s="19">
        <f ca="1">OFFSET('1课程考核方式及成绩组成'!$V$10,(ROW(G767)-5)/7,MOD((ROW(G767)-5),7))</f>
        <v>0</v>
      </c>
      <c r="H767" s="19">
        <f ca="1">OFFSET('1课程考核方式及成绩组成'!$AD$10,(ROW(H767)-5)/7,MOD((ROW(H767)-5),7))</f>
        <v>0</v>
      </c>
      <c r="I767" s="19">
        <f ca="1">OFFSET('1课程考核方式及成绩组成'!$AL$10,(ROW(I767)-5)/7,MOD((ROW(I767)-5),7))</f>
        <v>0</v>
      </c>
      <c r="J767" s="25">
        <f ca="1">IF('0信息维护'!$I$121=0,0,E767/('0信息维护'!$I$121)*'0信息维护'!$E$41*'0信息维护'!$S$31)+IF('0信息维护'!$I$122=0,0,F767/('0信息维护'!$I$122)*'0信息维护'!$E$41*'0信息维护'!$T$31)+IF('0信息维护'!$I$123=0,0,G767/('0信息维护'!$I$123)*'0信息维护'!$E$41*'0信息维护'!$U$31)+IF('0信息维护'!$I$124=0,0,H767/('0信息维护'!$I$124)*'0信息维护'!$E$41*'0信息维护'!$T$31)+IF('0信息维护'!$I$125=0,0,I767/'0信息维护'!$I$125*'0信息维护'!$I$41)</f>
        <v>0</v>
      </c>
      <c r="K767" s="30"/>
    </row>
    <row r="768" spans="1:11">
      <c r="A768" s="17">
        <v>110</v>
      </c>
      <c r="B768" s="17" t="str">
        <f ca="1">OFFSET('1课程考核方式及成绩组成'!$D$10,(ROW(B768)-5)/7,)</f>
        <v>220106134</v>
      </c>
      <c r="C768" s="17" t="str">
        <f ca="1">OFFSET('1课程考核方式及成绩组成'!$E$10,(ROW(C768)-5)/7,)</f>
        <v>魏松灵</v>
      </c>
      <c r="D768" s="18" t="str">
        <f>'0信息维护'!A$25</f>
        <v>课程目标1</v>
      </c>
      <c r="E768" s="19">
        <f ca="1">OFFSET('1课程考核方式及成绩组成'!$F$10,(ROW(E768)-5)/7,MOD((ROW(E768)-5),7))</f>
        <v>34</v>
      </c>
      <c r="F768" s="19">
        <f ca="1">OFFSET('1课程考核方式及成绩组成'!$N$10,(ROW(F768)-5)/7,MOD((ROW(F768)-5),7))</f>
        <v>0</v>
      </c>
      <c r="G768" s="19">
        <f ca="1">OFFSET('1课程考核方式及成绩组成'!$V$10,(ROW(G768)-5)/7,MOD((ROW(G768)-5),7))</f>
        <v>0</v>
      </c>
      <c r="H768" s="19">
        <f ca="1">OFFSET('1课程考核方式及成绩组成'!$AD$10,(ROW(H768)-5)/7,MOD((ROW(H768)-5),7))</f>
        <v>0</v>
      </c>
      <c r="I768" s="19">
        <f ca="1">OFFSET('1课程考核方式及成绩组成'!$AL$10,(ROW(I768)-5)/7,MOD((ROW(I768)-5),7))</f>
        <v>24</v>
      </c>
      <c r="J768" s="25">
        <f ca="1">IF('0信息维护'!$I$85=0,0,E768/('0信息维护'!$I$85)*'0信息维护'!$E$35*'0信息维护'!$S$25)+IF('0信息维护'!$I$86=0,0,F768/('0信息维护'!$I$86)*'0信息维护'!$E$35*'0信息维护'!$T$25)+IF('0信息维护'!$I$87=0,0,G768/('0信息维护'!$I$87)*'0信息维护'!$E$35*'0信息维护'!$U$25)+IF('0信息维护'!$I$88=0,0,H768/('0信息维护'!$I$88)*'0信息维护'!$E$35*'0信息维护'!$V$25)+IF('0信息维护'!$I$89=0,0,I768/'0信息维护'!$I$89*'0信息维护'!$I$35)</f>
        <v>0.758333333333333</v>
      </c>
      <c r="K768" s="26">
        <f ca="1">J768*'0信息维护'!$D$132+J769*'0信息维护'!$D$133+J770*'0信息维护'!$D$134+J771*'0信息维护'!$D$135+J772*'0信息维护'!$D$136+J773*'0信息维护'!$D$137+J774*'0信息维护'!$D$138</f>
        <v>0.688897058823529</v>
      </c>
    </row>
    <row r="769" spans="1:14">
      <c r="A769" s="20"/>
      <c r="B769" s="20"/>
      <c r="C769" s="20"/>
      <c r="D769" s="18" t="str">
        <f>'0信息维护'!A$26</f>
        <v>课程目标2</v>
      </c>
      <c r="E769" s="19">
        <f ca="1">OFFSET('1课程考核方式及成绩组成'!$F$10,(ROW(E769)-5)/7,MOD((ROW(E769)-5),7))</f>
        <v>51</v>
      </c>
      <c r="F769" s="19">
        <f ca="1">OFFSET('1课程考核方式及成绩组成'!$N$10,(ROW(F769)-5)/7,MOD((ROW(F769)-5),7))</f>
        <v>0</v>
      </c>
      <c r="G769" s="19">
        <f ca="1">OFFSET('1课程考核方式及成绩组成'!$V$10,(ROW(G769)-5)/7,MOD((ROW(G769)-5),7))</f>
        <v>0</v>
      </c>
      <c r="H769" s="19">
        <f ca="1">OFFSET('1课程考核方式及成绩组成'!$AD$10,(ROW(H769)-5)/7,MOD((ROW(H769)-5),7))</f>
        <v>0</v>
      </c>
      <c r="I769" s="19">
        <f ca="1">OFFSET('1课程考核方式及成绩组成'!$AL$10,(ROW(I769)-5)/7,MOD((ROW(I769)-5),7))</f>
        <v>18</v>
      </c>
      <c r="J769" s="25">
        <f ca="1">IF('0信息维护'!$I$91=0,0,E769/('0信息维护'!$I$91)*'0信息维护'!$S$26*'0信息维护'!$E$36)+IF('0信息维护'!$I$92=0,0,F769/('0信息维护'!$I$92)*'0信息维护'!$T$26*'0信息维护'!$E$36)+IF('0信息维护'!$I$93=0,0,G769/('0信息维护'!$I$93)*'0信息维护'!$U$26*'0信息维护'!$E$36)+IF('0信息维护'!$I$94=0,0,H769/('0信息维护'!$I$94)*'0信息维护'!$V$26*'0信息维护'!$E$36)+IF('0信息维护'!$I$95=0,0,I769/'0信息维护'!$I$95*'0信息维护'!$I$36)</f>
        <v>0.725</v>
      </c>
      <c r="K769" s="27"/>
      <c r="N769" s="29"/>
    </row>
    <row r="770" spans="1:11">
      <c r="A770" s="20"/>
      <c r="B770" s="20"/>
      <c r="C770" s="20"/>
      <c r="D770" s="18" t="str">
        <f>'0信息维护'!A$27</f>
        <v>课程目标3</v>
      </c>
      <c r="E770" s="19">
        <f ca="1">OFFSET('1课程考核方式及成绩组成'!$F$10,(ROW(E770)-5)/7,MOD((ROW(E770)-5),7))</f>
        <v>0</v>
      </c>
      <c r="F770" s="19">
        <f ca="1">OFFSET('1课程考核方式及成绩组成'!$N$10,(ROW(F770)-5)/7,MOD((ROW(F770)-5),7))</f>
        <v>0</v>
      </c>
      <c r="G770" s="19">
        <f ca="1">OFFSET('1课程考核方式及成绩组成'!$V$10,(ROW(G770)-5)/7,MOD((ROW(G770)-5),7))</f>
        <v>0</v>
      </c>
      <c r="H770" s="19">
        <f ca="1">OFFSET('1课程考核方式及成绩组成'!$AD$10,(ROW(H770)-5)/7,MOD((ROW(H770)-5),7))</f>
        <v>0</v>
      </c>
      <c r="I770" s="19">
        <f ca="1">OFFSET('1课程考核方式及成绩组成'!$AL$10,(ROW(I770)-5)/7,MOD((ROW(I770)-5),7))</f>
        <v>16</v>
      </c>
      <c r="J770" s="25">
        <f ca="1">IF('0信息维护'!$I$97=0,0,E770/('0信息维护'!$I$97)*'0信息维护'!$E$37*'0信息维护'!$S$27)+IF('0信息维护'!$I$98=0,0,F770/('0信息维护'!$I$98)*'0信息维护'!$E$37*'0信息维护'!$T$27)+IF('0信息维护'!$I$99=0,0,G770/('0信息维护'!$I$99)*'0信息维护'!$E$37*'0信息维护'!$U$27)+IF('0信息维护'!$I$100=0,0,H770/('0信息维护'!$I$100)*'0信息维护'!$E$37*'0信息维护'!$V$27)+IF('0信息维护'!$I$101=0,0,I770/'0信息维护'!$I$101*'0信息维护'!$I$37)</f>
        <v>0.470588235294118</v>
      </c>
      <c r="K770" s="27"/>
    </row>
    <row r="771" spans="1:11">
      <c r="A771" s="20"/>
      <c r="B771" s="20"/>
      <c r="C771" s="20"/>
      <c r="D771" s="18" t="str">
        <f>'0信息维护'!A$28</f>
        <v>课程目标4</v>
      </c>
      <c r="E771" s="19">
        <f ca="1">OFFSET('1课程考核方式及成绩组成'!$F$10,(ROW(E771)-5)/7,MOD((ROW(E771)-5),7))</f>
        <v>0</v>
      </c>
      <c r="F771" s="19">
        <f ca="1">OFFSET('1课程考核方式及成绩组成'!$N$10,(ROW(F771)-5)/7,MOD((ROW(F771)-5),7))</f>
        <v>80</v>
      </c>
      <c r="G771" s="19">
        <f ca="1">OFFSET('1课程考核方式及成绩组成'!$V$10,(ROW(G771)-5)/7,MOD((ROW(G771)-5),7))</f>
        <v>0</v>
      </c>
      <c r="H771" s="19">
        <f ca="1">OFFSET('1课程考核方式及成绩组成'!$AD$10,(ROW(H771)-5)/7,MOD((ROW(H771)-5),7))</f>
        <v>0</v>
      </c>
      <c r="I771" s="19">
        <f ca="1">OFFSET('1课程考核方式及成绩组成'!$AL$10,(ROW(I771)-5)/7,MOD((ROW(I771)-5),7))</f>
        <v>0</v>
      </c>
      <c r="J771" s="25">
        <f ca="1">IF('0信息维护'!$I$103=0,0,E771/('0信息维护'!$I$103)*'0信息维护'!$E$38*'0信息维护'!$S$28)+IF('0信息维护'!$I$104=0,0,F771/('0信息维护'!$I$104)*'0信息维护'!$E$38*'0信息维护'!$T$28)+IF('0信息维护'!$I$105=0,0,G771/('0信息维护'!$I$105)*'0信息维护'!$E$38*'0信息维护'!$U$28)+IF('0信息维护'!$I$106=0,0,H771/('0信息维护'!$I$106)*'0信息维护'!$E$38*'0信息维护'!$V$28)+IF('0信息维护'!$I$107=0,0,I771/'0信息维护'!$I$107*'0信息维护'!$I$38)</f>
        <v>0.8</v>
      </c>
      <c r="K771" s="27"/>
    </row>
    <row r="772" spans="1:11">
      <c r="A772" s="20"/>
      <c r="B772" s="20"/>
      <c r="C772" s="20"/>
      <c r="D772" s="18" t="str">
        <f>'0信息维护'!A$29</f>
        <v>课程目标5</v>
      </c>
      <c r="E772" s="19">
        <f ca="1">OFFSET('1课程考核方式及成绩组成'!$F$10,(ROW(E772)-5)/7,MOD((ROW(E772)-5),7))</f>
        <v>0</v>
      </c>
      <c r="F772" s="19">
        <f ca="1">OFFSET('1课程考核方式及成绩组成'!$N$10,(ROW(F772)-5)/7,MOD((ROW(F772)-5),7))</f>
        <v>0</v>
      </c>
      <c r="G772" s="19">
        <f ca="1">OFFSET('1课程考核方式及成绩组成'!$V$10,(ROW(G772)-5)/7,MOD((ROW(G772)-5),7))</f>
        <v>0</v>
      </c>
      <c r="H772" s="19">
        <f ca="1">OFFSET('1课程考核方式及成绩组成'!$AD$10,(ROW(H772)-5)/7,MOD((ROW(H772)-5),7))</f>
        <v>0</v>
      </c>
      <c r="I772" s="19">
        <f ca="1">OFFSET('1课程考核方式及成绩组成'!$AL$10,(ROW(I772)-5)/7,MOD((ROW(I772)-5),7))</f>
        <v>0</v>
      </c>
      <c r="J772" s="25">
        <f ca="1">IF('0信息维护'!$I$109=0,0,E772/('0信息维护'!$I$109)*'0信息维护'!$E$39*'0信息维护'!$S$29)+IF('0信息维护'!$I$110=0,0,F772/('0信息维护'!$I$110)*'0信息维护'!$E$39*'0信息维护'!$T$29)+IF('0信息维护'!$I$111=0,0,G772/('0信息维护'!$I$111)*'0信息维护'!$E$39*'0信息维护'!$U$29)+IF('0信息维护'!$I$112=0,0,H772/('0信息维护'!$I$112)*'0信息维护'!$E$39*'0信息维护'!$V$29)+IF('0信息维护'!$I$113=0,0,I772/'0信息维护'!$I$113*'0信息维护'!$I$39)</f>
        <v>0</v>
      </c>
      <c r="K772" s="27"/>
    </row>
    <row r="773" spans="1:11">
      <c r="A773" s="20"/>
      <c r="B773" s="20"/>
      <c r="C773" s="20"/>
      <c r="D773" s="18" t="str">
        <f>'0信息维护'!A$30</f>
        <v>课程目标6</v>
      </c>
      <c r="E773" s="19">
        <f ca="1">OFFSET('1课程考核方式及成绩组成'!$F$10,(ROW(E773)-5)/7,MOD((ROW(E773)-5),7))</f>
        <v>0</v>
      </c>
      <c r="F773" s="19">
        <f ca="1">OFFSET('1课程考核方式及成绩组成'!$N$10,(ROW(F773)-5)/7,MOD((ROW(F773)-5),7))</f>
        <v>0</v>
      </c>
      <c r="G773" s="19">
        <f ca="1">OFFSET('1课程考核方式及成绩组成'!$V$10,(ROW(G773)-5)/7,MOD((ROW(G773)-5),7))</f>
        <v>0</v>
      </c>
      <c r="H773" s="19">
        <f ca="1">OFFSET('1课程考核方式及成绩组成'!$AD$10,(ROW(H773)-5)/7,MOD((ROW(H773)-5),7))</f>
        <v>0</v>
      </c>
      <c r="I773" s="19">
        <f ca="1">OFFSET('1课程考核方式及成绩组成'!$AL$10,(ROW(I773)-5)/7,MOD((ROW(I773)-5),7))</f>
        <v>0</v>
      </c>
      <c r="J773" s="25">
        <f ca="1">IF('0信息维护'!$I$115=0,0,E773/('0信息维护'!$I$115)*'0信息维护'!$E$40*'0信息维护'!$S$30)+IF('0信息维护'!$I$116=0,0,F773/('0信息维护'!$I$116)*'0信息维护'!$E$40*'0信息维护'!$T$30)+IF('0信息维护'!$I$117=0,0,G773/('0信息维护'!$I$117)*'0信息维护'!$E$40*'0信息维护'!$U$30)+IF('0信息维护'!$I$118=0,0,H773/('0信息维护'!$I$118)*'0信息维护'!$E$40*'0信息维护'!$V$30)+IF('0信息维护'!$I$119=0,0,I773/'0信息维护'!$I$119*'0信息维护'!$I$40)</f>
        <v>0</v>
      </c>
      <c r="K773" s="27"/>
    </row>
    <row r="774" spans="1:11">
      <c r="A774" s="21"/>
      <c r="B774" s="21"/>
      <c r="C774" s="21"/>
      <c r="D774" s="18" t="str">
        <f>'0信息维护'!A$31</f>
        <v>课程目标7</v>
      </c>
      <c r="E774" s="19">
        <f ca="1">OFFSET('1课程考核方式及成绩组成'!$F$10,(ROW(E774)-5)/7,MOD((ROW(E774)-5),7))</f>
        <v>0</v>
      </c>
      <c r="F774" s="19">
        <f ca="1">OFFSET('1课程考核方式及成绩组成'!$N$10,(ROW(F774)-5)/7,MOD((ROW(F774)-5),7))</f>
        <v>0</v>
      </c>
      <c r="G774" s="19">
        <f ca="1">OFFSET('1课程考核方式及成绩组成'!$V$10,(ROW(G774)-5)/7,MOD((ROW(G774)-5),7))</f>
        <v>0</v>
      </c>
      <c r="H774" s="19">
        <f ca="1">OFFSET('1课程考核方式及成绩组成'!$AD$10,(ROW(H774)-5)/7,MOD((ROW(H774)-5),7))</f>
        <v>0</v>
      </c>
      <c r="I774" s="19">
        <f ca="1">OFFSET('1课程考核方式及成绩组成'!$AL$10,(ROW(I774)-5)/7,MOD((ROW(I774)-5),7))</f>
        <v>0</v>
      </c>
      <c r="J774" s="25">
        <f ca="1">IF('0信息维护'!$I$121=0,0,E774/('0信息维护'!$I$121)*'0信息维护'!$E$41*'0信息维护'!$S$31)+IF('0信息维护'!$I$122=0,0,F774/('0信息维护'!$I$122)*'0信息维护'!$E$41*'0信息维护'!$T$31)+IF('0信息维护'!$I$123=0,0,G774/('0信息维护'!$I$123)*'0信息维护'!$E$41*'0信息维护'!$U$31)+IF('0信息维护'!$I$124=0,0,H774/('0信息维护'!$I$124)*'0信息维护'!$E$41*'0信息维护'!$T$31)+IF('0信息维护'!$I$125=0,0,I774/'0信息维护'!$I$125*'0信息维护'!$I$41)</f>
        <v>0</v>
      </c>
      <c r="K774" s="30"/>
    </row>
    <row r="775" spans="1:11">
      <c r="A775" s="17">
        <v>111</v>
      </c>
      <c r="B775" s="17" t="str">
        <f ca="1">OFFSET('1课程考核方式及成绩组成'!$D$10,(ROW(B775)-5)/7,)</f>
        <v>220106135</v>
      </c>
      <c r="C775" s="17" t="str">
        <f ca="1">OFFSET('1课程考核方式及成绩组成'!$E$10,(ROW(C775)-5)/7,)</f>
        <v>孙茂银</v>
      </c>
      <c r="D775" s="18" t="str">
        <f>'0信息维护'!A$25</f>
        <v>课程目标1</v>
      </c>
      <c r="E775" s="19">
        <f ca="1">OFFSET('1课程考核方式及成绩组成'!$F$10,(ROW(E775)-5)/7,MOD((ROW(E775)-5),7))</f>
        <v>34</v>
      </c>
      <c r="F775" s="19">
        <f ca="1">OFFSET('1课程考核方式及成绩组成'!$N$10,(ROW(F775)-5)/7,MOD((ROW(F775)-5),7))</f>
        <v>0</v>
      </c>
      <c r="G775" s="19">
        <f ca="1">OFFSET('1课程考核方式及成绩组成'!$V$10,(ROW(G775)-5)/7,MOD((ROW(G775)-5),7))</f>
        <v>0</v>
      </c>
      <c r="H775" s="19">
        <f ca="1">OFFSET('1课程考核方式及成绩组成'!$AD$10,(ROW(H775)-5)/7,MOD((ROW(H775)-5),7))</f>
        <v>0</v>
      </c>
      <c r="I775" s="19">
        <f ca="1">OFFSET('1课程考核方式及成绩组成'!$AL$10,(ROW(I775)-5)/7,MOD((ROW(I775)-5),7))</f>
        <v>30</v>
      </c>
      <c r="J775" s="25">
        <f ca="1">IF('0信息维护'!$I$85=0,0,E775/('0信息维护'!$I$85)*'0信息维护'!$E$35*'0信息维护'!$S$25)+IF('0信息维护'!$I$86=0,0,F775/('0信息维护'!$I$86)*'0信息维护'!$E$35*'0信息维护'!$T$25)+IF('0信息维护'!$I$87=0,0,G775/('0信息维护'!$I$87)*'0信息维护'!$E$35*'0信息维护'!$U$25)+IF('0信息维护'!$I$88=0,0,H775/('0信息维护'!$I$88)*'0信息维护'!$E$35*'0信息维护'!$V$25)+IF('0信息维护'!$I$89=0,0,I775/'0信息维护'!$I$89*'0信息维护'!$I$35)</f>
        <v>0.841666666666667</v>
      </c>
      <c r="K775" s="26">
        <f ca="1">J775*'0信息维护'!$D$132+J776*'0信息维护'!$D$133+J777*'0信息维护'!$D$134+J778*'0信息维护'!$D$135+J779*'0信息维护'!$D$136+J780*'0信息维护'!$D$137+J781*'0信息维护'!$D$138</f>
        <v>0.705044117647059</v>
      </c>
    </row>
    <row r="776" spans="1:14">
      <c r="A776" s="20"/>
      <c r="B776" s="20"/>
      <c r="C776" s="20"/>
      <c r="D776" s="18" t="str">
        <f>'0信息维护'!A$26</f>
        <v>课程目标2</v>
      </c>
      <c r="E776" s="19">
        <f ca="1">OFFSET('1课程考核方式及成绩组成'!$F$10,(ROW(E776)-5)/7,MOD((ROW(E776)-5),7))</f>
        <v>51</v>
      </c>
      <c r="F776" s="19">
        <f ca="1">OFFSET('1课程考核方式及成绩组成'!$N$10,(ROW(F776)-5)/7,MOD((ROW(F776)-5),7))</f>
        <v>0</v>
      </c>
      <c r="G776" s="19">
        <f ca="1">OFFSET('1课程考核方式及成绩组成'!$V$10,(ROW(G776)-5)/7,MOD((ROW(G776)-5),7))</f>
        <v>0</v>
      </c>
      <c r="H776" s="19">
        <f ca="1">OFFSET('1课程考核方式及成绩组成'!$AD$10,(ROW(H776)-5)/7,MOD((ROW(H776)-5),7))</f>
        <v>0</v>
      </c>
      <c r="I776" s="19">
        <f ca="1">OFFSET('1课程考核方式及成绩组成'!$AL$10,(ROW(I776)-5)/7,MOD((ROW(I776)-5),7))</f>
        <v>19</v>
      </c>
      <c r="J776" s="25">
        <f ca="1">IF('0信息维护'!$I$91=0,0,E776/('0信息维护'!$I$91)*'0信息维护'!$S$26*'0信息维护'!$E$36)+IF('0信息维护'!$I$92=0,0,F776/('0信息维护'!$I$92)*'0信息维护'!$T$26*'0信息维护'!$E$36)+IF('0信息维护'!$I$93=0,0,G776/('0信息维护'!$I$93)*'0信息维护'!$U$26*'0信息维护'!$E$36)+IF('0信息维护'!$I$94=0,0,H776/('0信息维护'!$I$94)*'0信息维护'!$V$26*'0信息维护'!$E$36)+IF('0信息维护'!$I$95=0,0,I776/'0信息维护'!$I$95*'0信息维护'!$I$36)</f>
        <v>0.741666666666667</v>
      </c>
      <c r="K776" s="27"/>
      <c r="N776" s="29"/>
    </row>
    <row r="777" spans="1:11">
      <c r="A777" s="20"/>
      <c r="B777" s="20"/>
      <c r="C777" s="20"/>
      <c r="D777" s="18" t="str">
        <f>'0信息维护'!A$27</f>
        <v>课程目标3</v>
      </c>
      <c r="E777" s="19">
        <f ca="1">OFFSET('1课程考核方式及成绩组成'!$F$10,(ROW(E777)-5)/7,MOD((ROW(E777)-5),7))</f>
        <v>0</v>
      </c>
      <c r="F777" s="19">
        <f ca="1">OFFSET('1课程考核方式及成绩组成'!$N$10,(ROW(F777)-5)/7,MOD((ROW(F777)-5),7))</f>
        <v>0</v>
      </c>
      <c r="G777" s="19">
        <f ca="1">OFFSET('1课程考核方式及成绩组成'!$V$10,(ROW(G777)-5)/7,MOD((ROW(G777)-5),7))</f>
        <v>0</v>
      </c>
      <c r="H777" s="19">
        <f ca="1">OFFSET('1课程考核方式及成绩组成'!$AD$10,(ROW(H777)-5)/7,MOD((ROW(H777)-5),7))</f>
        <v>0</v>
      </c>
      <c r="I777" s="19">
        <f ca="1">OFFSET('1课程考核方式及成绩组成'!$AL$10,(ROW(I777)-5)/7,MOD((ROW(I777)-5),7))</f>
        <v>15</v>
      </c>
      <c r="J777" s="25">
        <f ca="1">IF('0信息维护'!$I$97=0,0,E777/('0信息维护'!$I$97)*'0信息维护'!$E$37*'0信息维护'!$S$27)+IF('0信息维护'!$I$98=0,0,F777/('0信息维护'!$I$98)*'0信息维护'!$E$37*'0信息维护'!$T$27)+IF('0信息维护'!$I$99=0,0,G777/('0信息维护'!$I$99)*'0信息维护'!$E$37*'0信息维护'!$U$27)+IF('0信息维护'!$I$100=0,0,H777/('0信息维护'!$I$100)*'0信息维护'!$E$37*'0信息维护'!$V$27)+IF('0信息维护'!$I$101=0,0,I777/'0信息维护'!$I$101*'0信息维护'!$I$37)</f>
        <v>0.441176470588235</v>
      </c>
      <c r="K777" s="27"/>
    </row>
    <row r="778" spans="1:11">
      <c r="A778" s="20"/>
      <c r="B778" s="20"/>
      <c r="C778" s="20"/>
      <c r="D778" s="18" t="str">
        <f>'0信息维护'!A$28</f>
        <v>课程目标4</v>
      </c>
      <c r="E778" s="19">
        <f ca="1">OFFSET('1课程考核方式及成绩组成'!$F$10,(ROW(E778)-5)/7,MOD((ROW(E778)-5),7))</f>
        <v>0</v>
      </c>
      <c r="F778" s="19">
        <f ca="1">OFFSET('1课程考核方式及成绩组成'!$N$10,(ROW(F778)-5)/7,MOD((ROW(F778)-5),7))</f>
        <v>82</v>
      </c>
      <c r="G778" s="19">
        <f ca="1">OFFSET('1课程考核方式及成绩组成'!$V$10,(ROW(G778)-5)/7,MOD((ROW(G778)-5),7))</f>
        <v>0</v>
      </c>
      <c r="H778" s="19">
        <f ca="1">OFFSET('1课程考核方式及成绩组成'!$AD$10,(ROW(H778)-5)/7,MOD((ROW(H778)-5),7))</f>
        <v>0</v>
      </c>
      <c r="I778" s="19">
        <f ca="1">OFFSET('1课程考核方式及成绩组成'!$AL$10,(ROW(I778)-5)/7,MOD((ROW(I778)-5),7))</f>
        <v>0</v>
      </c>
      <c r="J778" s="25">
        <f ca="1">IF('0信息维护'!$I$103=0,0,E778/('0信息维护'!$I$103)*'0信息维护'!$E$38*'0信息维护'!$S$28)+IF('0信息维护'!$I$104=0,0,F778/('0信息维护'!$I$104)*'0信息维护'!$E$38*'0信息维护'!$T$28)+IF('0信息维护'!$I$105=0,0,G778/('0信息维护'!$I$105)*'0信息维护'!$E$38*'0信息维护'!$U$28)+IF('0信息维护'!$I$106=0,0,H778/('0信息维护'!$I$106)*'0信息维护'!$E$38*'0信息维护'!$V$28)+IF('0信息维护'!$I$107=0,0,I778/'0信息维护'!$I$107*'0信息维护'!$I$38)</f>
        <v>0.82</v>
      </c>
      <c r="K778" s="27"/>
    </row>
    <row r="779" spans="1:11">
      <c r="A779" s="20"/>
      <c r="B779" s="20"/>
      <c r="C779" s="20"/>
      <c r="D779" s="18" t="str">
        <f>'0信息维护'!A$29</f>
        <v>课程目标5</v>
      </c>
      <c r="E779" s="19">
        <f ca="1">OFFSET('1课程考核方式及成绩组成'!$F$10,(ROW(E779)-5)/7,MOD((ROW(E779)-5),7))</f>
        <v>0</v>
      </c>
      <c r="F779" s="19">
        <f ca="1">OFFSET('1课程考核方式及成绩组成'!$N$10,(ROW(F779)-5)/7,MOD((ROW(F779)-5),7))</f>
        <v>0</v>
      </c>
      <c r="G779" s="19">
        <f ca="1">OFFSET('1课程考核方式及成绩组成'!$V$10,(ROW(G779)-5)/7,MOD((ROW(G779)-5),7))</f>
        <v>0</v>
      </c>
      <c r="H779" s="19">
        <f ca="1">OFFSET('1课程考核方式及成绩组成'!$AD$10,(ROW(H779)-5)/7,MOD((ROW(H779)-5),7))</f>
        <v>0</v>
      </c>
      <c r="I779" s="19">
        <f ca="1">OFFSET('1课程考核方式及成绩组成'!$AL$10,(ROW(I779)-5)/7,MOD((ROW(I779)-5),7))</f>
        <v>0</v>
      </c>
      <c r="J779" s="25">
        <f ca="1">IF('0信息维护'!$I$109=0,0,E779/('0信息维护'!$I$109)*'0信息维护'!$E$39*'0信息维护'!$S$29)+IF('0信息维护'!$I$110=0,0,F779/('0信息维护'!$I$110)*'0信息维护'!$E$39*'0信息维护'!$T$29)+IF('0信息维护'!$I$111=0,0,G779/('0信息维护'!$I$111)*'0信息维护'!$E$39*'0信息维护'!$U$29)+IF('0信息维护'!$I$112=0,0,H779/('0信息维护'!$I$112)*'0信息维护'!$E$39*'0信息维护'!$V$29)+IF('0信息维护'!$I$113=0,0,I779/'0信息维护'!$I$113*'0信息维护'!$I$39)</f>
        <v>0</v>
      </c>
      <c r="K779" s="27"/>
    </row>
    <row r="780" spans="1:11">
      <c r="A780" s="20"/>
      <c r="B780" s="20"/>
      <c r="C780" s="20"/>
      <c r="D780" s="18" t="str">
        <f>'0信息维护'!A$30</f>
        <v>课程目标6</v>
      </c>
      <c r="E780" s="19">
        <f ca="1">OFFSET('1课程考核方式及成绩组成'!$F$10,(ROW(E780)-5)/7,MOD((ROW(E780)-5),7))</f>
        <v>0</v>
      </c>
      <c r="F780" s="19">
        <f ca="1">OFFSET('1课程考核方式及成绩组成'!$N$10,(ROW(F780)-5)/7,MOD((ROW(F780)-5),7))</f>
        <v>0</v>
      </c>
      <c r="G780" s="19">
        <f ca="1">OFFSET('1课程考核方式及成绩组成'!$V$10,(ROW(G780)-5)/7,MOD((ROW(G780)-5),7))</f>
        <v>0</v>
      </c>
      <c r="H780" s="19">
        <f ca="1">OFFSET('1课程考核方式及成绩组成'!$AD$10,(ROW(H780)-5)/7,MOD((ROW(H780)-5),7))</f>
        <v>0</v>
      </c>
      <c r="I780" s="19">
        <f ca="1">OFFSET('1课程考核方式及成绩组成'!$AL$10,(ROW(I780)-5)/7,MOD((ROW(I780)-5),7))</f>
        <v>0</v>
      </c>
      <c r="J780" s="25">
        <f ca="1">IF('0信息维护'!$I$115=0,0,E780/('0信息维护'!$I$115)*'0信息维护'!$E$40*'0信息维护'!$S$30)+IF('0信息维护'!$I$116=0,0,F780/('0信息维护'!$I$116)*'0信息维护'!$E$40*'0信息维护'!$T$30)+IF('0信息维护'!$I$117=0,0,G780/('0信息维护'!$I$117)*'0信息维护'!$E$40*'0信息维护'!$U$30)+IF('0信息维护'!$I$118=0,0,H780/('0信息维护'!$I$118)*'0信息维护'!$E$40*'0信息维护'!$V$30)+IF('0信息维护'!$I$119=0,0,I780/'0信息维护'!$I$119*'0信息维护'!$I$40)</f>
        <v>0</v>
      </c>
      <c r="K780" s="27"/>
    </row>
    <row r="781" spans="1:11">
      <c r="A781" s="21"/>
      <c r="B781" s="21"/>
      <c r="C781" s="21"/>
      <c r="D781" s="18" t="str">
        <f>'0信息维护'!A$31</f>
        <v>课程目标7</v>
      </c>
      <c r="E781" s="19">
        <f ca="1">OFFSET('1课程考核方式及成绩组成'!$F$10,(ROW(E781)-5)/7,MOD((ROW(E781)-5),7))</f>
        <v>0</v>
      </c>
      <c r="F781" s="19">
        <f ca="1">OFFSET('1课程考核方式及成绩组成'!$N$10,(ROW(F781)-5)/7,MOD((ROW(F781)-5),7))</f>
        <v>0</v>
      </c>
      <c r="G781" s="19">
        <f ca="1">OFFSET('1课程考核方式及成绩组成'!$V$10,(ROW(G781)-5)/7,MOD((ROW(G781)-5),7))</f>
        <v>0</v>
      </c>
      <c r="H781" s="19">
        <f ca="1">OFFSET('1课程考核方式及成绩组成'!$AD$10,(ROW(H781)-5)/7,MOD((ROW(H781)-5),7))</f>
        <v>0</v>
      </c>
      <c r="I781" s="19">
        <f ca="1">OFFSET('1课程考核方式及成绩组成'!$AL$10,(ROW(I781)-5)/7,MOD((ROW(I781)-5),7))</f>
        <v>0</v>
      </c>
      <c r="J781" s="25">
        <f ca="1">IF('0信息维护'!$I$121=0,0,E781/('0信息维护'!$I$121)*'0信息维护'!$E$41*'0信息维护'!$S$31)+IF('0信息维护'!$I$122=0,0,F781/('0信息维护'!$I$122)*'0信息维护'!$E$41*'0信息维护'!$T$31)+IF('0信息维护'!$I$123=0,0,G781/('0信息维护'!$I$123)*'0信息维护'!$E$41*'0信息维护'!$U$31)+IF('0信息维护'!$I$124=0,0,H781/('0信息维护'!$I$124)*'0信息维护'!$E$41*'0信息维护'!$T$31)+IF('0信息维护'!$I$125=0,0,I781/'0信息维护'!$I$125*'0信息维护'!$I$41)</f>
        <v>0</v>
      </c>
      <c r="K781" s="30"/>
    </row>
    <row r="782" spans="1:11">
      <c r="A782" s="17">
        <v>112</v>
      </c>
      <c r="B782" s="17" t="str">
        <f ca="1">OFFSET('1课程考核方式及成绩组成'!$D$10,(ROW(B782)-5)/7,)</f>
        <v>220106136</v>
      </c>
      <c r="C782" s="17" t="str">
        <f ca="1">OFFSET('1课程考核方式及成绩组成'!$E$10,(ROW(C782)-5)/7,)</f>
        <v>钟凯</v>
      </c>
      <c r="D782" s="18" t="str">
        <f>'0信息维护'!A$25</f>
        <v>课程目标1</v>
      </c>
      <c r="E782" s="19">
        <f ca="1">OFFSET('1课程考核方式及成绩组成'!$F$10,(ROW(E782)-5)/7,MOD((ROW(E782)-5),7))</f>
        <v>35</v>
      </c>
      <c r="F782" s="19">
        <f ca="1">OFFSET('1课程考核方式及成绩组成'!$N$10,(ROW(F782)-5)/7,MOD((ROW(F782)-5),7))</f>
        <v>0</v>
      </c>
      <c r="G782" s="19">
        <f ca="1">OFFSET('1课程考核方式及成绩组成'!$V$10,(ROW(G782)-5)/7,MOD((ROW(G782)-5),7))</f>
        <v>0</v>
      </c>
      <c r="H782" s="19">
        <f ca="1">OFFSET('1课程考核方式及成绩组成'!$AD$10,(ROW(H782)-5)/7,MOD((ROW(H782)-5),7))</f>
        <v>0</v>
      </c>
      <c r="I782" s="19">
        <f ca="1">OFFSET('1课程考核方式及成绩组成'!$AL$10,(ROW(I782)-5)/7,MOD((ROW(I782)-5),7))</f>
        <v>32</v>
      </c>
      <c r="J782" s="25">
        <f ca="1">IF('0信息维护'!$I$85=0,0,E782/('0信息维护'!$I$85)*'0信息维护'!$E$35*'0信息维护'!$S$25)+IF('0信息维护'!$I$86=0,0,F782/('0信息维护'!$I$86)*'0信息维护'!$E$35*'0信息维护'!$T$25)+IF('0信息维护'!$I$87=0,0,G782/('0信息维护'!$I$87)*'0信息维护'!$E$35*'0信息维护'!$U$25)+IF('0信息维护'!$I$88=0,0,H782/('0信息维护'!$I$88)*'0信息维护'!$E$35*'0信息维护'!$V$25)+IF('0信息维护'!$I$89=0,0,I782/'0信息维护'!$I$89*'0信息维护'!$I$35)</f>
        <v>0.881944444444444</v>
      </c>
      <c r="K782" s="26">
        <f ca="1">J782*'0信息维护'!$D$132+J783*'0信息维护'!$D$133+J784*'0信息维护'!$D$134+J785*'0信息维护'!$D$135+J786*'0信息维护'!$D$136+J787*'0信息维护'!$D$137+J788*'0信息维护'!$D$138</f>
        <v>0.82055637254902</v>
      </c>
    </row>
    <row r="783" spans="1:14">
      <c r="A783" s="20"/>
      <c r="B783" s="20"/>
      <c r="C783" s="20"/>
      <c r="D783" s="18" t="str">
        <f>'0信息维护'!A$26</f>
        <v>课程目标2</v>
      </c>
      <c r="E783" s="19">
        <f ca="1">OFFSET('1课程考核方式及成绩组成'!$F$10,(ROW(E783)-5)/7,MOD((ROW(E783)-5),7))</f>
        <v>53</v>
      </c>
      <c r="F783" s="19">
        <f ca="1">OFFSET('1课程考核方式及成绩组成'!$N$10,(ROW(F783)-5)/7,MOD((ROW(F783)-5),7))</f>
        <v>0</v>
      </c>
      <c r="G783" s="19">
        <f ca="1">OFFSET('1课程考核方式及成绩组成'!$V$10,(ROW(G783)-5)/7,MOD((ROW(G783)-5),7))</f>
        <v>0</v>
      </c>
      <c r="H783" s="19">
        <f ca="1">OFFSET('1课程考核方式及成绩组成'!$AD$10,(ROW(H783)-5)/7,MOD((ROW(H783)-5),7))</f>
        <v>0</v>
      </c>
      <c r="I783" s="19">
        <f ca="1">OFFSET('1课程考核方式及成绩组成'!$AL$10,(ROW(I783)-5)/7,MOD((ROW(I783)-5),7))</f>
        <v>26</v>
      </c>
      <c r="J783" s="25">
        <f ca="1">IF('0信息维护'!$I$91=0,0,E783/('0信息维护'!$I$91)*'0信息维护'!$S$26*'0信息维护'!$E$36)+IF('0信息维护'!$I$92=0,0,F783/('0信息维护'!$I$92)*'0信息维护'!$T$26*'0信息维护'!$E$36)+IF('0信息维护'!$I$93=0,0,G783/('0信息维护'!$I$93)*'0信息维护'!$U$26*'0信息维护'!$E$36)+IF('0信息维护'!$I$94=0,0,H783/('0信息维护'!$I$94)*'0信息维护'!$V$26*'0信息维护'!$E$36)+IF('0信息维护'!$I$95=0,0,I783/'0信息维护'!$I$95*'0信息维护'!$I$36)</f>
        <v>0.875</v>
      </c>
      <c r="K783" s="27"/>
      <c r="N783" s="29"/>
    </row>
    <row r="784" spans="1:11">
      <c r="A784" s="20"/>
      <c r="B784" s="20"/>
      <c r="C784" s="20"/>
      <c r="D784" s="18" t="str">
        <f>'0信息维护'!A$27</f>
        <v>课程目标3</v>
      </c>
      <c r="E784" s="19">
        <f ca="1">OFFSET('1课程考核方式及成绩组成'!$F$10,(ROW(E784)-5)/7,MOD((ROW(E784)-5),7))</f>
        <v>0</v>
      </c>
      <c r="F784" s="19">
        <f ca="1">OFFSET('1课程考核方式及成绩组成'!$N$10,(ROW(F784)-5)/7,MOD((ROW(F784)-5),7))</f>
        <v>0</v>
      </c>
      <c r="G784" s="19">
        <f ca="1">OFFSET('1课程考核方式及成绩组成'!$V$10,(ROW(G784)-5)/7,MOD((ROW(G784)-5),7))</f>
        <v>0</v>
      </c>
      <c r="H784" s="19">
        <f ca="1">OFFSET('1课程考核方式及成绩组成'!$AD$10,(ROW(H784)-5)/7,MOD((ROW(H784)-5),7))</f>
        <v>0</v>
      </c>
      <c r="I784" s="19">
        <f ca="1">OFFSET('1课程考核方式及成绩组成'!$AL$10,(ROW(I784)-5)/7,MOD((ROW(I784)-5),7))</f>
        <v>22</v>
      </c>
      <c r="J784" s="25">
        <f ca="1">IF('0信息维护'!$I$97=0,0,E784/('0信息维护'!$I$97)*'0信息维护'!$E$37*'0信息维护'!$S$27)+IF('0信息维护'!$I$98=0,0,F784/('0信息维护'!$I$98)*'0信息维护'!$E$37*'0信息维护'!$T$27)+IF('0信息维护'!$I$99=0,0,G784/('0信息维护'!$I$99)*'0信息维护'!$E$37*'0信息维护'!$U$27)+IF('0信息维护'!$I$100=0,0,H784/('0信息维护'!$I$100)*'0信息维护'!$E$37*'0信息维护'!$V$27)+IF('0信息维护'!$I$101=0,0,I784/'0信息维护'!$I$101*'0信息维护'!$I$37)</f>
        <v>0.647058823529412</v>
      </c>
      <c r="K784" s="27"/>
    </row>
    <row r="785" spans="1:11">
      <c r="A785" s="20"/>
      <c r="B785" s="20"/>
      <c r="C785" s="20"/>
      <c r="D785" s="18" t="str">
        <f>'0信息维护'!A$28</f>
        <v>课程目标4</v>
      </c>
      <c r="E785" s="19">
        <f ca="1">OFFSET('1课程考核方式及成绩组成'!$F$10,(ROW(E785)-5)/7,MOD((ROW(E785)-5),7))</f>
        <v>0</v>
      </c>
      <c r="F785" s="19">
        <f ca="1">OFFSET('1课程考核方式及成绩组成'!$N$10,(ROW(F785)-5)/7,MOD((ROW(F785)-5),7))</f>
        <v>88</v>
      </c>
      <c r="G785" s="19">
        <f ca="1">OFFSET('1课程考核方式及成绩组成'!$V$10,(ROW(G785)-5)/7,MOD((ROW(G785)-5),7))</f>
        <v>0</v>
      </c>
      <c r="H785" s="19">
        <f ca="1">OFFSET('1课程考核方式及成绩组成'!$AD$10,(ROW(H785)-5)/7,MOD((ROW(H785)-5),7))</f>
        <v>0</v>
      </c>
      <c r="I785" s="19">
        <f ca="1">OFFSET('1课程考核方式及成绩组成'!$AL$10,(ROW(I785)-5)/7,MOD((ROW(I785)-5),7))</f>
        <v>0</v>
      </c>
      <c r="J785" s="25">
        <f ca="1">IF('0信息维护'!$I$103=0,0,E785/('0信息维护'!$I$103)*'0信息维护'!$E$38*'0信息维护'!$S$28)+IF('0信息维护'!$I$104=0,0,F785/('0信息维护'!$I$104)*'0信息维护'!$E$38*'0信息维护'!$T$28)+IF('0信息维护'!$I$105=0,0,G785/('0信息维护'!$I$105)*'0信息维护'!$E$38*'0信息维护'!$U$28)+IF('0信息维护'!$I$106=0,0,H785/('0信息维护'!$I$106)*'0信息维护'!$E$38*'0信息维护'!$V$28)+IF('0信息维护'!$I$107=0,0,I785/'0信息维护'!$I$107*'0信息维护'!$I$38)</f>
        <v>0.88</v>
      </c>
      <c r="K785" s="27"/>
    </row>
    <row r="786" spans="1:11">
      <c r="A786" s="20"/>
      <c r="B786" s="20"/>
      <c r="C786" s="20"/>
      <c r="D786" s="18" t="str">
        <f>'0信息维护'!A$29</f>
        <v>课程目标5</v>
      </c>
      <c r="E786" s="19">
        <f ca="1">OFFSET('1课程考核方式及成绩组成'!$F$10,(ROW(E786)-5)/7,MOD((ROW(E786)-5),7))</f>
        <v>0</v>
      </c>
      <c r="F786" s="19">
        <f ca="1">OFFSET('1课程考核方式及成绩组成'!$N$10,(ROW(F786)-5)/7,MOD((ROW(F786)-5),7))</f>
        <v>0</v>
      </c>
      <c r="G786" s="19">
        <f ca="1">OFFSET('1课程考核方式及成绩组成'!$V$10,(ROW(G786)-5)/7,MOD((ROW(G786)-5),7))</f>
        <v>0</v>
      </c>
      <c r="H786" s="19">
        <f ca="1">OFFSET('1课程考核方式及成绩组成'!$AD$10,(ROW(H786)-5)/7,MOD((ROW(H786)-5),7))</f>
        <v>0</v>
      </c>
      <c r="I786" s="19">
        <f ca="1">OFFSET('1课程考核方式及成绩组成'!$AL$10,(ROW(I786)-5)/7,MOD((ROW(I786)-5),7))</f>
        <v>0</v>
      </c>
      <c r="J786" s="25">
        <f ca="1">IF('0信息维护'!$I$109=0,0,E786/('0信息维护'!$I$109)*'0信息维护'!$E$39*'0信息维护'!$S$29)+IF('0信息维护'!$I$110=0,0,F786/('0信息维护'!$I$110)*'0信息维护'!$E$39*'0信息维护'!$T$29)+IF('0信息维护'!$I$111=0,0,G786/('0信息维护'!$I$111)*'0信息维护'!$E$39*'0信息维护'!$U$29)+IF('0信息维护'!$I$112=0,0,H786/('0信息维护'!$I$112)*'0信息维护'!$E$39*'0信息维护'!$V$29)+IF('0信息维护'!$I$113=0,0,I786/'0信息维护'!$I$113*'0信息维护'!$I$39)</f>
        <v>0</v>
      </c>
      <c r="K786" s="27"/>
    </row>
    <row r="787" spans="1:11">
      <c r="A787" s="20"/>
      <c r="B787" s="20"/>
      <c r="C787" s="20"/>
      <c r="D787" s="18" t="str">
        <f>'0信息维护'!A$30</f>
        <v>课程目标6</v>
      </c>
      <c r="E787" s="19">
        <f ca="1">OFFSET('1课程考核方式及成绩组成'!$F$10,(ROW(E787)-5)/7,MOD((ROW(E787)-5),7))</f>
        <v>0</v>
      </c>
      <c r="F787" s="19">
        <f ca="1">OFFSET('1课程考核方式及成绩组成'!$N$10,(ROW(F787)-5)/7,MOD((ROW(F787)-5),7))</f>
        <v>0</v>
      </c>
      <c r="G787" s="19">
        <f ca="1">OFFSET('1课程考核方式及成绩组成'!$V$10,(ROW(G787)-5)/7,MOD((ROW(G787)-5),7))</f>
        <v>0</v>
      </c>
      <c r="H787" s="19">
        <f ca="1">OFFSET('1课程考核方式及成绩组成'!$AD$10,(ROW(H787)-5)/7,MOD((ROW(H787)-5),7))</f>
        <v>0</v>
      </c>
      <c r="I787" s="19">
        <f ca="1">OFFSET('1课程考核方式及成绩组成'!$AL$10,(ROW(I787)-5)/7,MOD((ROW(I787)-5),7))</f>
        <v>0</v>
      </c>
      <c r="J787" s="25">
        <f ca="1">IF('0信息维护'!$I$115=0,0,E787/('0信息维护'!$I$115)*'0信息维护'!$E$40*'0信息维护'!$S$30)+IF('0信息维护'!$I$116=0,0,F787/('0信息维护'!$I$116)*'0信息维护'!$E$40*'0信息维护'!$T$30)+IF('0信息维护'!$I$117=0,0,G787/('0信息维护'!$I$117)*'0信息维护'!$E$40*'0信息维护'!$U$30)+IF('0信息维护'!$I$118=0,0,H787/('0信息维护'!$I$118)*'0信息维护'!$E$40*'0信息维护'!$V$30)+IF('0信息维护'!$I$119=0,0,I787/'0信息维护'!$I$119*'0信息维护'!$I$40)</f>
        <v>0</v>
      </c>
      <c r="K787" s="27"/>
    </row>
    <row r="788" spans="1:11">
      <c r="A788" s="21"/>
      <c r="B788" s="21"/>
      <c r="C788" s="21"/>
      <c r="D788" s="18" t="str">
        <f>'0信息维护'!A$31</f>
        <v>课程目标7</v>
      </c>
      <c r="E788" s="19">
        <f ca="1">OFFSET('1课程考核方式及成绩组成'!$F$10,(ROW(E788)-5)/7,MOD((ROW(E788)-5),7))</f>
        <v>0</v>
      </c>
      <c r="F788" s="19">
        <f ca="1">OFFSET('1课程考核方式及成绩组成'!$N$10,(ROW(F788)-5)/7,MOD((ROW(F788)-5),7))</f>
        <v>0</v>
      </c>
      <c r="G788" s="19">
        <f ca="1">OFFSET('1课程考核方式及成绩组成'!$V$10,(ROW(G788)-5)/7,MOD((ROW(G788)-5),7))</f>
        <v>0</v>
      </c>
      <c r="H788" s="19">
        <f ca="1">OFFSET('1课程考核方式及成绩组成'!$AD$10,(ROW(H788)-5)/7,MOD((ROW(H788)-5),7))</f>
        <v>0</v>
      </c>
      <c r="I788" s="19">
        <f ca="1">OFFSET('1课程考核方式及成绩组成'!$AL$10,(ROW(I788)-5)/7,MOD((ROW(I788)-5),7))</f>
        <v>0</v>
      </c>
      <c r="J788" s="25">
        <f ca="1">IF('0信息维护'!$I$121=0,0,E788/('0信息维护'!$I$121)*'0信息维护'!$E$41*'0信息维护'!$S$31)+IF('0信息维护'!$I$122=0,0,F788/('0信息维护'!$I$122)*'0信息维护'!$E$41*'0信息维护'!$T$31)+IF('0信息维护'!$I$123=0,0,G788/('0信息维护'!$I$123)*'0信息维护'!$E$41*'0信息维护'!$U$31)+IF('0信息维护'!$I$124=0,0,H788/('0信息维护'!$I$124)*'0信息维护'!$E$41*'0信息维护'!$T$31)+IF('0信息维护'!$I$125=0,0,I788/'0信息维护'!$I$125*'0信息维护'!$I$41)</f>
        <v>0</v>
      </c>
      <c r="K788" s="30"/>
    </row>
    <row r="789" spans="1:11">
      <c r="A789" s="17">
        <v>113</v>
      </c>
      <c r="B789" s="17" t="str">
        <f ca="1">OFFSET('1课程考核方式及成绩组成'!$D$10,(ROW(B789)-5)/7,)</f>
        <v>220106137</v>
      </c>
      <c r="C789" s="17" t="str">
        <f ca="1">OFFSET('1课程考核方式及成绩组成'!$E$10,(ROW(C789)-5)/7,)</f>
        <v>龚代亿</v>
      </c>
      <c r="D789" s="18" t="str">
        <f>'0信息维护'!A$25</f>
        <v>课程目标1</v>
      </c>
      <c r="E789" s="19">
        <f ca="1">OFFSET('1课程考核方式及成绩组成'!$F$10,(ROW(E789)-5)/7,MOD((ROW(E789)-5),7))</f>
        <v>34</v>
      </c>
      <c r="F789" s="19">
        <f ca="1">OFFSET('1课程考核方式及成绩组成'!$N$10,(ROW(F789)-5)/7,MOD((ROW(F789)-5),7))</f>
        <v>0</v>
      </c>
      <c r="G789" s="19">
        <f ca="1">OFFSET('1课程考核方式及成绩组成'!$V$10,(ROW(G789)-5)/7,MOD((ROW(G789)-5),7))</f>
        <v>0</v>
      </c>
      <c r="H789" s="19">
        <f ca="1">OFFSET('1课程考核方式及成绩组成'!$AD$10,(ROW(H789)-5)/7,MOD((ROW(H789)-5),7))</f>
        <v>0</v>
      </c>
      <c r="I789" s="19">
        <f ca="1">OFFSET('1课程考核方式及成绩组成'!$AL$10,(ROW(I789)-5)/7,MOD((ROW(I789)-5),7))</f>
        <v>22</v>
      </c>
      <c r="J789" s="25">
        <f ca="1">IF('0信息维护'!$I$85=0,0,E789/('0信息维护'!$I$85)*'0信息维护'!$E$35*'0信息维护'!$S$25)+IF('0信息维护'!$I$86=0,0,F789/('0信息维护'!$I$86)*'0信息维护'!$E$35*'0信息维护'!$T$25)+IF('0信息维护'!$I$87=0,0,G789/('0信息维护'!$I$87)*'0信息维护'!$E$35*'0信息维护'!$U$25)+IF('0信息维护'!$I$88=0,0,H789/('0信息维护'!$I$88)*'0信息维护'!$E$35*'0信息维护'!$V$25)+IF('0信息维护'!$I$89=0,0,I789/'0信息维护'!$I$89*'0信息维护'!$I$35)</f>
        <v>0.730555555555556</v>
      </c>
      <c r="K789" s="26">
        <f ca="1">J789*'0信息维护'!$D$132+J790*'0信息维护'!$D$133+J791*'0信息维护'!$D$134+J792*'0信息维护'!$D$135+J793*'0信息维护'!$D$136+J794*'0信息维护'!$D$137+J795*'0信息维护'!$D$138</f>
        <v>0.702789215686275</v>
      </c>
    </row>
    <row r="790" spans="1:14">
      <c r="A790" s="20"/>
      <c r="B790" s="20"/>
      <c r="C790" s="20"/>
      <c r="D790" s="18" t="str">
        <f>'0信息维护'!A$26</f>
        <v>课程目标2</v>
      </c>
      <c r="E790" s="19">
        <f ca="1">OFFSET('1课程考核方式及成绩组成'!$F$10,(ROW(E790)-5)/7,MOD((ROW(E790)-5),7))</f>
        <v>51</v>
      </c>
      <c r="F790" s="19">
        <f ca="1">OFFSET('1课程考核方式及成绩组成'!$N$10,(ROW(F790)-5)/7,MOD((ROW(F790)-5),7))</f>
        <v>0</v>
      </c>
      <c r="G790" s="19">
        <f ca="1">OFFSET('1课程考核方式及成绩组成'!$V$10,(ROW(G790)-5)/7,MOD((ROW(G790)-5),7))</f>
        <v>0</v>
      </c>
      <c r="H790" s="19">
        <f ca="1">OFFSET('1课程考核方式及成绩组成'!$AD$10,(ROW(H790)-5)/7,MOD((ROW(H790)-5),7))</f>
        <v>0</v>
      </c>
      <c r="I790" s="19">
        <f ca="1">OFFSET('1课程考核方式及成绩组成'!$AL$10,(ROW(I790)-5)/7,MOD((ROW(I790)-5),7))</f>
        <v>19</v>
      </c>
      <c r="J790" s="25">
        <f ca="1">IF('0信息维护'!$I$91=0,0,E790/('0信息维护'!$I$91)*'0信息维护'!$S$26*'0信息维护'!$E$36)+IF('0信息维护'!$I$92=0,0,F790/('0信息维护'!$I$92)*'0信息维护'!$T$26*'0信息维护'!$E$36)+IF('0信息维护'!$I$93=0,0,G790/('0信息维护'!$I$93)*'0信息维护'!$U$26*'0信息维护'!$E$36)+IF('0信息维护'!$I$94=0,0,H790/('0信息维护'!$I$94)*'0信息维护'!$V$26*'0信息维护'!$E$36)+IF('0信息维护'!$I$95=0,0,I790/'0信息维护'!$I$95*'0信息维护'!$I$36)</f>
        <v>0.741666666666667</v>
      </c>
      <c r="K790" s="27"/>
      <c r="N790" s="29"/>
    </row>
    <row r="791" spans="1:11">
      <c r="A791" s="20"/>
      <c r="B791" s="20"/>
      <c r="C791" s="20"/>
      <c r="D791" s="18" t="str">
        <f>'0信息维护'!A$27</f>
        <v>课程目标3</v>
      </c>
      <c r="E791" s="19">
        <f ca="1">OFFSET('1课程考核方式及成绩组成'!$F$10,(ROW(E791)-5)/7,MOD((ROW(E791)-5),7))</f>
        <v>0</v>
      </c>
      <c r="F791" s="19">
        <f ca="1">OFFSET('1课程考核方式及成绩组成'!$N$10,(ROW(F791)-5)/7,MOD((ROW(F791)-5),7))</f>
        <v>0</v>
      </c>
      <c r="G791" s="19">
        <f ca="1">OFFSET('1课程考核方式及成绩组成'!$V$10,(ROW(G791)-5)/7,MOD((ROW(G791)-5),7))</f>
        <v>0</v>
      </c>
      <c r="H791" s="19">
        <f ca="1">OFFSET('1课程考核方式及成绩组成'!$AD$10,(ROW(H791)-5)/7,MOD((ROW(H791)-5),7))</f>
        <v>0</v>
      </c>
      <c r="I791" s="19">
        <f ca="1">OFFSET('1课程考核方式及成绩组成'!$AL$10,(ROW(I791)-5)/7,MOD((ROW(I791)-5),7))</f>
        <v>19</v>
      </c>
      <c r="J791" s="25">
        <f ca="1">IF('0信息维护'!$I$97=0,0,E791/('0信息维护'!$I$97)*'0信息维护'!$E$37*'0信息维护'!$S$27)+IF('0信息维护'!$I$98=0,0,F791/('0信息维护'!$I$98)*'0信息维护'!$E$37*'0信息维护'!$T$27)+IF('0信息维护'!$I$99=0,0,G791/('0信息维护'!$I$99)*'0信息维护'!$E$37*'0信息维护'!$U$27)+IF('0信息维护'!$I$100=0,0,H791/('0信息维护'!$I$100)*'0信息维护'!$E$37*'0信息维护'!$V$27)+IF('0信息维护'!$I$101=0,0,I791/'0信息维护'!$I$101*'0信息维护'!$I$37)</f>
        <v>0.558823529411765</v>
      </c>
      <c r="K791" s="27"/>
    </row>
    <row r="792" spans="1:11">
      <c r="A792" s="20"/>
      <c r="B792" s="20"/>
      <c r="C792" s="20"/>
      <c r="D792" s="18" t="str">
        <f>'0信息维护'!A$28</f>
        <v>课程目标4</v>
      </c>
      <c r="E792" s="19">
        <f ca="1">OFFSET('1课程考核方式及成绩组成'!$F$10,(ROW(E792)-5)/7,MOD((ROW(E792)-5),7))</f>
        <v>0</v>
      </c>
      <c r="F792" s="19">
        <f ca="1">OFFSET('1课程考核方式及成绩组成'!$N$10,(ROW(F792)-5)/7,MOD((ROW(F792)-5),7))</f>
        <v>77</v>
      </c>
      <c r="G792" s="19">
        <f ca="1">OFFSET('1课程考核方式及成绩组成'!$V$10,(ROW(G792)-5)/7,MOD((ROW(G792)-5),7))</f>
        <v>0</v>
      </c>
      <c r="H792" s="19">
        <f ca="1">OFFSET('1课程考核方式及成绩组成'!$AD$10,(ROW(H792)-5)/7,MOD((ROW(H792)-5),7))</f>
        <v>0</v>
      </c>
      <c r="I792" s="19">
        <f ca="1">OFFSET('1课程考核方式及成绩组成'!$AL$10,(ROW(I792)-5)/7,MOD((ROW(I792)-5),7))</f>
        <v>0</v>
      </c>
      <c r="J792" s="25">
        <f ca="1">IF('0信息维护'!$I$103=0,0,E792/('0信息维护'!$I$103)*'0信息维护'!$E$38*'0信息维护'!$S$28)+IF('0信息维护'!$I$104=0,0,F792/('0信息维护'!$I$104)*'0信息维护'!$E$38*'0信息维护'!$T$28)+IF('0信息维护'!$I$105=0,0,G792/('0信息维护'!$I$105)*'0信息维护'!$E$38*'0信息维护'!$U$28)+IF('0信息维护'!$I$106=0,0,H792/('0信息维护'!$I$106)*'0信息维护'!$E$38*'0信息维护'!$V$28)+IF('0信息维护'!$I$107=0,0,I792/'0信息维护'!$I$107*'0信息维护'!$I$38)</f>
        <v>0.77</v>
      </c>
      <c r="K792" s="27"/>
    </row>
    <row r="793" spans="1:11">
      <c r="A793" s="20"/>
      <c r="B793" s="20"/>
      <c r="C793" s="20"/>
      <c r="D793" s="18" t="str">
        <f>'0信息维护'!A$29</f>
        <v>课程目标5</v>
      </c>
      <c r="E793" s="19">
        <f ca="1">OFFSET('1课程考核方式及成绩组成'!$F$10,(ROW(E793)-5)/7,MOD((ROW(E793)-5),7))</f>
        <v>0</v>
      </c>
      <c r="F793" s="19">
        <f ca="1">OFFSET('1课程考核方式及成绩组成'!$N$10,(ROW(F793)-5)/7,MOD((ROW(F793)-5),7))</f>
        <v>0</v>
      </c>
      <c r="G793" s="19">
        <f ca="1">OFFSET('1课程考核方式及成绩组成'!$V$10,(ROW(G793)-5)/7,MOD((ROW(G793)-5),7))</f>
        <v>0</v>
      </c>
      <c r="H793" s="19">
        <f ca="1">OFFSET('1课程考核方式及成绩组成'!$AD$10,(ROW(H793)-5)/7,MOD((ROW(H793)-5),7))</f>
        <v>0</v>
      </c>
      <c r="I793" s="19">
        <f ca="1">OFFSET('1课程考核方式及成绩组成'!$AL$10,(ROW(I793)-5)/7,MOD((ROW(I793)-5),7))</f>
        <v>0</v>
      </c>
      <c r="J793" s="25">
        <f ca="1">IF('0信息维护'!$I$109=0,0,E793/('0信息维护'!$I$109)*'0信息维护'!$E$39*'0信息维护'!$S$29)+IF('0信息维护'!$I$110=0,0,F793/('0信息维护'!$I$110)*'0信息维护'!$E$39*'0信息维护'!$T$29)+IF('0信息维护'!$I$111=0,0,G793/('0信息维护'!$I$111)*'0信息维护'!$E$39*'0信息维护'!$U$29)+IF('0信息维护'!$I$112=0,0,H793/('0信息维护'!$I$112)*'0信息维护'!$E$39*'0信息维护'!$V$29)+IF('0信息维护'!$I$113=0,0,I793/'0信息维护'!$I$113*'0信息维护'!$I$39)</f>
        <v>0</v>
      </c>
      <c r="K793" s="27"/>
    </row>
    <row r="794" spans="1:11">
      <c r="A794" s="20"/>
      <c r="B794" s="20"/>
      <c r="C794" s="20"/>
      <c r="D794" s="18" t="str">
        <f>'0信息维护'!A$30</f>
        <v>课程目标6</v>
      </c>
      <c r="E794" s="19">
        <f ca="1">OFFSET('1课程考核方式及成绩组成'!$F$10,(ROW(E794)-5)/7,MOD((ROW(E794)-5),7))</f>
        <v>0</v>
      </c>
      <c r="F794" s="19">
        <f ca="1">OFFSET('1课程考核方式及成绩组成'!$N$10,(ROW(F794)-5)/7,MOD((ROW(F794)-5),7))</f>
        <v>0</v>
      </c>
      <c r="G794" s="19">
        <f ca="1">OFFSET('1课程考核方式及成绩组成'!$V$10,(ROW(G794)-5)/7,MOD((ROW(G794)-5),7))</f>
        <v>0</v>
      </c>
      <c r="H794" s="19">
        <f ca="1">OFFSET('1课程考核方式及成绩组成'!$AD$10,(ROW(H794)-5)/7,MOD((ROW(H794)-5),7))</f>
        <v>0</v>
      </c>
      <c r="I794" s="19">
        <f ca="1">OFFSET('1课程考核方式及成绩组成'!$AL$10,(ROW(I794)-5)/7,MOD((ROW(I794)-5),7))</f>
        <v>0</v>
      </c>
      <c r="J794" s="25">
        <f ca="1">IF('0信息维护'!$I$115=0,0,E794/('0信息维护'!$I$115)*'0信息维护'!$E$40*'0信息维护'!$S$30)+IF('0信息维护'!$I$116=0,0,F794/('0信息维护'!$I$116)*'0信息维护'!$E$40*'0信息维护'!$T$30)+IF('0信息维护'!$I$117=0,0,G794/('0信息维护'!$I$117)*'0信息维护'!$E$40*'0信息维护'!$U$30)+IF('0信息维护'!$I$118=0,0,H794/('0信息维护'!$I$118)*'0信息维护'!$E$40*'0信息维护'!$V$30)+IF('0信息维护'!$I$119=0,0,I794/'0信息维护'!$I$119*'0信息维护'!$I$40)</f>
        <v>0</v>
      </c>
      <c r="K794" s="27"/>
    </row>
    <row r="795" spans="1:11">
      <c r="A795" s="21"/>
      <c r="B795" s="21"/>
      <c r="C795" s="21"/>
      <c r="D795" s="18" t="str">
        <f>'0信息维护'!A$31</f>
        <v>课程目标7</v>
      </c>
      <c r="E795" s="19">
        <f ca="1">OFFSET('1课程考核方式及成绩组成'!$F$10,(ROW(E795)-5)/7,MOD((ROW(E795)-5),7))</f>
        <v>0</v>
      </c>
      <c r="F795" s="19">
        <f ca="1">OFFSET('1课程考核方式及成绩组成'!$N$10,(ROW(F795)-5)/7,MOD((ROW(F795)-5),7))</f>
        <v>0</v>
      </c>
      <c r="G795" s="19">
        <f ca="1">OFFSET('1课程考核方式及成绩组成'!$V$10,(ROW(G795)-5)/7,MOD((ROW(G795)-5),7))</f>
        <v>0</v>
      </c>
      <c r="H795" s="19">
        <f ca="1">OFFSET('1课程考核方式及成绩组成'!$AD$10,(ROW(H795)-5)/7,MOD((ROW(H795)-5),7))</f>
        <v>0</v>
      </c>
      <c r="I795" s="19">
        <f ca="1">OFFSET('1课程考核方式及成绩组成'!$AL$10,(ROW(I795)-5)/7,MOD((ROW(I795)-5),7))</f>
        <v>0</v>
      </c>
      <c r="J795" s="25">
        <f ca="1">IF('0信息维护'!$I$121=0,0,E795/('0信息维护'!$I$121)*'0信息维护'!$E$41*'0信息维护'!$S$31)+IF('0信息维护'!$I$122=0,0,F795/('0信息维护'!$I$122)*'0信息维护'!$E$41*'0信息维护'!$T$31)+IF('0信息维护'!$I$123=0,0,G795/('0信息维护'!$I$123)*'0信息维护'!$E$41*'0信息维护'!$U$31)+IF('0信息维护'!$I$124=0,0,H795/('0信息维护'!$I$124)*'0信息维护'!$E$41*'0信息维护'!$T$31)+IF('0信息维护'!$I$125=0,0,I795/'0信息维护'!$I$125*'0信息维护'!$I$41)</f>
        <v>0</v>
      </c>
      <c r="K795" s="30"/>
    </row>
    <row r="796" spans="1:11">
      <c r="A796" s="17">
        <v>114</v>
      </c>
      <c r="B796" s="17" t="str">
        <f ca="1">OFFSET('1课程考核方式及成绩组成'!$D$10,(ROW(B796)-5)/7,)</f>
        <v>220106138</v>
      </c>
      <c r="C796" s="17" t="str">
        <f ca="1">OFFSET('1课程考核方式及成绩组成'!$E$10,(ROW(C796)-5)/7,)</f>
        <v>陈子俊</v>
      </c>
      <c r="D796" s="18" t="str">
        <f>'0信息维护'!A$25</f>
        <v>课程目标1</v>
      </c>
      <c r="E796" s="19">
        <f ca="1">OFFSET('1课程考核方式及成绩组成'!$F$10,(ROW(E796)-5)/7,MOD((ROW(E796)-5),7))</f>
        <v>32</v>
      </c>
      <c r="F796" s="19">
        <f ca="1">OFFSET('1课程考核方式及成绩组成'!$N$10,(ROW(F796)-5)/7,MOD((ROW(F796)-5),7))</f>
        <v>0</v>
      </c>
      <c r="G796" s="19">
        <f ca="1">OFFSET('1课程考核方式及成绩组成'!$V$10,(ROW(G796)-5)/7,MOD((ROW(G796)-5),7))</f>
        <v>0</v>
      </c>
      <c r="H796" s="19">
        <f ca="1">OFFSET('1课程考核方式及成绩组成'!$AD$10,(ROW(H796)-5)/7,MOD((ROW(H796)-5),7))</f>
        <v>0</v>
      </c>
      <c r="I796" s="19">
        <f ca="1">OFFSET('1课程考核方式及成绩组成'!$AL$10,(ROW(I796)-5)/7,MOD((ROW(I796)-5),7))</f>
        <v>12</v>
      </c>
      <c r="J796" s="25">
        <f ca="1">IF('0信息维护'!$I$85=0,0,E796/('0信息维护'!$I$85)*'0信息维护'!$E$35*'0信息维护'!$S$25)+IF('0信息维护'!$I$86=0,0,F796/('0信息维护'!$I$86)*'0信息维护'!$E$35*'0信息维护'!$T$25)+IF('0信息维护'!$I$87=0,0,G796/('0信息维护'!$I$87)*'0信息维护'!$E$35*'0信息维护'!$U$25)+IF('0信息维护'!$I$88=0,0,H796/('0信息维护'!$I$88)*'0信息维护'!$E$35*'0信息维护'!$V$25)+IF('0信息维护'!$I$89=0,0,I796/'0信息维护'!$I$89*'0信息维护'!$I$35)</f>
        <v>0.566666666666667</v>
      </c>
      <c r="K796" s="26">
        <f ca="1">J796*'0信息维护'!$D$132+J797*'0信息维护'!$D$133+J798*'0信息维护'!$D$134+J799*'0信息维护'!$D$135+J800*'0信息维护'!$D$136+J801*'0信息维护'!$D$137+J802*'0信息维护'!$D$138</f>
        <v>0.658647058823529</v>
      </c>
    </row>
    <row r="797" spans="1:14">
      <c r="A797" s="20"/>
      <c r="B797" s="20"/>
      <c r="C797" s="20"/>
      <c r="D797" s="18" t="str">
        <f>'0信息维护'!A$26</f>
        <v>课程目标2</v>
      </c>
      <c r="E797" s="19">
        <f ca="1">OFFSET('1课程考核方式及成绩组成'!$F$10,(ROW(E797)-5)/7,MOD((ROW(E797)-5),7))</f>
        <v>50</v>
      </c>
      <c r="F797" s="19">
        <f ca="1">OFFSET('1课程考核方式及成绩组成'!$N$10,(ROW(F797)-5)/7,MOD((ROW(F797)-5),7))</f>
        <v>0</v>
      </c>
      <c r="G797" s="19">
        <f ca="1">OFFSET('1课程考核方式及成绩组成'!$V$10,(ROW(G797)-5)/7,MOD((ROW(G797)-5),7))</f>
        <v>0</v>
      </c>
      <c r="H797" s="19">
        <f ca="1">OFFSET('1课程考核方式及成绩组成'!$AD$10,(ROW(H797)-5)/7,MOD((ROW(H797)-5),7))</f>
        <v>0</v>
      </c>
      <c r="I797" s="19">
        <f ca="1">OFFSET('1课程考核方式及成绩组成'!$AL$10,(ROW(I797)-5)/7,MOD((ROW(I797)-5),7))</f>
        <v>20</v>
      </c>
      <c r="J797" s="25">
        <f ca="1">IF('0信息维护'!$I$91=0,0,E797/('0信息维护'!$I$91)*'0信息维护'!$S$26*'0信息维护'!$E$36)+IF('0信息维护'!$I$92=0,0,F797/('0信息维护'!$I$92)*'0信息维护'!$T$26*'0信息维护'!$E$36)+IF('0信息维护'!$I$93=0,0,G797/('0信息维护'!$I$93)*'0信息维护'!$U$26*'0信息维护'!$E$36)+IF('0信息维护'!$I$94=0,0,H797/('0信息维护'!$I$94)*'0信息维护'!$V$26*'0信息维护'!$E$36)+IF('0信息维护'!$I$95=0,0,I797/'0信息维护'!$I$95*'0信息维护'!$I$36)</f>
        <v>0.75</v>
      </c>
      <c r="K797" s="27"/>
      <c r="N797" s="29"/>
    </row>
    <row r="798" spans="1:11">
      <c r="A798" s="20"/>
      <c r="B798" s="20"/>
      <c r="C798" s="20"/>
      <c r="D798" s="18" t="str">
        <f>'0信息维护'!A$27</f>
        <v>课程目标3</v>
      </c>
      <c r="E798" s="19">
        <f ca="1">OFFSET('1课程考核方式及成绩组成'!$F$10,(ROW(E798)-5)/7,MOD((ROW(E798)-5),7))</f>
        <v>0</v>
      </c>
      <c r="F798" s="19">
        <f ca="1">OFFSET('1课程考核方式及成绩组成'!$N$10,(ROW(F798)-5)/7,MOD((ROW(F798)-5),7))</f>
        <v>0</v>
      </c>
      <c r="G798" s="19">
        <f ca="1">OFFSET('1课程考核方式及成绩组成'!$V$10,(ROW(G798)-5)/7,MOD((ROW(G798)-5),7))</f>
        <v>0</v>
      </c>
      <c r="H798" s="19">
        <f ca="1">OFFSET('1课程考核方式及成绩组成'!$AD$10,(ROW(H798)-5)/7,MOD((ROW(H798)-5),7))</f>
        <v>0</v>
      </c>
      <c r="I798" s="19">
        <f ca="1">OFFSET('1课程考核方式及成绩组成'!$AL$10,(ROW(I798)-5)/7,MOD((ROW(I798)-5),7))</f>
        <v>16</v>
      </c>
      <c r="J798" s="25">
        <f ca="1">IF('0信息维护'!$I$97=0,0,E798/('0信息维护'!$I$97)*'0信息维护'!$E$37*'0信息维护'!$S$27)+IF('0信息维护'!$I$98=0,0,F798/('0信息维护'!$I$98)*'0信息维护'!$E$37*'0信息维护'!$T$27)+IF('0信息维护'!$I$99=0,0,G798/('0信息维护'!$I$99)*'0信息维护'!$E$37*'0信息维护'!$U$27)+IF('0信息维护'!$I$100=0,0,H798/('0信息维护'!$I$100)*'0信息维护'!$E$37*'0信息维护'!$V$27)+IF('0信息维护'!$I$101=0,0,I798/'0信息维护'!$I$101*'0信息维护'!$I$37)</f>
        <v>0.470588235294118</v>
      </c>
      <c r="K798" s="27"/>
    </row>
    <row r="799" spans="1:11">
      <c r="A799" s="20"/>
      <c r="B799" s="20"/>
      <c r="C799" s="20"/>
      <c r="D799" s="18" t="str">
        <f>'0信息维护'!A$28</f>
        <v>课程目标4</v>
      </c>
      <c r="E799" s="19">
        <f ca="1">OFFSET('1课程考核方式及成绩组成'!$F$10,(ROW(E799)-5)/7,MOD((ROW(E799)-5),7))</f>
        <v>0</v>
      </c>
      <c r="F799" s="19">
        <f ca="1">OFFSET('1课程考核方式及成绩组成'!$N$10,(ROW(F799)-5)/7,MOD((ROW(F799)-5),7))</f>
        <v>77</v>
      </c>
      <c r="G799" s="19">
        <f ca="1">OFFSET('1课程考核方式及成绩组成'!$V$10,(ROW(G799)-5)/7,MOD((ROW(G799)-5),7))</f>
        <v>0</v>
      </c>
      <c r="H799" s="19">
        <f ca="1">OFFSET('1课程考核方式及成绩组成'!$AD$10,(ROW(H799)-5)/7,MOD((ROW(H799)-5),7))</f>
        <v>0</v>
      </c>
      <c r="I799" s="19">
        <f ca="1">OFFSET('1课程考核方式及成绩组成'!$AL$10,(ROW(I799)-5)/7,MOD((ROW(I799)-5),7))</f>
        <v>0</v>
      </c>
      <c r="J799" s="25">
        <f ca="1">IF('0信息维护'!$I$103=0,0,E799/('0信息维护'!$I$103)*'0信息维护'!$E$38*'0信息维护'!$S$28)+IF('0信息维护'!$I$104=0,0,F799/('0信息维护'!$I$104)*'0信息维护'!$E$38*'0信息维护'!$T$28)+IF('0信息维护'!$I$105=0,0,G799/('0信息维护'!$I$105)*'0信息维护'!$E$38*'0信息维护'!$U$28)+IF('0信息维护'!$I$106=0,0,H799/('0信息维护'!$I$106)*'0信息维护'!$E$38*'0信息维护'!$V$28)+IF('0信息维护'!$I$107=0,0,I799/'0信息维护'!$I$107*'0信息维护'!$I$38)</f>
        <v>0.77</v>
      </c>
      <c r="K799" s="27"/>
    </row>
    <row r="800" spans="1:11">
      <c r="A800" s="20"/>
      <c r="B800" s="20"/>
      <c r="C800" s="20"/>
      <c r="D800" s="18" t="str">
        <f>'0信息维护'!A$29</f>
        <v>课程目标5</v>
      </c>
      <c r="E800" s="19">
        <f ca="1">OFFSET('1课程考核方式及成绩组成'!$F$10,(ROW(E800)-5)/7,MOD((ROW(E800)-5),7))</f>
        <v>0</v>
      </c>
      <c r="F800" s="19">
        <f ca="1">OFFSET('1课程考核方式及成绩组成'!$N$10,(ROW(F800)-5)/7,MOD((ROW(F800)-5),7))</f>
        <v>0</v>
      </c>
      <c r="G800" s="19">
        <f ca="1">OFFSET('1课程考核方式及成绩组成'!$V$10,(ROW(G800)-5)/7,MOD((ROW(G800)-5),7))</f>
        <v>0</v>
      </c>
      <c r="H800" s="19">
        <f ca="1">OFFSET('1课程考核方式及成绩组成'!$AD$10,(ROW(H800)-5)/7,MOD((ROW(H800)-5),7))</f>
        <v>0</v>
      </c>
      <c r="I800" s="19">
        <f ca="1">OFFSET('1课程考核方式及成绩组成'!$AL$10,(ROW(I800)-5)/7,MOD((ROW(I800)-5),7))</f>
        <v>0</v>
      </c>
      <c r="J800" s="25">
        <f ca="1">IF('0信息维护'!$I$109=0,0,E800/('0信息维护'!$I$109)*'0信息维护'!$E$39*'0信息维护'!$S$29)+IF('0信息维护'!$I$110=0,0,F800/('0信息维护'!$I$110)*'0信息维护'!$E$39*'0信息维护'!$T$29)+IF('0信息维护'!$I$111=0,0,G800/('0信息维护'!$I$111)*'0信息维护'!$E$39*'0信息维护'!$U$29)+IF('0信息维护'!$I$112=0,0,H800/('0信息维护'!$I$112)*'0信息维护'!$E$39*'0信息维护'!$V$29)+IF('0信息维护'!$I$113=0,0,I800/'0信息维护'!$I$113*'0信息维护'!$I$39)</f>
        <v>0</v>
      </c>
      <c r="K800" s="27"/>
    </row>
    <row r="801" spans="1:11">
      <c r="A801" s="20"/>
      <c r="B801" s="20"/>
      <c r="C801" s="20"/>
      <c r="D801" s="18" t="str">
        <f>'0信息维护'!A$30</f>
        <v>课程目标6</v>
      </c>
      <c r="E801" s="19">
        <f ca="1">OFFSET('1课程考核方式及成绩组成'!$F$10,(ROW(E801)-5)/7,MOD((ROW(E801)-5),7))</f>
        <v>0</v>
      </c>
      <c r="F801" s="19">
        <f ca="1">OFFSET('1课程考核方式及成绩组成'!$N$10,(ROW(F801)-5)/7,MOD((ROW(F801)-5),7))</f>
        <v>0</v>
      </c>
      <c r="G801" s="19">
        <f ca="1">OFFSET('1课程考核方式及成绩组成'!$V$10,(ROW(G801)-5)/7,MOD((ROW(G801)-5),7))</f>
        <v>0</v>
      </c>
      <c r="H801" s="19">
        <f ca="1">OFFSET('1课程考核方式及成绩组成'!$AD$10,(ROW(H801)-5)/7,MOD((ROW(H801)-5),7))</f>
        <v>0</v>
      </c>
      <c r="I801" s="19">
        <f ca="1">OFFSET('1课程考核方式及成绩组成'!$AL$10,(ROW(I801)-5)/7,MOD((ROW(I801)-5),7))</f>
        <v>0</v>
      </c>
      <c r="J801" s="25">
        <f ca="1">IF('0信息维护'!$I$115=0,0,E801/('0信息维护'!$I$115)*'0信息维护'!$E$40*'0信息维护'!$S$30)+IF('0信息维护'!$I$116=0,0,F801/('0信息维护'!$I$116)*'0信息维护'!$E$40*'0信息维护'!$T$30)+IF('0信息维护'!$I$117=0,0,G801/('0信息维护'!$I$117)*'0信息维护'!$E$40*'0信息维护'!$U$30)+IF('0信息维护'!$I$118=0,0,H801/('0信息维护'!$I$118)*'0信息维护'!$E$40*'0信息维护'!$V$30)+IF('0信息维护'!$I$119=0,0,I801/'0信息维护'!$I$119*'0信息维护'!$I$40)</f>
        <v>0</v>
      </c>
      <c r="K801" s="27"/>
    </row>
    <row r="802" spans="1:11">
      <c r="A802" s="21"/>
      <c r="B802" s="21"/>
      <c r="C802" s="21"/>
      <c r="D802" s="18" t="str">
        <f>'0信息维护'!A$31</f>
        <v>课程目标7</v>
      </c>
      <c r="E802" s="19">
        <f ca="1">OFFSET('1课程考核方式及成绩组成'!$F$10,(ROW(E802)-5)/7,MOD((ROW(E802)-5),7))</f>
        <v>0</v>
      </c>
      <c r="F802" s="19">
        <f ca="1">OFFSET('1课程考核方式及成绩组成'!$N$10,(ROW(F802)-5)/7,MOD((ROW(F802)-5),7))</f>
        <v>0</v>
      </c>
      <c r="G802" s="19">
        <f ca="1">OFFSET('1课程考核方式及成绩组成'!$V$10,(ROW(G802)-5)/7,MOD((ROW(G802)-5),7))</f>
        <v>0</v>
      </c>
      <c r="H802" s="19">
        <f ca="1">OFFSET('1课程考核方式及成绩组成'!$AD$10,(ROW(H802)-5)/7,MOD((ROW(H802)-5),7))</f>
        <v>0</v>
      </c>
      <c r="I802" s="19">
        <f ca="1">OFFSET('1课程考核方式及成绩组成'!$AL$10,(ROW(I802)-5)/7,MOD((ROW(I802)-5),7))</f>
        <v>0</v>
      </c>
      <c r="J802" s="25">
        <f ca="1">IF('0信息维护'!$I$121=0,0,E802/('0信息维护'!$I$121)*'0信息维护'!$E$41*'0信息维护'!$S$31)+IF('0信息维护'!$I$122=0,0,F802/('0信息维护'!$I$122)*'0信息维护'!$E$41*'0信息维护'!$T$31)+IF('0信息维护'!$I$123=0,0,G802/('0信息维护'!$I$123)*'0信息维护'!$E$41*'0信息维护'!$U$31)+IF('0信息维护'!$I$124=0,0,H802/('0信息维护'!$I$124)*'0信息维护'!$E$41*'0信息维护'!$T$31)+IF('0信息维护'!$I$125=0,0,I802/'0信息维护'!$I$125*'0信息维护'!$I$41)</f>
        <v>0</v>
      </c>
      <c r="K802" s="30"/>
    </row>
    <row r="803" spans="1:11">
      <c r="A803" s="17">
        <v>115</v>
      </c>
      <c r="B803" s="17" t="str">
        <f ca="1">OFFSET('1课程考核方式及成绩组成'!$D$10,(ROW(B803)-5)/7,)</f>
        <v>220106139</v>
      </c>
      <c r="C803" s="17" t="str">
        <f ca="1">OFFSET('1课程考核方式及成绩组成'!$E$10,(ROW(C803)-5)/7,)</f>
        <v>杨鑫萍</v>
      </c>
      <c r="D803" s="18" t="str">
        <f>'0信息维护'!A$25</f>
        <v>课程目标1</v>
      </c>
      <c r="E803" s="19">
        <f ca="1">OFFSET('1课程考核方式及成绩组成'!$F$10,(ROW(E803)-5)/7,MOD((ROW(E803)-5),7))</f>
        <v>34</v>
      </c>
      <c r="F803" s="19">
        <f ca="1">OFFSET('1课程考核方式及成绩组成'!$N$10,(ROW(F803)-5)/7,MOD((ROW(F803)-5),7))</f>
        <v>0</v>
      </c>
      <c r="G803" s="19">
        <f ca="1">OFFSET('1课程考核方式及成绩组成'!$V$10,(ROW(G803)-5)/7,MOD((ROW(G803)-5),7))</f>
        <v>0</v>
      </c>
      <c r="H803" s="19">
        <f ca="1">OFFSET('1课程考核方式及成绩组成'!$AD$10,(ROW(H803)-5)/7,MOD((ROW(H803)-5),7))</f>
        <v>0</v>
      </c>
      <c r="I803" s="19">
        <f ca="1">OFFSET('1课程考核方式及成绩组成'!$AL$10,(ROW(I803)-5)/7,MOD((ROW(I803)-5),7))</f>
        <v>30</v>
      </c>
      <c r="J803" s="25">
        <f ca="1">IF('0信息维护'!$I$85=0,0,E803/('0信息维护'!$I$85)*'0信息维护'!$E$35*'0信息维护'!$S$25)+IF('0信息维护'!$I$86=0,0,F803/('0信息维护'!$I$86)*'0信息维护'!$E$35*'0信息维护'!$T$25)+IF('0信息维护'!$I$87=0,0,G803/('0信息维护'!$I$87)*'0信息维护'!$E$35*'0信息维护'!$U$25)+IF('0信息维护'!$I$88=0,0,H803/('0信息维护'!$I$88)*'0信息维护'!$E$35*'0信息维护'!$V$25)+IF('0信息维护'!$I$89=0,0,I803/'0信息维护'!$I$89*'0信息维护'!$I$35)</f>
        <v>0.841666666666667</v>
      </c>
      <c r="K803" s="26">
        <f ca="1">J803*'0信息维护'!$D$132+J804*'0信息维护'!$D$133+J805*'0信息维护'!$D$134+J806*'0信息维护'!$D$135+J807*'0信息维护'!$D$136+J808*'0信息维护'!$D$137+J809*'0信息维护'!$D$138</f>
        <v>0.787161764705882</v>
      </c>
    </row>
    <row r="804" spans="1:14">
      <c r="A804" s="20"/>
      <c r="B804" s="20"/>
      <c r="C804" s="20"/>
      <c r="D804" s="18" t="str">
        <f>'0信息维护'!A$26</f>
        <v>课程目标2</v>
      </c>
      <c r="E804" s="19">
        <f ca="1">OFFSET('1课程考核方式及成绩组成'!$F$10,(ROW(E804)-5)/7,MOD((ROW(E804)-5),7))</f>
        <v>51</v>
      </c>
      <c r="F804" s="19">
        <f ca="1">OFFSET('1课程考核方式及成绩组成'!$N$10,(ROW(F804)-5)/7,MOD((ROW(F804)-5),7))</f>
        <v>0</v>
      </c>
      <c r="G804" s="19">
        <f ca="1">OFFSET('1课程考核方式及成绩组成'!$V$10,(ROW(G804)-5)/7,MOD((ROW(G804)-5),7))</f>
        <v>0</v>
      </c>
      <c r="H804" s="19">
        <f ca="1">OFFSET('1课程考核方式及成绩组成'!$AD$10,(ROW(H804)-5)/7,MOD((ROW(H804)-5),7))</f>
        <v>0</v>
      </c>
      <c r="I804" s="19">
        <f ca="1">OFFSET('1课程考核方式及成绩组成'!$AL$10,(ROW(I804)-5)/7,MOD((ROW(I804)-5),7))</f>
        <v>26</v>
      </c>
      <c r="J804" s="25">
        <f ca="1">IF('0信息维护'!$I$91=0,0,E804/('0信息维护'!$I$91)*'0信息维护'!$S$26*'0信息维护'!$E$36)+IF('0信息维护'!$I$92=0,0,F804/('0信息维护'!$I$92)*'0信息维护'!$T$26*'0信息维护'!$E$36)+IF('0信息维护'!$I$93=0,0,G804/('0信息维护'!$I$93)*'0信息维护'!$U$26*'0信息维护'!$E$36)+IF('0信息维护'!$I$94=0,0,H804/('0信息维护'!$I$94)*'0信息维护'!$V$26*'0信息维护'!$E$36)+IF('0信息维护'!$I$95=0,0,I804/'0信息维护'!$I$95*'0信息维护'!$I$36)</f>
        <v>0.858333333333333</v>
      </c>
      <c r="K804" s="27"/>
      <c r="N804" s="29"/>
    </row>
    <row r="805" spans="1:11">
      <c r="A805" s="20"/>
      <c r="B805" s="20"/>
      <c r="C805" s="20"/>
      <c r="D805" s="18" t="str">
        <f>'0信息维护'!A$27</f>
        <v>课程目标3</v>
      </c>
      <c r="E805" s="19">
        <f ca="1">OFFSET('1课程考核方式及成绩组成'!$F$10,(ROW(E805)-5)/7,MOD((ROW(E805)-5),7))</f>
        <v>0</v>
      </c>
      <c r="F805" s="19">
        <f ca="1">OFFSET('1课程考核方式及成绩组成'!$N$10,(ROW(F805)-5)/7,MOD((ROW(F805)-5),7))</f>
        <v>0</v>
      </c>
      <c r="G805" s="19">
        <f ca="1">OFFSET('1课程考核方式及成绩组成'!$V$10,(ROW(G805)-5)/7,MOD((ROW(G805)-5),7))</f>
        <v>0</v>
      </c>
      <c r="H805" s="19">
        <f ca="1">OFFSET('1课程考核方式及成绩组成'!$AD$10,(ROW(H805)-5)/7,MOD((ROW(H805)-5),7))</f>
        <v>0</v>
      </c>
      <c r="I805" s="19">
        <f ca="1">OFFSET('1课程考核方式及成绩组成'!$AL$10,(ROW(I805)-5)/7,MOD((ROW(I805)-5),7))</f>
        <v>21</v>
      </c>
      <c r="J805" s="25">
        <f ca="1">IF('0信息维护'!$I$97=0,0,E805/('0信息维护'!$I$97)*'0信息维护'!$E$37*'0信息维护'!$S$27)+IF('0信息维护'!$I$98=0,0,F805/('0信息维护'!$I$98)*'0信息维护'!$E$37*'0信息维护'!$T$27)+IF('0信息维护'!$I$99=0,0,G805/('0信息维护'!$I$99)*'0信息维护'!$E$37*'0信息维护'!$U$27)+IF('0信息维护'!$I$100=0,0,H805/('0信息维护'!$I$100)*'0信息维护'!$E$37*'0信息维护'!$V$27)+IF('0信息维护'!$I$101=0,0,I805/'0信息维护'!$I$101*'0信息维护'!$I$37)</f>
        <v>0.617647058823529</v>
      </c>
      <c r="K805" s="27"/>
    </row>
    <row r="806" spans="1:11">
      <c r="A806" s="20"/>
      <c r="B806" s="20"/>
      <c r="C806" s="20"/>
      <c r="D806" s="18" t="str">
        <f>'0信息维护'!A$28</f>
        <v>课程目标4</v>
      </c>
      <c r="E806" s="19">
        <f ca="1">OFFSET('1课程考核方式及成绩组成'!$F$10,(ROW(E806)-5)/7,MOD((ROW(E806)-5),7))</f>
        <v>0</v>
      </c>
      <c r="F806" s="19">
        <f ca="1">OFFSET('1课程考核方式及成绩组成'!$N$10,(ROW(F806)-5)/7,MOD((ROW(F806)-5),7))</f>
        <v>83</v>
      </c>
      <c r="G806" s="19">
        <f ca="1">OFFSET('1课程考核方式及成绩组成'!$V$10,(ROW(G806)-5)/7,MOD((ROW(G806)-5),7))</f>
        <v>0</v>
      </c>
      <c r="H806" s="19">
        <f ca="1">OFFSET('1课程考核方式及成绩组成'!$AD$10,(ROW(H806)-5)/7,MOD((ROW(H806)-5),7))</f>
        <v>0</v>
      </c>
      <c r="I806" s="19">
        <f ca="1">OFFSET('1课程考核方式及成绩组成'!$AL$10,(ROW(I806)-5)/7,MOD((ROW(I806)-5),7))</f>
        <v>0</v>
      </c>
      <c r="J806" s="25">
        <f ca="1">IF('0信息维护'!$I$103=0,0,E806/('0信息维护'!$I$103)*'0信息维护'!$E$38*'0信息维护'!$S$28)+IF('0信息维护'!$I$104=0,0,F806/('0信息维护'!$I$104)*'0信息维护'!$E$38*'0信息维护'!$T$28)+IF('0信息维护'!$I$105=0,0,G806/('0信息维护'!$I$105)*'0信息维护'!$E$38*'0信息维护'!$U$28)+IF('0信息维护'!$I$106=0,0,H806/('0信息维护'!$I$106)*'0信息维护'!$E$38*'0信息维护'!$V$28)+IF('0信息维护'!$I$107=0,0,I806/'0信息维护'!$I$107*'0信息维护'!$I$38)</f>
        <v>0.83</v>
      </c>
      <c r="K806" s="27"/>
    </row>
    <row r="807" spans="1:11">
      <c r="A807" s="20"/>
      <c r="B807" s="20"/>
      <c r="C807" s="20"/>
      <c r="D807" s="18" t="str">
        <f>'0信息维护'!A$29</f>
        <v>课程目标5</v>
      </c>
      <c r="E807" s="19">
        <f ca="1">OFFSET('1课程考核方式及成绩组成'!$F$10,(ROW(E807)-5)/7,MOD((ROW(E807)-5),7))</f>
        <v>0</v>
      </c>
      <c r="F807" s="19">
        <f ca="1">OFFSET('1课程考核方式及成绩组成'!$N$10,(ROW(F807)-5)/7,MOD((ROW(F807)-5),7))</f>
        <v>0</v>
      </c>
      <c r="G807" s="19">
        <f ca="1">OFFSET('1课程考核方式及成绩组成'!$V$10,(ROW(G807)-5)/7,MOD((ROW(G807)-5),7))</f>
        <v>0</v>
      </c>
      <c r="H807" s="19">
        <f ca="1">OFFSET('1课程考核方式及成绩组成'!$AD$10,(ROW(H807)-5)/7,MOD((ROW(H807)-5),7))</f>
        <v>0</v>
      </c>
      <c r="I807" s="19">
        <f ca="1">OFFSET('1课程考核方式及成绩组成'!$AL$10,(ROW(I807)-5)/7,MOD((ROW(I807)-5),7))</f>
        <v>0</v>
      </c>
      <c r="J807" s="25">
        <f ca="1">IF('0信息维护'!$I$109=0,0,E807/('0信息维护'!$I$109)*'0信息维护'!$E$39*'0信息维护'!$S$29)+IF('0信息维护'!$I$110=0,0,F807/('0信息维护'!$I$110)*'0信息维护'!$E$39*'0信息维护'!$T$29)+IF('0信息维护'!$I$111=0,0,G807/('0信息维护'!$I$111)*'0信息维护'!$E$39*'0信息维护'!$U$29)+IF('0信息维护'!$I$112=0,0,H807/('0信息维护'!$I$112)*'0信息维护'!$E$39*'0信息维护'!$V$29)+IF('0信息维护'!$I$113=0,0,I807/'0信息维护'!$I$113*'0信息维护'!$I$39)</f>
        <v>0</v>
      </c>
      <c r="K807" s="27"/>
    </row>
    <row r="808" spans="1:11">
      <c r="A808" s="20"/>
      <c r="B808" s="20"/>
      <c r="C808" s="20"/>
      <c r="D808" s="18" t="str">
        <f>'0信息维护'!A$30</f>
        <v>课程目标6</v>
      </c>
      <c r="E808" s="19">
        <f ca="1">OFFSET('1课程考核方式及成绩组成'!$F$10,(ROW(E808)-5)/7,MOD((ROW(E808)-5),7))</f>
        <v>0</v>
      </c>
      <c r="F808" s="19">
        <f ca="1">OFFSET('1课程考核方式及成绩组成'!$N$10,(ROW(F808)-5)/7,MOD((ROW(F808)-5),7))</f>
        <v>0</v>
      </c>
      <c r="G808" s="19">
        <f ca="1">OFFSET('1课程考核方式及成绩组成'!$V$10,(ROW(G808)-5)/7,MOD((ROW(G808)-5),7))</f>
        <v>0</v>
      </c>
      <c r="H808" s="19">
        <f ca="1">OFFSET('1课程考核方式及成绩组成'!$AD$10,(ROW(H808)-5)/7,MOD((ROW(H808)-5),7))</f>
        <v>0</v>
      </c>
      <c r="I808" s="19">
        <f ca="1">OFFSET('1课程考核方式及成绩组成'!$AL$10,(ROW(I808)-5)/7,MOD((ROW(I808)-5),7))</f>
        <v>0</v>
      </c>
      <c r="J808" s="25">
        <f ca="1">IF('0信息维护'!$I$115=0,0,E808/('0信息维护'!$I$115)*'0信息维护'!$E$40*'0信息维护'!$S$30)+IF('0信息维护'!$I$116=0,0,F808/('0信息维护'!$I$116)*'0信息维护'!$E$40*'0信息维护'!$T$30)+IF('0信息维护'!$I$117=0,0,G808/('0信息维护'!$I$117)*'0信息维护'!$E$40*'0信息维护'!$U$30)+IF('0信息维护'!$I$118=0,0,H808/('0信息维护'!$I$118)*'0信息维护'!$E$40*'0信息维护'!$V$30)+IF('0信息维护'!$I$119=0,0,I808/'0信息维护'!$I$119*'0信息维护'!$I$40)</f>
        <v>0</v>
      </c>
      <c r="K808" s="27"/>
    </row>
    <row r="809" spans="1:11">
      <c r="A809" s="21"/>
      <c r="B809" s="21"/>
      <c r="C809" s="21"/>
      <c r="D809" s="18" t="str">
        <f>'0信息维护'!A$31</f>
        <v>课程目标7</v>
      </c>
      <c r="E809" s="19">
        <f ca="1">OFFSET('1课程考核方式及成绩组成'!$F$10,(ROW(E809)-5)/7,MOD((ROW(E809)-5),7))</f>
        <v>0</v>
      </c>
      <c r="F809" s="19">
        <f ca="1">OFFSET('1课程考核方式及成绩组成'!$N$10,(ROW(F809)-5)/7,MOD((ROW(F809)-5),7))</f>
        <v>0</v>
      </c>
      <c r="G809" s="19">
        <f ca="1">OFFSET('1课程考核方式及成绩组成'!$V$10,(ROW(G809)-5)/7,MOD((ROW(G809)-5),7))</f>
        <v>0</v>
      </c>
      <c r="H809" s="19">
        <f ca="1">OFFSET('1课程考核方式及成绩组成'!$AD$10,(ROW(H809)-5)/7,MOD((ROW(H809)-5),7))</f>
        <v>0</v>
      </c>
      <c r="I809" s="19">
        <f ca="1">OFFSET('1课程考核方式及成绩组成'!$AL$10,(ROW(I809)-5)/7,MOD((ROW(I809)-5),7))</f>
        <v>0</v>
      </c>
      <c r="J809" s="25">
        <f ca="1">IF('0信息维护'!$I$121=0,0,E809/('0信息维护'!$I$121)*'0信息维护'!$E$41*'0信息维护'!$S$31)+IF('0信息维护'!$I$122=0,0,F809/('0信息维护'!$I$122)*'0信息维护'!$E$41*'0信息维护'!$T$31)+IF('0信息维护'!$I$123=0,0,G809/('0信息维护'!$I$123)*'0信息维护'!$E$41*'0信息维护'!$U$31)+IF('0信息维护'!$I$124=0,0,H809/('0信息维护'!$I$124)*'0信息维护'!$E$41*'0信息维护'!$T$31)+IF('0信息维护'!$I$125=0,0,I809/'0信息维护'!$I$125*'0信息维护'!$I$41)</f>
        <v>0</v>
      </c>
      <c r="K809" s="30"/>
    </row>
    <row r="810" spans="1:11">
      <c r="A810" s="17">
        <v>116</v>
      </c>
      <c r="B810" s="17" t="str">
        <f ca="1">OFFSET('1课程考核方式及成绩组成'!$D$10,(ROW(B810)-5)/7,)</f>
        <v>220106140</v>
      </c>
      <c r="C810" s="17" t="str">
        <f ca="1">OFFSET('1课程考核方式及成绩组成'!$E$10,(ROW(C810)-5)/7,)</f>
        <v>刘天祥</v>
      </c>
      <c r="D810" s="18" t="str">
        <f>'0信息维护'!A$25</f>
        <v>课程目标1</v>
      </c>
      <c r="E810" s="19">
        <f ca="1">OFFSET('1课程考核方式及成绩组成'!$F$10,(ROW(E810)-5)/7,MOD((ROW(E810)-5),7))</f>
        <v>32</v>
      </c>
      <c r="F810" s="19">
        <f ca="1">OFFSET('1课程考核方式及成绩组成'!$N$10,(ROW(F810)-5)/7,MOD((ROW(F810)-5),7))</f>
        <v>0</v>
      </c>
      <c r="G810" s="19">
        <f ca="1">OFFSET('1课程考核方式及成绩组成'!$V$10,(ROW(G810)-5)/7,MOD((ROW(G810)-5),7))</f>
        <v>0</v>
      </c>
      <c r="H810" s="19">
        <f ca="1">OFFSET('1课程考核方式及成绩组成'!$AD$10,(ROW(H810)-5)/7,MOD((ROW(H810)-5),7))</f>
        <v>0</v>
      </c>
      <c r="I810" s="19">
        <f ca="1">OFFSET('1课程考核方式及成绩组成'!$AL$10,(ROW(I810)-5)/7,MOD((ROW(I810)-5),7))</f>
        <v>26</v>
      </c>
      <c r="J810" s="25">
        <f ca="1">IF('0信息维护'!$I$85=0,0,E810/('0信息维护'!$I$85)*'0信息维护'!$E$35*'0信息维护'!$S$25)+IF('0信息维护'!$I$86=0,0,F810/('0信息维护'!$I$86)*'0信息维护'!$E$35*'0信息维护'!$T$25)+IF('0信息维护'!$I$87=0,0,G810/('0信息维护'!$I$87)*'0信息维护'!$E$35*'0信息维护'!$U$25)+IF('0信息维护'!$I$88=0,0,H810/('0信息维护'!$I$88)*'0信息维护'!$E$35*'0信息维护'!$V$25)+IF('0信息维护'!$I$89=0,0,I810/'0信息维护'!$I$89*'0信息维护'!$I$35)</f>
        <v>0.761111111111111</v>
      </c>
      <c r="K810" s="26">
        <f ca="1">J810*'0信息维护'!$D$132+J811*'0信息维护'!$D$133+J812*'0信息维护'!$D$134+J813*'0信息维护'!$D$135+J814*'0信息维护'!$D$136+J815*'0信息维护'!$D$137+J816*'0信息维护'!$D$138</f>
        <v>0.651107843137255</v>
      </c>
    </row>
    <row r="811" spans="1:14">
      <c r="A811" s="20"/>
      <c r="B811" s="20"/>
      <c r="C811" s="20"/>
      <c r="D811" s="18" t="str">
        <f>'0信息维护'!A$26</f>
        <v>课程目标2</v>
      </c>
      <c r="E811" s="19">
        <f ca="1">OFFSET('1课程考核方式及成绩组成'!$F$10,(ROW(E811)-5)/7,MOD((ROW(E811)-5),7))</f>
        <v>48</v>
      </c>
      <c r="F811" s="19">
        <f ca="1">OFFSET('1课程考核方式及成绩组成'!$N$10,(ROW(F811)-5)/7,MOD((ROW(F811)-5),7))</f>
        <v>0</v>
      </c>
      <c r="G811" s="19">
        <f ca="1">OFFSET('1课程考核方式及成绩组成'!$V$10,(ROW(G811)-5)/7,MOD((ROW(G811)-5),7))</f>
        <v>0</v>
      </c>
      <c r="H811" s="19">
        <f ca="1">OFFSET('1课程考核方式及成绩组成'!$AD$10,(ROW(H811)-5)/7,MOD((ROW(H811)-5),7))</f>
        <v>0</v>
      </c>
      <c r="I811" s="19">
        <f ca="1">OFFSET('1课程考核方式及成绩组成'!$AL$10,(ROW(I811)-5)/7,MOD((ROW(I811)-5),7))</f>
        <v>16</v>
      </c>
      <c r="J811" s="25">
        <f ca="1">IF('0信息维护'!$I$91=0,0,E811/('0信息维护'!$I$91)*'0信息维护'!$S$26*'0信息维护'!$E$36)+IF('0信息维护'!$I$92=0,0,F811/('0信息维护'!$I$92)*'0信息维护'!$T$26*'0信息维护'!$E$36)+IF('0信息维护'!$I$93=0,0,G811/('0信息维护'!$I$93)*'0信息维护'!$U$26*'0信息维护'!$E$36)+IF('0信息维护'!$I$94=0,0,H811/('0信息维护'!$I$94)*'0信息维护'!$V$26*'0信息维护'!$E$36)+IF('0信息维护'!$I$95=0,0,I811/'0信息维护'!$I$95*'0信息维护'!$I$36)</f>
        <v>0.666666666666667</v>
      </c>
      <c r="K811" s="27"/>
      <c r="N811" s="29"/>
    </row>
    <row r="812" spans="1:11">
      <c r="A812" s="20"/>
      <c r="B812" s="20"/>
      <c r="C812" s="20"/>
      <c r="D812" s="18" t="str">
        <f>'0信息维护'!A$27</f>
        <v>课程目标3</v>
      </c>
      <c r="E812" s="19">
        <f ca="1">OFFSET('1课程考核方式及成绩组成'!$F$10,(ROW(E812)-5)/7,MOD((ROW(E812)-5),7))</f>
        <v>0</v>
      </c>
      <c r="F812" s="19">
        <f ca="1">OFFSET('1课程考核方式及成绩组成'!$N$10,(ROW(F812)-5)/7,MOD((ROW(F812)-5),7))</f>
        <v>0</v>
      </c>
      <c r="G812" s="19">
        <f ca="1">OFFSET('1课程考核方式及成绩组成'!$V$10,(ROW(G812)-5)/7,MOD((ROW(G812)-5),7))</f>
        <v>0</v>
      </c>
      <c r="H812" s="19">
        <f ca="1">OFFSET('1课程考核方式及成绩组成'!$AD$10,(ROW(H812)-5)/7,MOD((ROW(H812)-5),7))</f>
        <v>0</v>
      </c>
      <c r="I812" s="19">
        <f ca="1">OFFSET('1课程考核方式及成绩组成'!$AL$10,(ROW(I812)-5)/7,MOD((ROW(I812)-5),7))</f>
        <v>14</v>
      </c>
      <c r="J812" s="25">
        <f ca="1">IF('0信息维护'!$I$97=0,0,E812/('0信息维护'!$I$97)*'0信息维护'!$E$37*'0信息维护'!$S$27)+IF('0信息维护'!$I$98=0,0,F812/('0信息维护'!$I$98)*'0信息维护'!$E$37*'0信息维护'!$T$27)+IF('0信息维护'!$I$99=0,0,G812/('0信息维护'!$I$99)*'0信息维护'!$E$37*'0信息维护'!$U$27)+IF('0信息维护'!$I$100=0,0,H812/('0信息维护'!$I$100)*'0信息维护'!$E$37*'0信息维护'!$V$27)+IF('0信息维护'!$I$101=0,0,I812/'0信息维护'!$I$101*'0信息维护'!$I$37)</f>
        <v>0.411764705882353</v>
      </c>
      <c r="K812" s="27"/>
    </row>
    <row r="813" spans="1:11">
      <c r="A813" s="20"/>
      <c r="B813" s="20"/>
      <c r="C813" s="20"/>
      <c r="D813" s="18" t="str">
        <f>'0信息维护'!A$28</f>
        <v>课程目标4</v>
      </c>
      <c r="E813" s="19">
        <f ca="1">OFFSET('1课程考核方式及成绩组成'!$F$10,(ROW(E813)-5)/7,MOD((ROW(E813)-5),7))</f>
        <v>0</v>
      </c>
      <c r="F813" s="19">
        <f ca="1">OFFSET('1课程考核方式及成绩组成'!$N$10,(ROW(F813)-5)/7,MOD((ROW(F813)-5),7))</f>
        <v>78</v>
      </c>
      <c r="G813" s="19">
        <f ca="1">OFFSET('1课程考核方式及成绩组成'!$V$10,(ROW(G813)-5)/7,MOD((ROW(G813)-5),7))</f>
        <v>0</v>
      </c>
      <c r="H813" s="19">
        <f ca="1">OFFSET('1课程考核方式及成绩组成'!$AD$10,(ROW(H813)-5)/7,MOD((ROW(H813)-5),7))</f>
        <v>0</v>
      </c>
      <c r="I813" s="19">
        <f ca="1">OFFSET('1课程考核方式及成绩组成'!$AL$10,(ROW(I813)-5)/7,MOD((ROW(I813)-5),7))</f>
        <v>0</v>
      </c>
      <c r="J813" s="25">
        <f ca="1">IF('0信息维护'!$I$103=0,0,E813/('0信息维护'!$I$103)*'0信息维护'!$E$38*'0信息维护'!$S$28)+IF('0信息维护'!$I$104=0,0,F813/('0信息维护'!$I$104)*'0信息维护'!$E$38*'0信息维护'!$T$28)+IF('0信息维护'!$I$105=0,0,G813/('0信息维护'!$I$105)*'0信息维护'!$E$38*'0信息维护'!$U$28)+IF('0信息维护'!$I$106=0,0,H813/('0信息维护'!$I$106)*'0信息维护'!$E$38*'0信息维护'!$V$28)+IF('0信息维护'!$I$107=0,0,I813/'0信息维护'!$I$107*'0信息维护'!$I$38)</f>
        <v>0.78</v>
      </c>
      <c r="K813" s="27"/>
    </row>
    <row r="814" spans="1:11">
      <c r="A814" s="20"/>
      <c r="B814" s="20"/>
      <c r="C814" s="20"/>
      <c r="D814" s="18" t="str">
        <f>'0信息维护'!A$29</f>
        <v>课程目标5</v>
      </c>
      <c r="E814" s="19">
        <f ca="1">OFFSET('1课程考核方式及成绩组成'!$F$10,(ROW(E814)-5)/7,MOD((ROW(E814)-5),7))</f>
        <v>0</v>
      </c>
      <c r="F814" s="19">
        <f ca="1">OFFSET('1课程考核方式及成绩组成'!$N$10,(ROW(F814)-5)/7,MOD((ROW(F814)-5),7))</f>
        <v>0</v>
      </c>
      <c r="G814" s="19">
        <f ca="1">OFFSET('1课程考核方式及成绩组成'!$V$10,(ROW(G814)-5)/7,MOD((ROW(G814)-5),7))</f>
        <v>0</v>
      </c>
      <c r="H814" s="19">
        <f ca="1">OFFSET('1课程考核方式及成绩组成'!$AD$10,(ROW(H814)-5)/7,MOD((ROW(H814)-5),7))</f>
        <v>0</v>
      </c>
      <c r="I814" s="19">
        <f ca="1">OFFSET('1课程考核方式及成绩组成'!$AL$10,(ROW(I814)-5)/7,MOD((ROW(I814)-5),7))</f>
        <v>0</v>
      </c>
      <c r="J814" s="25">
        <f ca="1">IF('0信息维护'!$I$109=0,0,E814/('0信息维护'!$I$109)*'0信息维护'!$E$39*'0信息维护'!$S$29)+IF('0信息维护'!$I$110=0,0,F814/('0信息维护'!$I$110)*'0信息维护'!$E$39*'0信息维护'!$T$29)+IF('0信息维护'!$I$111=0,0,G814/('0信息维护'!$I$111)*'0信息维护'!$E$39*'0信息维护'!$U$29)+IF('0信息维护'!$I$112=0,0,H814/('0信息维护'!$I$112)*'0信息维护'!$E$39*'0信息维护'!$V$29)+IF('0信息维护'!$I$113=0,0,I814/'0信息维护'!$I$113*'0信息维护'!$I$39)</f>
        <v>0</v>
      </c>
      <c r="K814" s="27"/>
    </row>
    <row r="815" spans="1:11">
      <c r="A815" s="20"/>
      <c r="B815" s="20"/>
      <c r="C815" s="20"/>
      <c r="D815" s="18" t="str">
        <f>'0信息维护'!A$30</f>
        <v>课程目标6</v>
      </c>
      <c r="E815" s="19">
        <f ca="1">OFFSET('1课程考核方式及成绩组成'!$F$10,(ROW(E815)-5)/7,MOD((ROW(E815)-5),7))</f>
        <v>0</v>
      </c>
      <c r="F815" s="19">
        <f ca="1">OFFSET('1课程考核方式及成绩组成'!$N$10,(ROW(F815)-5)/7,MOD((ROW(F815)-5),7))</f>
        <v>0</v>
      </c>
      <c r="G815" s="19">
        <f ca="1">OFFSET('1课程考核方式及成绩组成'!$V$10,(ROW(G815)-5)/7,MOD((ROW(G815)-5),7))</f>
        <v>0</v>
      </c>
      <c r="H815" s="19">
        <f ca="1">OFFSET('1课程考核方式及成绩组成'!$AD$10,(ROW(H815)-5)/7,MOD((ROW(H815)-5),7))</f>
        <v>0</v>
      </c>
      <c r="I815" s="19">
        <f ca="1">OFFSET('1课程考核方式及成绩组成'!$AL$10,(ROW(I815)-5)/7,MOD((ROW(I815)-5),7))</f>
        <v>0</v>
      </c>
      <c r="J815" s="25">
        <f ca="1">IF('0信息维护'!$I$115=0,0,E815/('0信息维护'!$I$115)*'0信息维护'!$E$40*'0信息维护'!$S$30)+IF('0信息维护'!$I$116=0,0,F815/('0信息维护'!$I$116)*'0信息维护'!$E$40*'0信息维护'!$T$30)+IF('0信息维护'!$I$117=0,0,G815/('0信息维护'!$I$117)*'0信息维护'!$E$40*'0信息维护'!$U$30)+IF('0信息维护'!$I$118=0,0,H815/('0信息维护'!$I$118)*'0信息维护'!$E$40*'0信息维护'!$V$30)+IF('0信息维护'!$I$119=0,0,I815/'0信息维护'!$I$119*'0信息维护'!$I$40)</f>
        <v>0</v>
      </c>
      <c r="K815" s="27"/>
    </row>
    <row r="816" spans="1:11">
      <c r="A816" s="21"/>
      <c r="B816" s="21"/>
      <c r="C816" s="21"/>
      <c r="D816" s="18" t="str">
        <f>'0信息维护'!A$31</f>
        <v>课程目标7</v>
      </c>
      <c r="E816" s="19">
        <f ca="1">OFFSET('1课程考核方式及成绩组成'!$F$10,(ROW(E816)-5)/7,MOD((ROW(E816)-5),7))</f>
        <v>0</v>
      </c>
      <c r="F816" s="19">
        <f ca="1">OFFSET('1课程考核方式及成绩组成'!$N$10,(ROW(F816)-5)/7,MOD((ROW(F816)-5),7))</f>
        <v>0</v>
      </c>
      <c r="G816" s="19">
        <f ca="1">OFFSET('1课程考核方式及成绩组成'!$V$10,(ROW(G816)-5)/7,MOD((ROW(G816)-5),7))</f>
        <v>0</v>
      </c>
      <c r="H816" s="19">
        <f ca="1">OFFSET('1课程考核方式及成绩组成'!$AD$10,(ROW(H816)-5)/7,MOD((ROW(H816)-5),7))</f>
        <v>0</v>
      </c>
      <c r="I816" s="19">
        <f ca="1">OFFSET('1课程考核方式及成绩组成'!$AL$10,(ROW(I816)-5)/7,MOD((ROW(I816)-5),7))</f>
        <v>0</v>
      </c>
      <c r="J816" s="25">
        <f ca="1">IF('0信息维护'!$I$121=0,0,E816/('0信息维护'!$I$121)*'0信息维护'!$E$41*'0信息维护'!$S$31)+IF('0信息维护'!$I$122=0,0,F816/('0信息维护'!$I$122)*'0信息维护'!$E$41*'0信息维护'!$T$31)+IF('0信息维护'!$I$123=0,0,G816/('0信息维护'!$I$123)*'0信息维护'!$E$41*'0信息维护'!$U$31)+IF('0信息维护'!$I$124=0,0,H816/('0信息维护'!$I$124)*'0信息维护'!$E$41*'0信息维护'!$T$31)+IF('0信息维护'!$I$125=0,0,I816/'0信息维护'!$I$125*'0信息维护'!$I$41)</f>
        <v>0</v>
      </c>
      <c r="K816" s="30"/>
    </row>
    <row r="817" spans="1:11">
      <c r="A817" s="17">
        <v>117</v>
      </c>
      <c r="B817" s="17" t="str">
        <f ca="1">OFFSET('1课程考核方式及成绩组成'!$D$10,(ROW(B817)-5)/7,)</f>
        <v>220106141</v>
      </c>
      <c r="C817" s="17" t="str">
        <f ca="1">OFFSET('1课程考核方式及成绩组成'!$E$10,(ROW(C817)-5)/7,)</f>
        <v>王俊力</v>
      </c>
      <c r="D817" s="18" t="str">
        <f>'0信息维护'!A$25</f>
        <v>课程目标1</v>
      </c>
      <c r="E817" s="19">
        <f ca="1">OFFSET('1课程考核方式及成绩组成'!$F$10,(ROW(E817)-5)/7,MOD((ROW(E817)-5),7))</f>
        <v>33</v>
      </c>
      <c r="F817" s="19">
        <f ca="1">OFFSET('1课程考核方式及成绩组成'!$N$10,(ROW(F817)-5)/7,MOD((ROW(F817)-5),7))</f>
        <v>0</v>
      </c>
      <c r="G817" s="19">
        <f ca="1">OFFSET('1课程考核方式及成绩组成'!$V$10,(ROW(G817)-5)/7,MOD((ROW(G817)-5),7))</f>
        <v>0</v>
      </c>
      <c r="H817" s="19">
        <f ca="1">OFFSET('1课程考核方式及成绩组成'!$AD$10,(ROW(H817)-5)/7,MOD((ROW(H817)-5),7))</f>
        <v>0</v>
      </c>
      <c r="I817" s="19">
        <f ca="1">OFFSET('1课程考核方式及成绩组成'!$AL$10,(ROW(I817)-5)/7,MOD((ROW(I817)-5),7))</f>
        <v>28</v>
      </c>
      <c r="J817" s="25">
        <f ca="1">IF('0信息维护'!$I$85=0,0,E817/('0信息维护'!$I$85)*'0信息维护'!$E$35*'0信息维护'!$S$25)+IF('0信息维护'!$I$86=0,0,F817/('0信息维护'!$I$86)*'0信息维护'!$E$35*'0信息维护'!$T$25)+IF('0信息维护'!$I$87=0,0,G817/('0信息维护'!$I$87)*'0信息维护'!$E$35*'0信息维护'!$U$25)+IF('0信息维护'!$I$88=0,0,H817/('0信息维护'!$I$88)*'0信息维护'!$E$35*'0信息维护'!$V$25)+IF('0信息维护'!$I$89=0,0,I817/'0信息维护'!$I$89*'0信息维护'!$I$35)</f>
        <v>0.801388888888889</v>
      </c>
      <c r="K817" s="26">
        <f ca="1">J817*'0信息维护'!$D$132+J818*'0信息维护'!$D$133+J819*'0信息维护'!$D$134+J820*'0信息维护'!$D$135+J821*'0信息维护'!$D$136+J822*'0信息维护'!$D$137+J823*'0信息维护'!$D$138</f>
        <v>0.655061274509804</v>
      </c>
    </row>
    <row r="818" spans="1:14">
      <c r="A818" s="20"/>
      <c r="B818" s="20"/>
      <c r="C818" s="20"/>
      <c r="D818" s="18" t="str">
        <f>'0信息维护'!A$26</f>
        <v>课程目标2</v>
      </c>
      <c r="E818" s="19">
        <f ca="1">OFFSET('1课程考核方式及成绩组成'!$F$10,(ROW(E818)-5)/7,MOD((ROW(E818)-5),7))</f>
        <v>51</v>
      </c>
      <c r="F818" s="19">
        <f ca="1">OFFSET('1课程考核方式及成绩组成'!$N$10,(ROW(F818)-5)/7,MOD((ROW(F818)-5),7))</f>
        <v>0</v>
      </c>
      <c r="G818" s="19">
        <f ca="1">OFFSET('1课程考核方式及成绩组成'!$V$10,(ROW(G818)-5)/7,MOD((ROW(G818)-5),7))</f>
        <v>0</v>
      </c>
      <c r="H818" s="19">
        <f ca="1">OFFSET('1课程考核方式及成绩组成'!$AD$10,(ROW(H818)-5)/7,MOD((ROW(H818)-5),7))</f>
        <v>0</v>
      </c>
      <c r="I818" s="19">
        <f ca="1">OFFSET('1课程考核方式及成绩组成'!$AL$10,(ROW(I818)-5)/7,MOD((ROW(I818)-5),7))</f>
        <v>13</v>
      </c>
      <c r="J818" s="25">
        <f ca="1">IF('0信息维护'!$I$91=0,0,E818/('0信息维护'!$I$91)*'0信息维护'!$S$26*'0信息维护'!$E$36)+IF('0信息维护'!$I$92=0,0,F818/('0信息维护'!$I$92)*'0信息维护'!$T$26*'0信息维护'!$E$36)+IF('0信息维护'!$I$93=0,0,G818/('0信息维护'!$I$93)*'0信息维护'!$U$26*'0信息维护'!$E$36)+IF('0信息维护'!$I$94=0,0,H818/('0信息维护'!$I$94)*'0信息维护'!$V$26*'0信息维护'!$E$36)+IF('0信息维护'!$I$95=0,0,I818/'0信息维护'!$I$95*'0信息维护'!$I$36)</f>
        <v>0.641666666666667</v>
      </c>
      <c r="K818" s="27"/>
      <c r="N818" s="29"/>
    </row>
    <row r="819" spans="1:11">
      <c r="A819" s="20"/>
      <c r="B819" s="20"/>
      <c r="C819" s="20"/>
      <c r="D819" s="18" t="str">
        <f>'0信息维护'!A$27</f>
        <v>课程目标3</v>
      </c>
      <c r="E819" s="19">
        <f ca="1">OFFSET('1课程考核方式及成绩组成'!$F$10,(ROW(E819)-5)/7,MOD((ROW(E819)-5),7))</f>
        <v>0</v>
      </c>
      <c r="F819" s="19">
        <f ca="1">OFFSET('1课程考核方式及成绩组成'!$N$10,(ROW(F819)-5)/7,MOD((ROW(F819)-5),7))</f>
        <v>0</v>
      </c>
      <c r="G819" s="19">
        <f ca="1">OFFSET('1课程考核方式及成绩组成'!$V$10,(ROW(G819)-5)/7,MOD((ROW(G819)-5),7))</f>
        <v>0</v>
      </c>
      <c r="H819" s="19">
        <f ca="1">OFFSET('1课程考核方式及成绩组成'!$AD$10,(ROW(H819)-5)/7,MOD((ROW(H819)-5),7))</f>
        <v>0</v>
      </c>
      <c r="I819" s="19">
        <f ca="1">OFFSET('1课程考核方式及成绩组成'!$AL$10,(ROW(I819)-5)/7,MOD((ROW(I819)-5),7))</f>
        <v>18</v>
      </c>
      <c r="J819" s="25">
        <f ca="1">IF('0信息维护'!$I$97=0,0,E819/('0信息维护'!$I$97)*'0信息维护'!$E$37*'0信息维护'!$S$27)+IF('0信息维护'!$I$98=0,0,F819/('0信息维护'!$I$98)*'0信息维护'!$E$37*'0信息维护'!$T$27)+IF('0信息维护'!$I$99=0,0,G819/('0信息维护'!$I$99)*'0信息维护'!$E$37*'0信息维护'!$U$27)+IF('0信息维护'!$I$100=0,0,H819/('0信息维护'!$I$100)*'0信息维护'!$E$37*'0信息维护'!$V$27)+IF('0信息维护'!$I$101=0,0,I819/'0信息维护'!$I$101*'0信息维护'!$I$37)</f>
        <v>0.529411764705882</v>
      </c>
      <c r="K819" s="27"/>
    </row>
    <row r="820" spans="1:11">
      <c r="A820" s="20"/>
      <c r="B820" s="20"/>
      <c r="C820" s="20"/>
      <c r="D820" s="18" t="str">
        <f>'0信息维护'!A$28</f>
        <v>课程目标4</v>
      </c>
      <c r="E820" s="19">
        <f ca="1">OFFSET('1课程考核方式及成绩组成'!$F$10,(ROW(E820)-5)/7,MOD((ROW(E820)-5),7))</f>
        <v>0</v>
      </c>
      <c r="F820" s="19">
        <f ca="1">OFFSET('1课程考核方式及成绩组成'!$N$10,(ROW(F820)-5)/7,MOD((ROW(F820)-5),7))</f>
        <v>70</v>
      </c>
      <c r="G820" s="19">
        <f ca="1">OFFSET('1课程考核方式及成绩组成'!$V$10,(ROW(G820)-5)/7,MOD((ROW(G820)-5),7))</f>
        <v>0</v>
      </c>
      <c r="H820" s="19">
        <f ca="1">OFFSET('1课程考核方式及成绩组成'!$AD$10,(ROW(H820)-5)/7,MOD((ROW(H820)-5),7))</f>
        <v>0</v>
      </c>
      <c r="I820" s="19">
        <f ca="1">OFFSET('1课程考核方式及成绩组成'!$AL$10,(ROW(I820)-5)/7,MOD((ROW(I820)-5),7))</f>
        <v>0</v>
      </c>
      <c r="J820" s="25">
        <f ca="1">IF('0信息维护'!$I$103=0,0,E820/('0信息维护'!$I$103)*'0信息维护'!$E$38*'0信息维护'!$S$28)+IF('0信息维护'!$I$104=0,0,F820/('0信息维护'!$I$104)*'0信息维护'!$E$38*'0信息维护'!$T$28)+IF('0信息维护'!$I$105=0,0,G820/('0信息维护'!$I$105)*'0信息维护'!$E$38*'0信息维护'!$U$28)+IF('0信息维护'!$I$106=0,0,H820/('0信息维护'!$I$106)*'0信息维护'!$E$38*'0信息维护'!$V$28)+IF('0信息维护'!$I$107=0,0,I820/'0信息维护'!$I$107*'0信息维护'!$I$38)</f>
        <v>0.7</v>
      </c>
      <c r="K820" s="27"/>
    </row>
    <row r="821" spans="1:11">
      <c r="A821" s="20"/>
      <c r="B821" s="20"/>
      <c r="C821" s="20"/>
      <c r="D821" s="18" t="str">
        <f>'0信息维护'!A$29</f>
        <v>课程目标5</v>
      </c>
      <c r="E821" s="19">
        <f ca="1">OFFSET('1课程考核方式及成绩组成'!$F$10,(ROW(E821)-5)/7,MOD((ROW(E821)-5),7))</f>
        <v>0</v>
      </c>
      <c r="F821" s="19">
        <f ca="1">OFFSET('1课程考核方式及成绩组成'!$N$10,(ROW(F821)-5)/7,MOD((ROW(F821)-5),7))</f>
        <v>0</v>
      </c>
      <c r="G821" s="19">
        <f ca="1">OFFSET('1课程考核方式及成绩组成'!$V$10,(ROW(G821)-5)/7,MOD((ROW(G821)-5),7))</f>
        <v>0</v>
      </c>
      <c r="H821" s="19">
        <f ca="1">OFFSET('1课程考核方式及成绩组成'!$AD$10,(ROW(H821)-5)/7,MOD((ROW(H821)-5),7))</f>
        <v>0</v>
      </c>
      <c r="I821" s="19">
        <f ca="1">OFFSET('1课程考核方式及成绩组成'!$AL$10,(ROW(I821)-5)/7,MOD((ROW(I821)-5),7))</f>
        <v>0</v>
      </c>
      <c r="J821" s="25">
        <f ca="1">IF('0信息维护'!$I$109=0,0,E821/('0信息维护'!$I$109)*'0信息维护'!$E$39*'0信息维护'!$S$29)+IF('0信息维护'!$I$110=0,0,F821/('0信息维护'!$I$110)*'0信息维护'!$E$39*'0信息维护'!$T$29)+IF('0信息维护'!$I$111=0,0,G821/('0信息维护'!$I$111)*'0信息维护'!$E$39*'0信息维护'!$U$29)+IF('0信息维护'!$I$112=0,0,H821/('0信息维护'!$I$112)*'0信息维护'!$E$39*'0信息维护'!$V$29)+IF('0信息维护'!$I$113=0,0,I821/'0信息维护'!$I$113*'0信息维护'!$I$39)</f>
        <v>0</v>
      </c>
      <c r="K821" s="27"/>
    </row>
    <row r="822" spans="1:11">
      <c r="A822" s="20"/>
      <c r="B822" s="20"/>
      <c r="C822" s="20"/>
      <c r="D822" s="18" t="str">
        <f>'0信息维护'!A$30</f>
        <v>课程目标6</v>
      </c>
      <c r="E822" s="19">
        <f ca="1">OFFSET('1课程考核方式及成绩组成'!$F$10,(ROW(E822)-5)/7,MOD((ROW(E822)-5),7))</f>
        <v>0</v>
      </c>
      <c r="F822" s="19">
        <f ca="1">OFFSET('1课程考核方式及成绩组成'!$N$10,(ROW(F822)-5)/7,MOD((ROW(F822)-5),7))</f>
        <v>0</v>
      </c>
      <c r="G822" s="19">
        <f ca="1">OFFSET('1课程考核方式及成绩组成'!$V$10,(ROW(G822)-5)/7,MOD((ROW(G822)-5),7))</f>
        <v>0</v>
      </c>
      <c r="H822" s="19">
        <f ca="1">OFFSET('1课程考核方式及成绩组成'!$AD$10,(ROW(H822)-5)/7,MOD((ROW(H822)-5),7))</f>
        <v>0</v>
      </c>
      <c r="I822" s="19">
        <f ca="1">OFFSET('1课程考核方式及成绩组成'!$AL$10,(ROW(I822)-5)/7,MOD((ROW(I822)-5),7))</f>
        <v>0</v>
      </c>
      <c r="J822" s="25">
        <f ca="1">IF('0信息维护'!$I$115=0,0,E822/('0信息维护'!$I$115)*'0信息维护'!$E$40*'0信息维护'!$S$30)+IF('0信息维护'!$I$116=0,0,F822/('0信息维护'!$I$116)*'0信息维护'!$E$40*'0信息维护'!$T$30)+IF('0信息维护'!$I$117=0,0,G822/('0信息维护'!$I$117)*'0信息维护'!$E$40*'0信息维护'!$U$30)+IF('0信息维护'!$I$118=0,0,H822/('0信息维护'!$I$118)*'0信息维护'!$E$40*'0信息维护'!$V$30)+IF('0信息维护'!$I$119=0,0,I822/'0信息维护'!$I$119*'0信息维护'!$I$40)</f>
        <v>0</v>
      </c>
      <c r="K822" s="27"/>
    </row>
    <row r="823" spans="1:11">
      <c r="A823" s="21"/>
      <c r="B823" s="21"/>
      <c r="C823" s="21"/>
      <c r="D823" s="18" t="str">
        <f>'0信息维护'!A$31</f>
        <v>课程目标7</v>
      </c>
      <c r="E823" s="19">
        <f ca="1">OFFSET('1课程考核方式及成绩组成'!$F$10,(ROW(E823)-5)/7,MOD((ROW(E823)-5),7))</f>
        <v>0</v>
      </c>
      <c r="F823" s="19">
        <f ca="1">OFFSET('1课程考核方式及成绩组成'!$N$10,(ROW(F823)-5)/7,MOD((ROW(F823)-5),7))</f>
        <v>0</v>
      </c>
      <c r="G823" s="19">
        <f ca="1">OFFSET('1课程考核方式及成绩组成'!$V$10,(ROW(G823)-5)/7,MOD((ROW(G823)-5),7))</f>
        <v>0</v>
      </c>
      <c r="H823" s="19">
        <f ca="1">OFFSET('1课程考核方式及成绩组成'!$AD$10,(ROW(H823)-5)/7,MOD((ROW(H823)-5),7))</f>
        <v>0</v>
      </c>
      <c r="I823" s="19">
        <f ca="1">OFFSET('1课程考核方式及成绩组成'!$AL$10,(ROW(I823)-5)/7,MOD((ROW(I823)-5),7))</f>
        <v>0</v>
      </c>
      <c r="J823" s="25">
        <f ca="1">IF('0信息维护'!$I$121=0,0,E823/('0信息维护'!$I$121)*'0信息维护'!$E$41*'0信息维护'!$S$31)+IF('0信息维护'!$I$122=0,0,F823/('0信息维护'!$I$122)*'0信息维护'!$E$41*'0信息维护'!$T$31)+IF('0信息维护'!$I$123=0,0,G823/('0信息维护'!$I$123)*'0信息维护'!$E$41*'0信息维护'!$U$31)+IF('0信息维护'!$I$124=0,0,H823/('0信息维护'!$I$124)*'0信息维护'!$E$41*'0信息维护'!$T$31)+IF('0信息维护'!$I$125=0,0,I823/'0信息维护'!$I$125*'0信息维护'!$I$41)</f>
        <v>0</v>
      </c>
      <c r="K823" s="30"/>
    </row>
    <row r="824" spans="1:11">
      <c r="A824" s="17">
        <v>118</v>
      </c>
      <c r="B824" s="17" t="str">
        <f ca="1">OFFSET('1课程考核方式及成绩组成'!$D$10,(ROW(B824)-5)/7,)</f>
        <v>220106142</v>
      </c>
      <c r="C824" s="17" t="str">
        <f ca="1">OFFSET('1课程考核方式及成绩组成'!$E$10,(ROW(C824)-5)/7,)</f>
        <v>张昊洋</v>
      </c>
      <c r="D824" s="18" t="str">
        <f>'0信息维护'!A$25</f>
        <v>课程目标1</v>
      </c>
      <c r="E824" s="19">
        <f ca="1">OFFSET('1课程考核方式及成绩组成'!$F$10,(ROW(E824)-5)/7,MOD((ROW(E824)-5),7))</f>
        <v>35</v>
      </c>
      <c r="F824" s="19">
        <f ca="1">OFFSET('1课程考核方式及成绩组成'!$N$10,(ROW(F824)-5)/7,MOD((ROW(F824)-5),7))</f>
        <v>0</v>
      </c>
      <c r="G824" s="19">
        <f ca="1">OFFSET('1课程考核方式及成绩组成'!$V$10,(ROW(G824)-5)/7,MOD((ROW(G824)-5),7))</f>
        <v>0</v>
      </c>
      <c r="H824" s="19">
        <f ca="1">OFFSET('1课程考核方式及成绩组成'!$AD$10,(ROW(H824)-5)/7,MOD((ROW(H824)-5),7))</f>
        <v>0</v>
      </c>
      <c r="I824" s="19">
        <f ca="1">OFFSET('1课程考核方式及成绩组成'!$AL$10,(ROW(I824)-5)/7,MOD((ROW(I824)-5),7))</f>
        <v>28</v>
      </c>
      <c r="J824" s="25">
        <f ca="1">IF('0信息维护'!$I$85=0,0,E824/('0信息维护'!$I$85)*'0信息维护'!$E$35*'0信息维护'!$S$25)+IF('0信息维护'!$I$86=0,0,F824/('0信息维护'!$I$86)*'0信息维护'!$E$35*'0信息维护'!$T$25)+IF('0信息维护'!$I$87=0,0,G824/('0信息维护'!$I$87)*'0信息维护'!$E$35*'0信息维护'!$U$25)+IF('0信息维护'!$I$88=0,0,H824/('0信息维护'!$I$88)*'0信息维护'!$E$35*'0信息维护'!$V$25)+IF('0信息维护'!$I$89=0,0,I824/'0信息维护'!$I$89*'0信息维护'!$I$35)</f>
        <v>0.826388888888889</v>
      </c>
      <c r="K824" s="26">
        <f ca="1">J824*'0信息维护'!$D$132+J825*'0信息维护'!$D$133+J826*'0信息维护'!$D$134+J827*'0信息维护'!$D$135+J828*'0信息维护'!$D$136+J829*'0信息维护'!$D$137+J830*'0信息维护'!$D$138</f>
        <v>0.820281862745098</v>
      </c>
    </row>
    <row r="825" spans="1:14">
      <c r="A825" s="20"/>
      <c r="B825" s="20"/>
      <c r="C825" s="20"/>
      <c r="D825" s="18" t="str">
        <f>'0信息维护'!A$26</f>
        <v>课程目标2</v>
      </c>
      <c r="E825" s="19">
        <f ca="1">OFFSET('1课程考核方式及成绩组成'!$F$10,(ROW(E825)-5)/7,MOD((ROW(E825)-5),7))</f>
        <v>53</v>
      </c>
      <c r="F825" s="19">
        <f ca="1">OFFSET('1课程考核方式及成绩组成'!$N$10,(ROW(F825)-5)/7,MOD((ROW(F825)-5),7))</f>
        <v>0</v>
      </c>
      <c r="G825" s="19">
        <f ca="1">OFFSET('1课程考核方式及成绩组成'!$V$10,(ROW(G825)-5)/7,MOD((ROW(G825)-5),7))</f>
        <v>0</v>
      </c>
      <c r="H825" s="19">
        <f ca="1">OFFSET('1课程考核方式及成绩组成'!$AD$10,(ROW(H825)-5)/7,MOD((ROW(H825)-5),7))</f>
        <v>0</v>
      </c>
      <c r="I825" s="19">
        <f ca="1">OFFSET('1课程考核方式及成绩组成'!$AL$10,(ROW(I825)-5)/7,MOD((ROW(I825)-5),7))</f>
        <v>25</v>
      </c>
      <c r="J825" s="25">
        <f ca="1">IF('0信息维护'!$I$91=0,0,E825/('0信息维护'!$I$91)*'0信息维护'!$S$26*'0信息维护'!$E$36)+IF('0信息维护'!$I$92=0,0,F825/('0信息维护'!$I$92)*'0信息维护'!$T$26*'0信息维护'!$E$36)+IF('0信息维护'!$I$93=0,0,G825/('0信息维护'!$I$93)*'0信息维护'!$U$26*'0信息维护'!$E$36)+IF('0信息维护'!$I$94=0,0,H825/('0信息维护'!$I$94)*'0信息维护'!$V$26*'0信息维护'!$E$36)+IF('0信息维护'!$I$95=0,0,I825/'0信息维护'!$I$95*'0信息维护'!$I$36)</f>
        <v>0.858333333333333</v>
      </c>
      <c r="K825" s="27"/>
      <c r="N825" s="29"/>
    </row>
    <row r="826" spans="1:11">
      <c r="A826" s="20"/>
      <c r="B826" s="20"/>
      <c r="C826" s="20"/>
      <c r="D826" s="18" t="str">
        <f>'0信息维护'!A$27</f>
        <v>课程目标3</v>
      </c>
      <c r="E826" s="19">
        <f ca="1">OFFSET('1课程考核方式及成绩组成'!$F$10,(ROW(E826)-5)/7,MOD((ROW(E826)-5),7))</f>
        <v>0</v>
      </c>
      <c r="F826" s="19">
        <f ca="1">OFFSET('1课程考核方式及成绩组成'!$N$10,(ROW(F826)-5)/7,MOD((ROW(F826)-5),7))</f>
        <v>0</v>
      </c>
      <c r="G826" s="19">
        <f ca="1">OFFSET('1课程考核方式及成绩组成'!$V$10,(ROW(G826)-5)/7,MOD((ROW(G826)-5),7))</f>
        <v>0</v>
      </c>
      <c r="H826" s="19">
        <f ca="1">OFFSET('1课程考核方式及成绩组成'!$AD$10,(ROW(H826)-5)/7,MOD((ROW(H826)-5),7))</f>
        <v>0</v>
      </c>
      <c r="I826" s="19">
        <f ca="1">OFFSET('1课程考核方式及成绩组成'!$AL$10,(ROW(I826)-5)/7,MOD((ROW(I826)-5),7))</f>
        <v>25</v>
      </c>
      <c r="J826" s="25">
        <f ca="1">IF('0信息维护'!$I$97=0,0,E826/('0信息维护'!$I$97)*'0信息维护'!$E$37*'0信息维护'!$S$27)+IF('0信息维护'!$I$98=0,0,F826/('0信息维护'!$I$98)*'0信息维护'!$E$37*'0信息维护'!$T$27)+IF('0信息维护'!$I$99=0,0,G826/('0信息维护'!$I$99)*'0信息维护'!$E$37*'0信息维护'!$U$27)+IF('0信息维护'!$I$100=0,0,H826/('0信息维护'!$I$100)*'0信息维护'!$E$37*'0信息维护'!$V$27)+IF('0信息维护'!$I$101=0,0,I826/'0信息维护'!$I$101*'0信息维护'!$I$37)</f>
        <v>0.735294117647059</v>
      </c>
      <c r="K826" s="27"/>
    </row>
    <row r="827" spans="1:11">
      <c r="A827" s="20"/>
      <c r="B827" s="20"/>
      <c r="C827" s="20"/>
      <c r="D827" s="18" t="str">
        <f>'0信息维护'!A$28</f>
        <v>课程目标4</v>
      </c>
      <c r="E827" s="19">
        <f ca="1">OFFSET('1课程考核方式及成绩组成'!$F$10,(ROW(E827)-5)/7,MOD((ROW(E827)-5),7))</f>
        <v>0</v>
      </c>
      <c r="F827" s="19">
        <f ca="1">OFFSET('1课程考核方式及成绩组成'!$N$10,(ROW(F827)-5)/7,MOD((ROW(F827)-5),7))</f>
        <v>85</v>
      </c>
      <c r="G827" s="19">
        <f ca="1">OFFSET('1课程考核方式及成绩组成'!$V$10,(ROW(G827)-5)/7,MOD((ROW(G827)-5),7))</f>
        <v>0</v>
      </c>
      <c r="H827" s="19">
        <f ca="1">OFFSET('1课程考核方式及成绩组成'!$AD$10,(ROW(H827)-5)/7,MOD((ROW(H827)-5),7))</f>
        <v>0</v>
      </c>
      <c r="I827" s="19">
        <f ca="1">OFFSET('1课程考核方式及成绩组成'!$AL$10,(ROW(I827)-5)/7,MOD((ROW(I827)-5),7))</f>
        <v>0</v>
      </c>
      <c r="J827" s="25">
        <f ca="1">IF('0信息维护'!$I$103=0,0,E827/('0信息维护'!$I$103)*'0信息维护'!$E$38*'0信息维护'!$S$28)+IF('0信息维护'!$I$104=0,0,F827/('0信息维护'!$I$104)*'0信息维护'!$E$38*'0信息维护'!$T$28)+IF('0信息维护'!$I$105=0,0,G827/('0信息维护'!$I$105)*'0信息维护'!$E$38*'0信息维护'!$U$28)+IF('0信息维护'!$I$106=0,0,H827/('0信息维护'!$I$106)*'0信息维护'!$E$38*'0信息维护'!$V$28)+IF('0信息维护'!$I$107=0,0,I827/'0信息维护'!$I$107*'0信息维护'!$I$38)</f>
        <v>0.85</v>
      </c>
      <c r="K827" s="27"/>
    </row>
    <row r="828" spans="1:11">
      <c r="A828" s="20"/>
      <c r="B828" s="20"/>
      <c r="C828" s="20"/>
      <c r="D828" s="18" t="str">
        <f>'0信息维护'!A$29</f>
        <v>课程目标5</v>
      </c>
      <c r="E828" s="19">
        <f ca="1">OFFSET('1课程考核方式及成绩组成'!$F$10,(ROW(E828)-5)/7,MOD((ROW(E828)-5),7))</f>
        <v>0</v>
      </c>
      <c r="F828" s="19">
        <f ca="1">OFFSET('1课程考核方式及成绩组成'!$N$10,(ROW(F828)-5)/7,MOD((ROW(F828)-5),7))</f>
        <v>0</v>
      </c>
      <c r="G828" s="19">
        <f ca="1">OFFSET('1课程考核方式及成绩组成'!$V$10,(ROW(G828)-5)/7,MOD((ROW(G828)-5),7))</f>
        <v>0</v>
      </c>
      <c r="H828" s="19">
        <f ca="1">OFFSET('1课程考核方式及成绩组成'!$AD$10,(ROW(H828)-5)/7,MOD((ROW(H828)-5),7))</f>
        <v>0</v>
      </c>
      <c r="I828" s="19">
        <f ca="1">OFFSET('1课程考核方式及成绩组成'!$AL$10,(ROW(I828)-5)/7,MOD((ROW(I828)-5),7))</f>
        <v>0</v>
      </c>
      <c r="J828" s="25">
        <f ca="1">IF('0信息维护'!$I$109=0,0,E828/('0信息维护'!$I$109)*'0信息维护'!$E$39*'0信息维护'!$S$29)+IF('0信息维护'!$I$110=0,0,F828/('0信息维护'!$I$110)*'0信息维护'!$E$39*'0信息维护'!$T$29)+IF('0信息维护'!$I$111=0,0,G828/('0信息维护'!$I$111)*'0信息维护'!$E$39*'0信息维护'!$U$29)+IF('0信息维护'!$I$112=0,0,H828/('0信息维护'!$I$112)*'0信息维护'!$E$39*'0信息维护'!$V$29)+IF('0信息维护'!$I$113=0,0,I828/'0信息维护'!$I$113*'0信息维护'!$I$39)</f>
        <v>0</v>
      </c>
      <c r="K828" s="27"/>
    </row>
    <row r="829" spans="1:11">
      <c r="A829" s="20"/>
      <c r="B829" s="20"/>
      <c r="C829" s="20"/>
      <c r="D829" s="18" t="str">
        <f>'0信息维护'!A$30</f>
        <v>课程目标6</v>
      </c>
      <c r="E829" s="19">
        <f ca="1">OFFSET('1课程考核方式及成绩组成'!$F$10,(ROW(E829)-5)/7,MOD((ROW(E829)-5),7))</f>
        <v>0</v>
      </c>
      <c r="F829" s="19">
        <f ca="1">OFFSET('1课程考核方式及成绩组成'!$N$10,(ROW(F829)-5)/7,MOD((ROW(F829)-5),7))</f>
        <v>0</v>
      </c>
      <c r="G829" s="19">
        <f ca="1">OFFSET('1课程考核方式及成绩组成'!$V$10,(ROW(G829)-5)/7,MOD((ROW(G829)-5),7))</f>
        <v>0</v>
      </c>
      <c r="H829" s="19">
        <f ca="1">OFFSET('1课程考核方式及成绩组成'!$AD$10,(ROW(H829)-5)/7,MOD((ROW(H829)-5),7))</f>
        <v>0</v>
      </c>
      <c r="I829" s="19">
        <f ca="1">OFFSET('1课程考核方式及成绩组成'!$AL$10,(ROW(I829)-5)/7,MOD((ROW(I829)-5),7))</f>
        <v>0</v>
      </c>
      <c r="J829" s="25">
        <f ca="1">IF('0信息维护'!$I$115=0,0,E829/('0信息维护'!$I$115)*'0信息维护'!$E$40*'0信息维护'!$S$30)+IF('0信息维护'!$I$116=0,0,F829/('0信息维护'!$I$116)*'0信息维护'!$E$40*'0信息维护'!$T$30)+IF('0信息维护'!$I$117=0,0,G829/('0信息维护'!$I$117)*'0信息维护'!$E$40*'0信息维护'!$U$30)+IF('0信息维护'!$I$118=0,0,H829/('0信息维护'!$I$118)*'0信息维护'!$E$40*'0信息维护'!$V$30)+IF('0信息维护'!$I$119=0,0,I829/'0信息维护'!$I$119*'0信息维护'!$I$40)</f>
        <v>0</v>
      </c>
      <c r="K829" s="27"/>
    </row>
    <row r="830" spans="1:11">
      <c r="A830" s="21"/>
      <c r="B830" s="21"/>
      <c r="C830" s="21"/>
      <c r="D830" s="18" t="str">
        <f>'0信息维护'!A$31</f>
        <v>课程目标7</v>
      </c>
      <c r="E830" s="19">
        <f ca="1">OFFSET('1课程考核方式及成绩组成'!$F$10,(ROW(E830)-5)/7,MOD((ROW(E830)-5),7))</f>
        <v>0</v>
      </c>
      <c r="F830" s="19">
        <f ca="1">OFFSET('1课程考核方式及成绩组成'!$N$10,(ROW(F830)-5)/7,MOD((ROW(F830)-5),7))</f>
        <v>0</v>
      </c>
      <c r="G830" s="19">
        <f ca="1">OFFSET('1课程考核方式及成绩组成'!$V$10,(ROW(G830)-5)/7,MOD((ROW(G830)-5),7))</f>
        <v>0</v>
      </c>
      <c r="H830" s="19">
        <f ca="1">OFFSET('1课程考核方式及成绩组成'!$AD$10,(ROW(H830)-5)/7,MOD((ROW(H830)-5),7))</f>
        <v>0</v>
      </c>
      <c r="I830" s="19">
        <f ca="1">OFFSET('1课程考核方式及成绩组成'!$AL$10,(ROW(I830)-5)/7,MOD((ROW(I830)-5),7))</f>
        <v>0</v>
      </c>
      <c r="J830" s="25">
        <f ca="1">IF('0信息维护'!$I$121=0,0,E830/('0信息维护'!$I$121)*'0信息维护'!$E$41*'0信息维护'!$S$31)+IF('0信息维护'!$I$122=0,0,F830/('0信息维护'!$I$122)*'0信息维护'!$E$41*'0信息维护'!$T$31)+IF('0信息维护'!$I$123=0,0,G830/('0信息维护'!$I$123)*'0信息维护'!$E$41*'0信息维护'!$U$31)+IF('0信息维护'!$I$124=0,0,H830/('0信息维护'!$I$124)*'0信息维护'!$E$41*'0信息维护'!$T$31)+IF('0信息维护'!$I$125=0,0,I830/'0信息维护'!$I$125*'0信息维护'!$I$41)</f>
        <v>0</v>
      </c>
      <c r="K830" s="30"/>
    </row>
    <row r="831" spans="1:11">
      <c r="A831" s="17">
        <v>119</v>
      </c>
      <c r="B831" s="17" t="str">
        <f ca="1">OFFSET('1课程考核方式及成绩组成'!$D$10,(ROW(B831)-5)/7,)</f>
        <v>220106144</v>
      </c>
      <c r="C831" s="17" t="str">
        <f ca="1">OFFSET('1课程考核方式及成绩组成'!$E$10,(ROW(C831)-5)/7,)</f>
        <v>黄智</v>
      </c>
      <c r="D831" s="18" t="str">
        <f>'0信息维护'!A$25</f>
        <v>课程目标1</v>
      </c>
      <c r="E831" s="19">
        <f ca="1">OFFSET('1课程考核方式及成绩组成'!$F$10,(ROW(E831)-5)/7,MOD((ROW(E831)-5),7))</f>
        <v>32</v>
      </c>
      <c r="F831" s="19">
        <f ca="1">OFFSET('1课程考核方式及成绩组成'!$N$10,(ROW(F831)-5)/7,MOD((ROW(F831)-5),7))</f>
        <v>0</v>
      </c>
      <c r="G831" s="19">
        <f ca="1">OFFSET('1课程考核方式及成绩组成'!$V$10,(ROW(G831)-5)/7,MOD((ROW(G831)-5),7))</f>
        <v>0</v>
      </c>
      <c r="H831" s="19">
        <f ca="1">OFFSET('1课程考核方式及成绩组成'!$AD$10,(ROW(H831)-5)/7,MOD((ROW(H831)-5),7))</f>
        <v>0</v>
      </c>
      <c r="I831" s="19">
        <f ca="1">OFFSET('1课程考核方式及成绩组成'!$AL$10,(ROW(I831)-5)/7,MOD((ROW(I831)-5),7))</f>
        <v>28</v>
      </c>
      <c r="J831" s="25">
        <f ca="1">IF('0信息维护'!$I$85=0,0,E831/('0信息维护'!$I$85)*'0信息维护'!$E$35*'0信息维护'!$S$25)+IF('0信息维护'!$I$86=0,0,F831/('0信息维护'!$I$86)*'0信息维护'!$E$35*'0信息维护'!$T$25)+IF('0信息维护'!$I$87=0,0,G831/('0信息维护'!$I$87)*'0信息维护'!$E$35*'0信息维护'!$U$25)+IF('0信息维护'!$I$88=0,0,H831/('0信息维护'!$I$88)*'0信息维护'!$E$35*'0信息维护'!$V$25)+IF('0信息维护'!$I$89=0,0,I831/'0信息维护'!$I$89*'0信息维护'!$I$35)</f>
        <v>0.788888888888889</v>
      </c>
      <c r="K831" s="26">
        <f ca="1">J831*'0信息维护'!$D$132+J832*'0信息维护'!$D$133+J833*'0信息维护'!$D$134+J834*'0信息维护'!$D$135+J835*'0信息维护'!$D$136+J836*'0信息维护'!$D$137+J837*'0信息维护'!$D$138</f>
        <v>0.719686274509804</v>
      </c>
    </row>
    <row r="832" spans="1:14">
      <c r="A832" s="20"/>
      <c r="B832" s="20"/>
      <c r="C832" s="20"/>
      <c r="D832" s="18" t="str">
        <f>'0信息维护'!A$26</f>
        <v>课程目标2</v>
      </c>
      <c r="E832" s="19">
        <f ca="1">OFFSET('1课程考核方式及成绩组成'!$F$10,(ROW(E832)-5)/7,MOD((ROW(E832)-5),7))</f>
        <v>48</v>
      </c>
      <c r="F832" s="19">
        <f ca="1">OFFSET('1课程考核方式及成绩组成'!$N$10,(ROW(F832)-5)/7,MOD((ROW(F832)-5),7))</f>
        <v>0</v>
      </c>
      <c r="G832" s="19">
        <f ca="1">OFFSET('1课程考核方式及成绩组成'!$V$10,(ROW(G832)-5)/7,MOD((ROW(G832)-5),7))</f>
        <v>0</v>
      </c>
      <c r="H832" s="19">
        <f ca="1">OFFSET('1课程考核方式及成绩组成'!$AD$10,(ROW(H832)-5)/7,MOD((ROW(H832)-5),7))</f>
        <v>0</v>
      </c>
      <c r="I832" s="19">
        <f ca="1">OFFSET('1课程考核方式及成绩组成'!$AL$10,(ROW(I832)-5)/7,MOD((ROW(I832)-5),7))</f>
        <v>23</v>
      </c>
      <c r="J832" s="25">
        <f ca="1">IF('0信息维护'!$I$91=0,0,E832/('0信息维护'!$I$91)*'0信息维护'!$S$26*'0信息维护'!$E$36)+IF('0信息维护'!$I$92=0,0,F832/('0信息维护'!$I$92)*'0信息维护'!$T$26*'0信息维护'!$E$36)+IF('0信息维护'!$I$93=0,0,G832/('0信息维护'!$I$93)*'0信息维护'!$U$26*'0信息维护'!$E$36)+IF('0信息维护'!$I$94=0,0,H832/('0信息维护'!$I$94)*'0信息维护'!$V$26*'0信息维护'!$E$36)+IF('0信息维护'!$I$95=0,0,I832/'0信息维护'!$I$95*'0信息维护'!$I$36)</f>
        <v>0.783333333333333</v>
      </c>
      <c r="K832" s="27"/>
      <c r="N832" s="29"/>
    </row>
    <row r="833" spans="1:11">
      <c r="A833" s="20"/>
      <c r="B833" s="20"/>
      <c r="C833" s="20"/>
      <c r="D833" s="18" t="str">
        <f>'0信息维护'!A$27</f>
        <v>课程目标3</v>
      </c>
      <c r="E833" s="19">
        <f ca="1">OFFSET('1课程考核方式及成绩组成'!$F$10,(ROW(E833)-5)/7,MOD((ROW(E833)-5),7))</f>
        <v>0</v>
      </c>
      <c r="F833" s="19">
        <f ca="1">OFFSET('1课程考核方式及成绩组成'!$N$10,(ROW(F833)-5)/7,MOD((ROW(F833)-5),7))</f>
        <v>0</v>
      </c>
      <c r="G833" s="19">
        <f ca="1">OFFSET('1课程考核方式及成绩组成'!$V$10,(ROW(G833)-5)/7,MOD((ROW(G833)-5),7))</f>
        <v>0</v>
      </c>
      <c r="H833" s="19">
        <f ca="1">OFFSET('1课程考核方式及成绩组成'!$AD$10,(ROW(H833)-5)/7,MOD((ROW(H833)-5),7))</f>
        <v>0</v>
      </c>
      <c r="I833" s="19">
        <f ca="1">OFFSET('1课程考核方式及成绩组成'!$AL$10,(ROW(I833)-5)/7,MOD((ROW(I833)-5),7))</f>
        <v>18</v>
      </c>
      <c r="J833" s="25">
        <f ca="1">IF('0信息维护'!$I$97=0,0,E833/('0信息维护'!$I$97)*'0信息维护'!$E$37*'0信息维护'!$S$27)+IF('0信息维护'!$I$98=0,0,F833/('0信息维护'!$I$98)*'0信息维护'!$E$37*'0信息维护'!$T$27)+IF('0信息维护'!$I$99=0,0,G833/('0信息维护'!$I$99)*'0信息维护'!$E$37*'0信息维护'!$U$27)+IF('0信息维护'!$I$100=0,0,H833/('0信息维护'!$I$100)*'0信息维护'!$E$37*'0信息维护'!$V$27)+IF('0信息维护'!$I$101=0,0,I833/'0信息维护'!$I$101*'0信息维护'!$I$37)</f>
        <v>0.529411764705882</v>
      </c>
      <c r="K833" s="27"/>
    </row>
    <row r="834" spans="1:11">
      <c r="A834" s="20"/>
      <c r="B834" s="20"/>
      <c r="C834" s="20"/>
      <c r="D834" s="18" t="str">
        <f>'0信息维护'!A$28</f>
        <v>课程目标4</v>
      </c>
      <c r="E834" s="19">
        <f ca="1">OFFSET('1课程考核方式及成绩组成'!$F$10,(ROW(E834)-5)/7,MOD((ROW(E834)-5),7))</f>
        <v>0</v>
      </c>
      <c r="F834" s="19">
        <f ca="1">OFFSET('1课程考核方式及成绩组成'!$N$10,(ROW(F834)-5)/7,MOD((ROW(F834)-5),7))</f>
        <v>78</v>
      </c>
      <c r="G834" s="19">
        <f ca="1">OFFSET('1课程考核方式及成绩组成'!$V$10,(ROW(G834)-5)/7,MOD((ROW(G834)-5),7))</f>
        <v>0</v>
      </c>
      <c r="H834" s="19">
        <f ca="1">OFFSET('1课程考核方式及成绩组成'!$AD$10,(ROW(H834)-5)/7,MOD((ROW(H834)-5),7))</f>
        <v>0</v>
      </c>
      <c r="I834" s="19">
        <f ca="1">OFFSET('1课程考核方式及成绩组成'!$AL$10,(ROW(I834)-5)/7,MOD((ROW(I834)-5),7))</f>
        <v>0</v>
      </c>
      <c r="J834" s="25">
        <f ca="1">IF('0信息维护'!$I$103=0,0,E834/('0信息维护'!$I$103)*'0信息维护'!$E$38*'0信息维护'!$S$28)+IF('0信息维护'!$I$104=0,0,F834/('0信息维护'!$I$104)*'0信息维护'!$E$38*'0信息维护'!$T$28)+IF('0信息维护'!$I$105=0,0,G834/('0信息维护'!$I$105)*'0信息维护'!$E$38*'0信息维护'!$U$28)+IF('0信息维护'!$I$106=0,0,H834/('0信息维护'!$I$106)*'0信息维护'!$E$38*'0信息维护'!$V$28)+IF('0信息维护'!$I$107=0,0,I834/'0信息维护'!$I$107*'0信息维护'!$I$38)</f>
        <v>0.78</v>
      </c>
      <c r="K834" s="27"/>
    </row>
    <row r="835" spans="1:11">
      <c r="A835" s="20"/>
      <c r="B835" s="20"/>
      <c r="C835" s="20"/>
      <c r="D835" s="18" t="str">
        <f>'0信息维护'!A$29</f>
        <v>课程目标5</v>
      </c>
      <c r="E835" s="19">
        <f ca="1">OFFSET('1课程考核方式及成绩组成'!$F$10,(ROW(E835)-5)/7,MOD((ROW(E835)-5),7))</f>
        <v>0</v>
      </c>
      <c r="F835" s="19">
        <f ca="1">OFFSET('1课程考核方式及成绩组成'!$N$10,(ROW(F835)-5)/7,MOD((ROW(F835)-5),7))</f>
        <v>0</v>
      </c>
      <c r="G835" s="19">
        <f ca="1">OFFSET('1课程考核方式及成绩组成'!$V$10,(ROW(G835)-5)/7,MOD((ROW(G835)-5),7))</f>
        <v>0</v>
      </c>
      <c r="H835" s="19">
        <f ca="1">OFFSET('1课程考核方式及成绩组成'!$AD$10,(ROW(H835)-5)/7,MOD((ROW(H835)-5),7))</f>
        <v>0</v>
      </c>
      <c r="I835" s="19">
        <f ca="1">OFFSET('1课程考核方式及成绩组成'!$AL$10,(ROW(I835)-5)/7,MOD((ROW(I835)-5),7))</f>
        <v>0</v>
      </c>
      <c r="J835" s="25">
        <f ca="1">IF('0信息维护'!$I$109=0,0,E835/('0信息维护'!$I$109)*'0信息维护'!$E$39*'0信息维护'!$S$29)+IF('0信息维护'!$I$110=0,0,F835/('0信息维护'!$I$110)*'0信息维护'!$E$39*'0信息维护'!$T$29)+IF('0信息维护'!$I$111=0,0,G835/('0信息维护'!$I$111)*'0信息维护'!$E$39*'0信息维护'!$U$29)+IF('0信息维护'!$I$112=0,0,H835/('0信息维护'!$I$112)*'0信息维护'!$E$39*'0信息维护'!$V$29)+IF('0信息维护'!$I$113=0,0,I835/'0信息维护'!$I$113*'0信息维护'!$I$39)</f>
        <v>0</v>
      </c>
      <c r="K835" s="27"/>
    </row>
    <row r="836" spans="1:11">
      <c r="A836" s="20"/>
      <c r="B836" s="20"/>
      <c r="C836" s="20"/>
      <c r="D836" s="18" t="str">
        <f>'0信息维护'!A$30</f>
        <v>课程目标6</v>
      </c>
      <c r="E836" s="19">
        <f ca="1">OFFSET('1课程考核方式及成绩组成'!$F$10,(ROW(E836)-5)/7,MOD((ROW(E836)-5),7))</f>
        <v>0</v>
      </c>
      <c r="F836" s="19">
        <f ca="1">OFFSET('1课程考核方式及成绩组成'!$N$10,(ROW(F836)-5)/7,MOD((ROW(F836)-5),7))</f>
        <v>0</v>
      </c>
      <c r="G836" s="19">
        <f ca="1">OFFSET('1课程考核方式及成绩组成'!$V$10,(ROW(G836)-5)/7,MOD((ROW(G836)-5),7))</f>
        <v>0</v>
      </c>
      <c r="H836" s="19">
        <f ca="1">OFFSET('1课程考核方式及成绩组成'!$AD$10,(ROW(H836)-5)/7,MOD((ROW(H836)-5),7))</f>
        <v>0</v>
      </c>
      <c r="I836" s="19">
        <f ca="1">OFFSET('1课程考核方式及成绩组成'!$AL$10,(ROW(I836)-5)/7,MOD((ROW(I836)-5),7))</f>
        <v>0</v>
      </c>
      <c r="J836" s="25">
        <f ca="1">IF('0信息维护'!$I$115=0,0,E836/('0信息维护'!$I$115)*'0信息维护'!$E$40*'0信息维护'!$S$30)+IF('0信息维护'!$I$116=0,0,F836/('0信息维护'!$I$116)*'0信息维护'!$E$40*'0信息维护'!$T$30)+IF('0信息维护'!$I$117=0,0,G836/('0信息维护'!$I$117)*'0信息维护'!$E$40*'0信息维护'!$U$30)+IF('0信息维护'!$I$118=0,0,H836/('0信息维护'!$I$118)*'0信息维护'!$E$40*'0信息维护'!$V$30)+IF('0信息维护'!$I$119=0,0,I836/'0信息维护'!$I$119*'0信息维护'!$I$40)</f>
        <v>0</v>
      </c>
      <c r="K836" s="27"/>
    </row>
    <row r="837" spans="1:11">
      <c r="A837" s="21"/>
      <c r="B837" s="21"/>
      <c r="C837" s="21"/>
      <c r="D837" s="18" t="str">
        <f>'0信息维护'!A$31</f>
        <v>课程目标7</v>
      </c>
      <c r="E837" s="19">
        <f ca="1">OFFSET('1课程考核方式及成绩组成'!$F$10,(ROW(E837)-5)/7,MOD((ROW(E837)-5),7))</f>
        <v>0</v>
      </c>
      <c r="F837" s="19">
        <f ca="1">OFFSET('1课程考核方式及成绩组成'!$N$10,(ROW(F837)-5)/7,MOD((ROW(F837)-5),7))</f>
        <v>0</v>
      </c>
      <c r="G837" s="19">
        <f ca="1">OFFSET('1课程考核方式及成绩组成'!$V$10,(ROW(G837)-5)/7,MOD((ROW(G837)-5),7))</f>
        <v>0</v>
      </c>
      <c r="H837" s="19">
        <f ca="1">OFFSET('1课程考核方式及成绩组成'!$AD$10,(ROW(H837)-5)/7,MOD((ROW(H837)-5),7))</f>
        <v>0</v>
      </c>
      <c r="I837" s="19">
        <f ca="1">OFFSET('1课程考核方式及成绩组成'!$AL$10,(ROW(I837)-5)/7,MOD((ROW(I837)-5),7))</f>
        <v>0</v>
      </c>
      <c r="J837" s="25">
        <f ca="1">IF('0信息维护'!$I$121=0,0,E837/('0信息维护'!$I$121)*'0信息维护'!$E$41*'0信息维护'!$S$31)+IF('0信息维护'!$I$122=0,0,F837/('0信息维护'!$I$122)*'0信息维护'!$E$41*'0信息维护'!$T$31)+IF('0信息维护'!$I$123=0,0,G837/('0信息维护'!$I$123)*'0信息维护'!$E$41*'0信息维护'!$U$31)+IF('0信息维护'!$I$124=0,0,H837/('0信息维护'!$I$124)*'0信息维护'!$E$41*'0信息维护'!$T$31)+IF('0信息维护'!$I$125=0,0,I837/'0信息维护'!$I$125*'0信息维护'!$I$41)</f>
        <v>0</v>
      </c>
      <c r="K837" s="30"/>
    </row>
    <row r="838" spans="1:11">
      <c r="A838" s="17">
        <v>120</v>
      </c>
      <c r="B838" s="17" t="str">
        <f ca="1">OFFSET('1课程考核方式及成绩组成'!$D$10,(ROW(B838)-5)/7,)</f>
        <v>220106145</v>
      </c>
      <c r="C838" s="17" t="str">
        <f ca="1">OFFSET('1课程考核方式及成绩组成'!$E$10,(ROW(C838)-5)/7,)</f>
        <v>刘文彬</v>
      </c>
      <c r="D838" s="18" t="str">
        <f>'0信息维护'!A$25</f>
        <v>课程目标1</v>
      </c>
      <c r="E838" s="19">
        <f ca="1">OFFSET('1课程考核方式及成绩组成'!$F$10,(ROW(E838)-5)/7,MOD((ROW(E838)-5),7))</f>
        <v>33</v>
      </c>
      <c r="F838" s="19">
        <f ca="1">OFFSET('1课程考核方式及成绩组成'!$N$10,(ROW(F838)-5)/7,MOD((ROW(F838)-5),7))</f>
        <v>0</v>
      </c>
      <c r="G838" s="19">
        <f ca="1">OFFSET('1课程考核方式及成绩组成'!$V$10,(ROW(G838)-5)/7,MOD((ROW(G838)-5),7))</f>
        <v>0</v>
      </c>
      <c r="H838" s="19">
        <f ca="1">OFFSET('1课程考核方式及成绩组成'!$AD$10,(ROW(H838)-5)/7,MOD((ROW(H838)-5),7))</f>
        <v>0</v>
      </c>
      <c r="I838" s="19">
        <f ca="1">OFFSET('1课程考核方式及成绩组成'!$AL$10,(ROW(I838)-5)/7,MOD((ROW(I838)-5),7))</f>
        <v>34</v>
      </c>
      <c r="J838" s="25">
        <f ca="1">IF('0信息维护'!$I$85=0,0,E838/('0信息维护'!$I$85)*'0信息维护'!$E$35*'0信息维护'!$S$25)+IF('0信息维护'!$I$86=0,0,F838/('0信息维护'!$I$86)*'0信息维护'!$E$35*'0信息维护'!$T$25)+IF('0信息维护'!$I$87=0,0,G838/('0信息维护'!$I$87)*'0信息维护'!$E$35*'0信息维护'!$U$25)+IF('0信息维护'!$I$88=0,0,H838/('0信息维护'!$I$88)*'0信息维护'!$E$35*'0信息维护'!$V$25)+IF('0信息维护'!$I$89=0,0,I838/'0信息维护'!$I$89*'0信息维护'!$I$35)</f>
        <v>0.884722222222222</v>
      </c>
      <c r="K838" s="26">
        <f ca="1">J838*'0信息维护'!$D$132+J839*'0信息维护'!$D$133+J840*'0信息维护'!$D$134+J841*'0信息维护'!$D$135+J842*'0信息维护'!$D$136+J843*'0信息维护'!$D$137+J844*'0信息维护'!$D$138</f>
        <v>0.795531862745098</v>
      </c>
    </row>
    <row r="839" spans="1:14">
      <c r="A839" s="20"/>
      <c r="B839" s="20"/>
      <c r="C839" s="20"/>
      <c r="D839" s="18" t="str">
        <f>'0信息维护'!A$26</f>
        <v>课程目标2</v>
      </c>
      <c r="E839" s="19">
        <f ca="1">OFFSET('1课程考核方式及成绩组成'!$F$10,(ROW(E839)-5)/7,MOD((ROW(E839)-5),7))</f>
        <v>50</v>
      </c>
      <c r="F839" s="19">
        <f ca="1">OFFSET('1课程考核方式及成绩组成'!$N$10,(ROW(F839)-5)/7,MOD((ROW(F839)-5),7))</f>
        <v>0</v>
      </c>
      <c r="G839" s="19">
        <f ca="1">OFFSET('1课程考核方式及成绩组成'!$V$10,(ROW(G839)-5)/7,MOD((ROW(G839)-5),7))</f>
        <v>0</v>
      </c>
      <c r="H839" s="19">
        <f ca="1">OFFSET('1课程考核方式及成绩组成'!$AD$10,(ROW(H839)-5)/7,MOD((ROW(H839)-5),7))</f>
        <v>0</v>
      </c>
      <c r="I839" s="19">
        <f ca="1">OFFSET('1课程考核方式及成绩组成'!$AL$10,(ROW(I839)-5)/7,MOD((ROW(I839)-5),7))</f>
        <v>21</v>
      </c>
      <c r="J839" s="25">
        <f ca="1">IF('0信息维护'!$I$91=0,0,E839/('0信息维护'!$I$91)*'0信息维护'!$S$26*'0信息维护'!$E$36)+IF('0信息维护'!$I$92=0,0,F839/('0信息维护'!$I$92)*'0信息维护'!$T$26*'0信息维护'!$E$36)+IF('0信息维护'!$I$93=0,0,G839/('0信息维护'!$I$93)*'0信息维护'!$U$26*'0信息维护'!$E$36)+IF('0信息维护'!$I$94=0,0,H839/('0信息维护'!$I$94)*'0信息维护'!$V$26*'0信息维护'!$E$36)+IF('0信息维护'!$I$95=0,0,I839/'0信息维护'!$I$95*'0信息维护'!$I$36)</f>
        <v>0.766666666666667</v>
      </c>
      <c r="K839" s="27"/>
      <c r="N839" s="29"/>
    </row>
    <row r="840" spans="1:11">
      <c r="A840" s="20"/>
      <c r="B840" s="20"/>
      <c r="C840" s="20"/>
      <c r="D840" s="18" t="str">
        <f>'0信息维护'!A$27</f>
        <v>课程目标3</v>
      </c>
      <c r="E840" s="19">
        <f ca="1">OFFSET('1课程考核方式及成绩组成'!$F$10,(ROW(E840)-5)/7,MOD((ROW(E840)-5),7))</f>
        <v>0</v>
      </c>
      <c r="F840" s="19">
        <f ca="1">OFFSET('1课程考核方式及成绩组成'!$N$10,(ROW(F840)-5)/7,MOD((ROW(F840)-5),7))</f>
        <v>0</v>
      </c>
      <c r="G840" s="19">
        <f ca="1">OFFSET('1课程考核方式及成绩组成'!$V$10,(ROW(G840)-5)/7,MOD((ROW(G840)-5),7))</f>
        <v>0</v>
      </c>
      <c r="H840" s="19">
        <f ca="1">OFFSET('1课程考核方式及成绩组成'!$AD$10,(ROW(H840)-5)/7,MOD((ROW(H840)-5),7))</f>
        <v>0</v>
      </c>
      <c r="I840" s="19">
        <f ca="1">OFFSET('1课程考核方式及成绩组成'!$AL$10,(ROW(I840)-5)/7,MOD((ROW(I840)-5),7))</f>
        <v>25</v>
      </c>
      <c r="J840" s="25">
        <f ca="1">IF('0信息维护'!$I$97=0,0,E840/('0信息维护'!$I$97)*'0信息维护'!$E$37*'0信息维护'!$S$27)+IF('0信息维护'!$I$98=0,0,F840/('0信息维护'!$I$98)*'0信息维护'!$E$37*'0信息维护'!$T$27)+IF('0信息维护'!$I$99=0,0,G840/('0信息维护'!$I$99)*'0信息维护'!$E$37*'0信息维护'!$U$27)+IF('0信息维护'!$I$100=0,0,H840/('0信息维护'!$I$100)*'0信息维护'!$E$37*'0信息维护'!$V$27)+IF('0信息维护'!$I$101=0,0,I840/'0信息维护'!$I$101*'0信息维护'!$I$37)</f>
        <v>0.735294117647059</v>
      </c>
      <c r="K840" s="27"/>
    </row>
    <row r="841" spans="1:11">
      <c r="A841" s="20"/>
      <c r="B841" s="20"/>
      <c r="C841" s="20"/>
      <c r="D841" s="18" t="str">
        <f>'0信息维护'!A$28</f>
        <v>课程目标4</v>
      </c>
      <c r="E841" s="19">
        <f ca="1">OFFSET('1课程考核方式及成绩组成'!$F$10,(ROW(E841)-5)/7,MOD((ROW(E841)-5),7))</f>
        <v>0</v>
      </c>
      <c r="F841" s="19">
        <f ca="1">OFFSET('1课程考核方式及成绩组成'!$N$10,(ROW(F841)-5)/7,MOD((ROW(F841)-5),7))</f>
        <v>83</v>
      </c>
      <c r="G841" s="19">
        <f ca="1">OFFSET('1课程考核方式及成绩组成'!$V$10,(ROW(G841)-5)/7,MOD((ROW(G841)-5),7))</f>
        <v>0</v>
      </c>
      <c r="H841" s="19">
        <f ca="1">OFFSET('1课程考核方式及成绩组成'!$AD$10,(ROW(H841)-5)/7,MOD((ROW(H841)-5),7))</f>
        <v>0</v>
      </c>
      <c r="I841" s="19">
        <f ca="1">OFFSET('1课程考核方式及成绩组成'!$AL$10,(ROW(I841)-5)/7,MOD((ROW(I841)-5),7))</f>
        <v>0</v>
      </c>
      <c r="J841" s="25">
        <f ca="1">IF('0信息维护'!$I$103=0,0,E841/('0信息维护'!$I$103)*'0信息维护'!$E$38*'0信息维护'!$S$28)+IF('0信息维护'!$I$104=0,0,F841/('0信息维护'!$I$104)*'0信息维护'!$E$38*'0信息维护'!$T$28)+IF('0信息维护'!$I$105=0,0,G841/('0信息维护'!$I$105)*'0信息维护'!$E$38*'0信息维护'!$U$28)+IF('0信息维护'!$I$106=0,0,H841/('0信息维护'!$I$106)*'0信息维护'!$E$38*'0信息维护'!$V$28)+IF('0信息维护'!$I$107=0,0,I841/'0信息维护'!$I$107*'0信息维护'!$I$38)</f>
        <v>0.83</v>
      </c>
      <c r="K841" s="27"/>
    </row>
    <row r="842" spans="1:11">
      <c r="A842" s="20"/>
      <c r="B842" s="20"/>
      <c r="C842" s="20"/>
      <c r="D842" s="18" t="str">
        <f>'0信息维护'!A$29</f>
        <v>课程目标5</v>
      </c>
      <c r="E842" s="19">
        <f ca="1">OFFSET('1课程考核方式及成绩组成'!$F$10,(ROW(E842)-5)/7,MOD((ROW(E842)-5),7))</f>
        <v>0</v>
      </c>
      <c r="F842" s="19">
        <f ca="1">OFFSET('1课程考核方式及成绩组成'!$N$10,(ROW(F842)-5)/7,MOD((ROW(F842)-5),7))</f>
        <v>0</v>
      </c>
      <c r="G842" s="19">
        <f ca="1">OFFSET('1课程考核方式及成绩组成'!$V$10,(ROW(G842)-5)/7,MOD((ROW(G842)-5),7))</f>
        <v>0</v>
      </c>
      <c r="H842" s="19">
        <f ca="1">OFFSET('1课程考核方式及成绩组成'!$AD$10,(ROW(H842)-5)/7,MOD((ROW(H842)-5),7))</f>
        <v>0</v>
      </c>
      <c r="I842" s="19">
        <f ca="1">OFFSET('1课程考核方式及成绩组成'!$AL$10,(ROW(I842)-5)/7,MOD((ROW(I842)-5),7))</f>
        <v>0</v>
      </c>
      <c r="J842" s="25">
        <f ca="1">IF('0信息维护'!$I$109=0,0,E842/('0信息维护'!$I$109)*'0信息维护'!$E$39*'0信息维护'!$S$29)+IF('0信息维护'!$I$110=0,0,F842/('0信息维护'!$I$110)*'0信息维护'!$E$39*'0信息维护'!$T$29)+IF('0信息维护'!$I$111=0,0,G842/('0信息维护'!$I$111)*'0信息维护'!$E$39*'0信息维护'!$U$29)+IF('0信息维护'!$I$112=0,0,H842/('0信息维护'!$I$112)*'0信息维护'!$E$39*'0信息维护'!$V$29)+IF('0信息维护'!$I$113=0,0,I842/'0信息维护'!$I$113*'0信息维护'!$I$39)</f>
        <v>0</v>
      </c>
      <c r="K842" s="27"/>
    </row>
    <row r="843" spans="1:11">
      <c r="A843" s="20"/>
      <c r="B843" s="20"/>
      <c r="C843" s="20"/>
      <c r="D843" s="18" t="str">
        <f>'0信息维护'!A$30</f>
        <v>课程目标6</v>
      </c>
      <c r="E843" s="19">
        <f ca="1">OFFSET('1课程考核方式及成绩组成'!$F$10,(ROW(E843)-5)/7,MOD((ROW(E843)-5),7))</f>
        <v>0</v>
      </c>
      <c r="F843" s="19">
        <f ca="1">OFFSET('1课程考核方式及成绩组成'!$N$10,(ROW(F843)-5)/7,MOD((ROW(F843)-5),7))</f>
        <v>0</v>
      </c>
      <c r="G843" s="19">
        <f ca="1">OFFSET('1课程考核方式及成绩组成'!$V$10,(ROW(G843)-5)/7,MOD((ROW(G843)-5),7))</f>
        <v>0</v>
      </c>
      <c r="H843" s="19">
        <f ca="1">OFFSET('1课程考核方式及成绩组成'!$AD$10,(ROW(H843)-5)/7,MOD((ROW(H843)-5),7))</f>
        <v>0</v>
      </c>
      <c r="I843" s="19">
        <f ca="1">OFFSET('1课程考核方式及成绩组成'!$AL$10,(ROW(I843)-5)/7,MOD((ROW(I843)-5),7))</f>
        <v>0</v>
      </c>
      <c r="J843" s="25">
        <f ca="1">IF('0信息维护'!$I$115=0,0,E843/('0信息维护'!$I$115)*'0信息维护'!$E$40*'0信息维护'!$S$30)+IF('0信息维护'!$I$116=0,0,F843/('0信息维护'!$I$116)*'0信息维护'!$E$40*'0信息维护'!$T$30)+IF('0信息维护'!$I$117=0,0,G843/('0信息维护'!$I$117)*'0信息维护'!$E$40*'0信息维护'!$U$30)+IF('0信息维护'!$I$118=0,0,H843/('0信息维护'!$I$118)*'0信息维护'!$E$40*'0信息维护'!$V$30)+IF('0信息维护'!$I$119=0,0,I843/'0信息维护'!$I$119*'0信息维护'!$I$40)</f>
        <v>0</v>
      </c>
      <c r="K843" s="27"/>
    </row>
    <row r="844" spans="1:11">
      <c r="A844" s="21"/>
      <c r="B844" s="21"/>
      <c r="C844" s="21"/>
      <c r="D844" s="18" t="str">
        <f>'0信息维护'!A$31</f>
        <v>课程目标7</v>
      </c>
      <c r="E844" s="19">
        <f ca="1">OFFSET('1课程考核方式及成绩组成'!$F$10,(ROW(E844)-5)/7,MOD((ROW(E844)-5),7))</f>
        <v>0</v>
      </c>
      <c r="F844" s="19">
        <f ca="1">OFFSET('1课程考核方式及成绩组成'!$N$10,(ROW(F844)-5)/7,MOD((ROW(F844)-5),7))</f>
        <v>0</v>
      </c>
      <c r="G844" s="19">
        <f ca="1">OFFSET('1课程考核方式及成绩组成'!$V$10,(ROW(G844)-5)/7,MOD((ROW(G844)-5),7))</f>
        <v>0</v>
      </c>
      <c r="H844" s="19">
        <f ca="1">OFFSET('1课程考核方式及成绩组成'!$AD$10,(ROW(H844)-5)/7,MOD((ROW(H844)-5),7))</f>
        <v>0</v>
      </c>
      <c r="I844" s="19">
        <f ca="1">OFFSET('1课程考核方式及成绩组成'!$AL$10,(ROW(I844)-5)/7,MOD((ROW(I844)-5),7))</f>
        <v>0</v>
      </c>
      <c r="J844" s="25">
        <f ca="1">IF('0信息维护'!$I$121=0,0,E844/('0信息维护'!$I$121)*'0信息维护'!$E$41*'0信息维护'!$S$31)+IF('0信息维护'!$I$122=0,0,F844/('0信息维护'!$I$122)*'0信息维护'!$E$41*'0信息维护'!$T$31)+IF('0信息维护'!$I$123=0,0,G844/('0信息维护'!$I$123)*'0信息维护'!$E$41*'0信息维护'!$U$31)+IF('0信息维护'!$I$124=0,0,H844/('0信息维护'!$I$124)*'0信息维护'!$E$41*'0信息维护'!$T$31)+IF('0信息维护'!$I$125=0,0,I844/'0信息维护'!$I$125*'0信息维护'!$I$41)</f>
        <v>0</v>
      </c>
      <c r="K844" s="30"/>
    </row>
    <row r="845" spans="1:11">
      <c r="A845" s="17">
        <v>121</v>
      </c>
      <c r="B845" s="17" t="str">
        <f ca="1">OFFSET('1课程考核方式及成绩组成'!$D$10,(ROW(B845)-5)/7,)</f>
        <v>220106146</v>
      </c>
      <c r="C845" s="17" t="str">
        <f ca="1">OFFSET('1课程考核方式及成绩组成'!$E$10,(ROW(C845)-5)/7,)</f>
        <v>张小萍</v>
      </c>
      <c r="D845" s="18" t="str">
        <f>'0信息维护'!A$25</f>
        <v>课程目标1</v>
      </c>
      <c r="E845" s="19">
        <f ca="1">OFFSET('1课程考核方式及成绩组成'!$F$10,(ROW(E845)-5)/7,MOD((ROW(E845)-5),7))</f>
        <v>32</v>
      </c>
      <c r="F845" s="19">
        <f ca="1">OFFSET('1课程考核方式及成绩组成'!$N$10,(ROW(F845)-5)/7,MOD((ROW(F845)-5),7))</f>
        <v>0</v>
      </c>
      <c r="G845" s="19">
        <f ca="1">OFFSET('1课程考核方式及成绩组成'!$V$10,(ROW(G845)-5)/7,MOD((ROW(G845)-5),7))</f>
        <v>0</v>
      </c>
      <c r="H845" s="19">
        <f ca="1">OFFSET('1课程考核方式及成绩组成'!$AD$10,(ROW(H845)-5)/7,MOD((ROW(H845)-5),7))</f>
        <v>0</v>
      </c>
      <c r="I845" s="19">
        <f ca="1">OFFSET('1课程考核方式及成绩组成'!$AL$10,(ROW(I845)-5)/7,MOD((ROW(I845)-5),7))</f>
        <v>28</v>
      </c>
      <c r="J845" s="25">
        <f ca="1">IF('0信息维护'!$I$85=0,0,E845/('0信息维护'!$I$85)*'0信息维护'!$E$35*'0信息维护'!$S$25)+IF('0信息维护'!$I$86=0,0,F845/('0信息维护'!$I$86)*'0信息维护'!$E$35*'0信息维护'!$T$25)+IF('0信息维护'!$I$87=0,0,G845/('0信息维护'!$I$87)*'0信息维护'!$E$35*'0信息维护'!$U$25)+IF('0信息维护'!$I$88=0,0,H845/('0信息维护'!$I$88)*'0信息维护'!$E$35*'0信息维护'!$V$25)+IF('0信息维护'!$I$89=0,0,I845/'0信息维护'!$I$89*'0信息维护'!$I$35)</f>
        <v>0.788888888888889</v>
      </c>
      <c r="K845" s="26">
        <f ca="1">J845*'0信息维护'!$D$132+J846*'0信息维护'!$D$133+J847*'0信息维护'!$D$134+J848*'0信息维护'!$D$135+J849*'0信息维护'!$D$136+J850*'0信息维护'!$D$137+J851*'0信息维护'!$D$138</f>
        <v>0.787098039215686</v>
      </c>
    </row>
    <row r="846" spans="1:14">
      <c r="A846" s="20"/>
      <c r="B846" s="20"/>
      <c r="C846" s="20"/>
      <c r="D846" s="18" t="str">
        <f>'0信息维护'!A$26</f>
        <v>课程目标2</v>
      </c>
      <c r="E846" s="19">
        <f ca="1">OFFSET('1课程考核方式及成绩组成'!$F$10,(ROW(E846)-5)/7,MOD((ROW(E846)-5),7))</f>
        <v>48</v>
      </c>
      <c r="F846" s="19">
        <f ca="1">OFFSET('1课程考核方式及成绩组成'!$N$10,(ROW(F846)-5)/7,MOD((ROW(F846)-5),7))</f>
        <v>0</v>
      </c>
      <c r="G846" s="19">
        <f ca="1">OFFSET('1课程考核方式及成绩组成'!$V$10,(ROW(G846)-5)/7,MOD((ROW(G846)-5),7))</f>
        <v>0</v>
      </c>
      <c r="H846" s="19">
        <f ca="1">OFFSET('1课程考核方式及成绩组成'!$AD$10,(ROW(H846)-5)/7,MOD((ROW(H846)-5),7))</f>
        <v>0</v>
      </c>
      <c r="I846" s="19">
        <f ca="1">OFFSET('1课程考核方式及成绩组成'!$AL$10,(ROW(I846)-5)/7,MOD((ROW(I846)-5),7))</f>
        <v>27</v>
      </c>
      <c r="J846" s="25">
        <f ca="1">IF('0信息维护'!$I$91=0,0,E846/('0信息维护'!$I$91)*'0信息维护'!$S$26*'0信息维护'!$E$36)+IF('0信息维护'!$I$92=0,0,F846/('0信息维护'!$I$92)*'0信息维护'!$T$26*'0信息维护'!$E$36)+IF('0信息维护'!$I$93=0,0,G846/('0信息维护'!$I$93)*'0信息维护'!$U$26*'0信息维护'!$E$36)+IF('0信息维护'!$I$94=0,0,H846/('0信息维护'!$I$94)*'0信息维护'!$V$26*'0信息维护'!$E$36)+IF('0信息维护'!$I$95=0,0,I846/'0信息维护'!$I$95*'0信息维护'!$I$36)</f>
        <v>0.85</v>
      </c>
      <c r="K846" s="27"/>
      <c r="N846" s="29"/>
    </row>
    <row r="847" spans="1:11">
      <c r="A847" s="20"/>
      <c r="B847" s="20"/>
      <c r="C847" s="20"/>
      <c r="D847" s="18" t="str">
        <f>'0信息维护'!A$27</f>
        <v>课程目标3</v>
      </c>
      <c r="E847" s="19">
        <f ca="1">OFFSET('1课程考核方式及成绩组成'!$F$10,(ROW(E847)-5)/7,MOD((ROW(E847)-5),7))</f>
        <v>0</v>
      </c>
      <c r="F847" s="19">
        <f ca="1">OFFSET('1课程考核方式及成绩组成'!$N$10,(ROW(F847)-5)/7,MOD((ROW(F847)-5),7))</f>
        <v>0</v>
      </c>
      <c r="G847" s="19">
        <f ca="1">OFFSET('1课程考核方式及成绩组成'!$V$10,(ROW(G847)-5)/7,MOD((ROW(G847)-5),7))</f>
        <v>0</v>
      </c>
      <c r="H847" s="19">
        <f ca="1">OFFSET('1课程考核方式及成绩组成'!$AD$10,(ROW(H847)-5)/7,MOD((ROW(H847)-5),7))</f>
        <v>0</v>
      </c>
      <c r="I847" s="19">
        <f ca="1">OFFSET('1课程考核方式及成绩组成'!$AL$10,(ROW(I847)-5)/7,MOD((ROW(I847)-5),7))</f>
        <v>22</v>
      </c>
      <c r="J847" s="25">
        <f ca="1">IF('0信息维护'!$I$97=0,0,E847/('0信息维护'!$I$97)*'0信息维护'!$E$37*'0信息维护'!$S$27)+IF('0信息维护'!$I$98=0,0,F847/('0信息维护'!$I$98)*'0信息维护'!$E$37*'0信息维护'!$T$27)+IF('0信息维护'!$I$99=0,0,G847/('0信息维护'!$I$99)*'0信息维护'!$E$37*'0信息维护'!$U$27)+IF('0信息维护'!$I$100=0,0,H847/('0信息维护'!$I$100)*'0信息维护'!$E$37*'0信息维护'!$V$27)+IF('0信息维护'!$I$101=0,0,I847/'0信息维护'!$I$101*'0信息维护'!$I$37)</f>
        <v>0.647058823529412</v>
      </c>
      <c r="K847" s="27"/>
    </row>
    <row r="848" spans="1:11">
      <c r="A848" s="20"/>
      <c r="B848" s="20"/>
      <c r="C848" s="20"/>
      <c r="D848" s="18" t="str">
        <f>'0信息维护'!A$28</f>
        <v>课程目标4</v>
      </c>
      <c r="E848" s="19">
        <f ca="1">OFFSET('1课程考核方式及成绩组成'!$F$10,(ROW(E848)-5)/7,MOD((ROW(E848)-5),7))</f>
        <v>0</v>
      </c>
      <c r="F848" s="19">
        <f ca="1">OFFSET('1课程考核方式及成绩组成'!$N$10,(ROW(F848)-5)/7,MOD((ROW(F848)-5),7))</f>
        <v>84</v>
      </c>
      <c r="G848" s="19">
        <f ca="1">OFFSET('1课程考核方式及成绩组成'!$V$10,(ROW(G848)-5)/7,MOD((ROW(G848)-5),7))</f>
        <v>0</v>
      </c>
      <c r="H848" s="19">
        <f ca="1">OFFSET('1课程考核方式及成绩组成'!$AD$10,(ROW(H848)-5)/7,MOD((ROW(H848)-5),7))</f>
        <v>0</v>
      </c>
      <c r="I848" s="19">
        <f ca="1">OFFSET('1课程考核方式及成绩组成'!$AL$10,(ROW(I848)-5)/7,MOD((ROW(I848)-5),7))</f>
        <v>0</v>
      </c>
      <c r="J848" s="25">
        <f ca="1">IF('0信息维护'!$I$103=0,0,E848/('0信息维护'!$I$103)*'0信息维护'!$E$38*'0信息维护'!$S$28)+IF('0信息维护'!$I$104=0,0,F848/('0信息维护'!$I$104)*'0信息维护'!$E$38*'0信息维护'!$T$28)+IF('0信息维护'!$I$105=0,0,G848/('0信息维护'!$I$105)*'0信息维护'!$E$38*'0信息维护'!$U$28)+IF('0信息维护'!$I$106=0,0,H848/('0信息维护'!$I$106)*'0信息维护'!$E$38*'0信息维护'!$V$28)+IF('0信息维护'!$I$107=0,0,I848/'0信息维护'!$I$107*'0信息维护'!$I$38)</f>
        <v>0.84</v>
      </c>
      <c r="K848" s="27"/>
    </row>
    <row r="849" spans="1:11">
      <c r="A849" s="20"/>
      <c r="B849" s="20"/>
      <c r="C849" s="20"/>
      <c r="D849" s="18" t="str">
        <f>'0信息维护'!A$29</f>
        <v>课程目标5</v>
      </c>
      <c r="E849" s="19">
        <f ca="1">OFFSET('1课程考核方式及成绩组成'!$F$10,(ROW(E849)-5)/7,MOD((ROW(E849)-5),7))</f>
        <v>0</v>
      </c>
      <c r="F849" s="19">
        <f ca="1">OFFSET('1课程考核方式及成绩组成'!$N$10,(ROW(F849)-5)/7,MOD((ROW(F849)-5),7))</f>
        <v>0</v>
      </c>
      <c r="G849" s="19">
        <f ca="1">OFFSET('1课程考核方式及成绩组成'!$V$10,(ROW(G849)-5)/7,MOD((ROW(G849)-5),7))</f>
        <v>0</v>
      </c>
      <c r="H849" s="19">
        <f ca="1">OFFSET('1课程考核方式及成绩组成'!$AD$10,(ROW(H849)-5)/7,MOD((ROW(H849)-5),7))</f>
        <v>0</v>
      </c>
      <c r="I849" s="19">
        <f ca="1">OFFSET('1课程考核方式及成绩组成'!$AL$10,(ROW(I849)-5)/7,MOD((ROW(I849)-5),7))</f>
        <v>0</v>
      </c>
      <c r="J849" s="25">
        <f ca="1">IF('0信息维护'!$I$109=0,0,E849/('0信息维护'!$I$109)*'0信息维护'!$E$39*'0信息维护'!$S$29)+IF('0信息维护'!$I$110=0,0,F849/('0信息维护'!$I$110)*'0信息维护'!$E$39*'0信息维护'!$T$29)+IF('0信息维护'!$I$111=0,0,G849/('0信息维护'!$I$111)*'0信息维护'!$E$39*'0信息维护'!$U$29)+IF('0信息维护'!$I$112=0,0,H849/('0信息维护'!$I$112)*'0信息维护'!$E$39*'0信息维护'!$V$29)+IF('0信息维护'!$I$113=0,0,I849/'0信息维护'!$I$113*'0信息维护'!$I$39)</f>
        <v>0</v>
      </c>
      <c r="K849" s="27"/>
    </row>
    <row r="850" spans="1:11">
      <c r="A850" s="20"/>
      <c r="B850" s="20"/>
      <c r="C850" s="20"/>
      <c r="D850" s="18" t="str">
        <f>'0信息维护'!A$30</f>
        <v>课程目标6</v>
      </c>
      <c r="E850" s="19">
        <f ca="1">OFFSET('1课程考核方式及成绩组成'!$F$10,(ROW(E850)-5)/7,MOD((ROW(E850)-5),7))</f>
        <v>0</v>
      </c>
      <c r="F850" s="19">
        <f ca="1">OFFSET('1课程考核方式及成绩组成'!$N$10,(ROW(F850)-5)/7,MOD((ROW(F850)-5),7))</f>
        <v>0</v>
      </c>
      <c r="G850" s="19">
        <f ca="1">OFFSET('1课程考核方式及成绩组成'!$V$10,(ROW(G850)-5)/7,MOD((ROW(G850)-5),7))</f>
        <v>0</v>
      </c>
      <c r="H850" s="19">
        <f ca="1">OFFSET('1课程考核方式及成绩组成'!$AD$10,(ROW(H850)-5)/7,MOD((ROW(H850)-5),7))</f>
        <v>0</v>
      </c>
      <c r="I850" s="19">
        <f ca="1">OFFSET('1课程考核方式及成绩组成'!$AL$10,(ROW(I850)-5)/7,MOD((ROW(I850)-5),7))</f>
        <v>0</v>
      </c>
      <c r="J850" s="25">
        <f ca="1">IF('0信息维护'!$I$115=0,0,E850/('0信息维护'!$I$115)*'0信息维护'!$E$40*'0信息维护'!$S$30)+IF('0信息维护'!$I$116=0,0,F850/('0信息维护'!$I$116)*'0信息维护'!$E$40*'0信息维护'!$T$30)+IF('0信息维护'!$I$117=0,0,G850/('0信息维护'!$I$117)*'0信息维护'!$E$40*'0信息维护'!$U$30)+IF('0信息维护'!$I$118=0,0,H850/('0信息维护'!$I$118)*'0信息维护'!$E$40*'0信息维护'!$V$30)+IF('0信息维护'!$I$119=0,0,I850/'0信息维护'!$I$119*'0信息维护'!$I$40)</f>
        <v>0</v>
      </c>
      <c r="K850" s="27"/>
    </row>
    <row r="851" spans="1:11">
      <c r="A851" s="21"/>
      <c r="B851" s="21"/>
      <c r="C851" s="21"/>
      <c r="D851" s="18" t="str">
        <f>'0信息维护'!A$31</f>
        <v>课程目标7</v>
      </c>
      <c r="E851" s="19">
        <f ca="1">OFFSET('1课程考核方式及成绩组成'!$F$10,(ROW(E851)-5)/7,MOD((ROW(E851)-5),7))</f>
        <v>0</v>
      </c>
      <c r="F851" s="19">
        <f ca="1">OFFSET('1课程考核方式及成绩组成'!$N$10,(ROW(F851)-5)/7,MOD((ROW(F851)-5),7))</f>
        <v>0</v>
      </c>
      <c r="G851" s="19">
        <f ca="1">OFFSET('1课程考核方式及成绩组成'!$V$10,(ROW(G851)-5)/7,MOD((ROW(G851)-5),7))</f>
        <v>0</v>
      </c>
      <c r="H851" s="19">
        <f ca="1">OFFSET('1课程考核方式及成绩组成'!$AD$10,(ROW(H851)-5)/7,MOD((ROW(H851)-5),7))</f>
        <v>0</v>
      </c>
      <c r="I851" s="19">
        <f ca="1">OFFSET('1课程考核方式及成绩组成'!$AL$10,(ROW(I851)-5)/7,MOD((ROW(I851)-5),7))</f>
        <v>0</v>
      </c>
      <c r="J851" s="25">
        <f ca="1">IF('0信息维护'!$I$121=0,0,E851/('0信息维护'!$I$121)*'0信息维护'!$E$41*'0信息维护'!$S$31)+IF('0信息维护'!$I$122=0,0,F851/('0信息维护'!$I$122)*'0信息维护'!$E$41*'0信息维护'!$T$31)+IF('0信息维护'!$I$123=0,0,G851/('0信息维护'!$I$123)*'0信息维护'!$E$41*'0信息维护'!$U$31)+IF('0信息维护'!$I$124=0,0,H851/('0信息维护'!$I$124)*'0信息维护'!$E$41*'0信息维护'!$T$31)+IF('0信息维护'!$I$125=0,0,I851/'0信息维护'!$I$125*'0信息维护'!$I$41)</f>
        <v>0</v>
      </c>
      <c r="K851" s="30"/>
    </row>
    <row r="852" spans="1:11">
      <c r="A852" s="17">
        <v>122</v>
      </c>
      <c r="B852" s="17" t="str">
        <f ca="1">OFFSET('1课程考核方式及成绩组成'!$D$10,(ROW(B852)-5)/7,)</f>
        <v>220106147</v>
      </c>
      <c r="C852" s="17" t="str">
        <f ca="1">OFFSET('1课程考核方式及成绩组成'!$E$10,(ROW(C852)-5)/7,)</f>
        <v>贾世宏</v>
      </c>
      <c r="D852" s="18" t="str">
        <f>'0信息维护'!A$25</f>
        <v>课程目标1</v>
      </c>
      <c r="E852" s="19">
        <f ca="1">OFFSET('1课程考核方式及成绩组成'!$F$10,(ROW(E852)-5)/7,MOD((ROW(E852)-5),7))</f>
        <v>32</v>
      </c>
      <c r="F852" s="19">
        <f ca="1">OFFSET('1课程考核方式及成绩组成'!$N$10,(ROW(F852)-5)/7,MOD((ROW(F852)-5),7))</f>
        <v>0</v>
      </c>
      <c r="G852" s="19">
        <f ca="1">OFFSET('1课程考核方式及成绩组成'!$V$10,(ROW(G852)-5)/7,MOD((ROW(G852)-5),7))</f>
        <v>0</v>
      </c>
      <c r="H852" s="19">
        <f ca="1">OFFSET('1课程考核方式及成绩组成'!$AD$10,(ROW(H852)-5)/7,MOD((ROW(H852)-5),7))</f>
        <v>0</v>
      </c>
      <c r="I852" s="19">
        <f ca="1">OFFSET('1课程考核方式及成绩组成'!$AL$10,(ROW(I852)-5)/7,MOD((ROW(I852)-5),7))</f>
        <v>30</v>
      </c>
      <c r="J852" s="25">
        <f ca="1">IF('0信息维护'!$I$85=0,0,E852/('0信息维护'!$I$85)*'0信息维护'!$E$35*'0信息维护'!$S$25)+IF('0信息维护'!$I$86=0,0,F852/('0信息维护'!$I$86)*'0信息维护'!$E$35*'0信息维护'!$T$25)+IF('0信息维护'!$I$87=0,0,G852/('0信息维护'!$I$87)*'0信息维护'!$E$35*'0信息维护'!$U$25)+IF('0信息维护'!$I$88=0,0,H852/('0信息维护'!$I$88)*'0信息维护'!$E$35*'0信息维护'!$V$25)+IF('0信息维护'!$I$89=0,0,I852/'0信息维护'!$I$89*'0信息维护'!$I$35)</f>
        <v>0.816666666666667</v>
      </c>
      <c r="K852" s="26">
        <f ca="1">J852*'0信息维护'!$D$132+J853*'0信息维护'!$D$133+J854*'0信息维护'!$D$134+J855*'0信息维护'!$D$135+J856*'0信息维护'!$D$136+J857*'0信息维护'!$D$137+J858*'0信息维护'!$D$138</f>
        <v>0.758911764705882</v>
      </c>
    </row>
    <row r="853" spans="1:14">
      <c r="A853" s="20"/>
      <c r="B853" s="20"/>
      <c r="C853" s="20"/>
      <c r="D853" s="18" t="str">
        <f>'0信息维护'!A$26</f>
        <v>课程目标2</v>
      </c>
      <c r="E853" s="19">
        <f ca="1">OFFSET('1课程考核方式及成绩组成'!$F$10,(ROW(E853)-5)/7,MOD((ROW(E853)-5),7))</f>
        <v>48</v>
      </c>
      <c r="F853" s="19">
        <f ca="1">OFFSET('1课程考核方式及成绩组成'!$N$10,(ROW(F853)-5)/7,MOD((ROW(F853)-5),7))</f>
        <v>0</v>
      </c>
      <c r="G853" s="19">
        <f ca="1">OFFSET('1课程考核方式及成绩组成'!$V$10,(ROW(G853)-5)/7,MOD((ROW(G853)-5),7))</f>
        <v>0</v>
      </c>
      <c r="H853" s="19">
        <f ca="1">OFFSET('1课程考核方式及成绩组成'!$AD$10,(ROW(H853)-5)/7,MOD((ROW(H853)-5),7))</f>
        <v>0</v>
      </c>
      <c r="I853" s="19">
        <f ca="1">OFFSET('1课程考核方式及成绩组成'!$AL$10,(ROW(I853)-5)/7,MOD((ROW(I853)-5),7))</f>
        <v>19</v>
      </c>
      <c r="J853" s="25">
        <f ca="1">IF('0信息维护'!$I$91=0,0,E853/('0信息维护'!$I$91)*'0信息维护'!$S$26*'0信息维护'!$E$36)+IF('0信息维护'!$I$92=0,0,F853/('0信息维护'!$I$92)*'0信息维护'!$T$26*'0信息维护'!$E$36)+IF('0信息维护'!$I$93=0,0,G853/('0信息维护'!$I$93)*'0信息维护'!$U$26*'0信息维护'!$E$36)+IF('0信息维护'!$I$94=0,0,H853/('0信息维护'!$I$94)*'0信息维护'!$V$26*'0信息维护'!$E$36)+IF('0信息维护'!$I$95=0,0,I853/'0信息维护'!$I$95*'0信息维护'!$I$36)</f>
        <v>0.716666666666667</v>
      </c>
      <c r="K853" s="27"/>
      <c r="N853" s="29"/>
    </row>
    <row r="854" spans="1:11">
      <c r="A854" s="20"/>
      <c r="B854" s="20"/>
      <c r="C854" s="20"/>
      <c r="D854" s="18" t="str">
        <f>'0信息维护'!A$27</f>
        <v>课程目标3</v>
      </c>
      <c r="E854" s="19">
        <f ca="1">OFFSET('1课程考核方式及成绩组成'!$F$10,(ROW(E854)-5)/7,MOD((ROW(E854)-5),7))</f>
        <v>0</v>
      </c>
      <c r="F854" s="19">
        <f ca="1">OFFSET('1课程考核方式及成绩组成'!$N$10,(ROW(F854)-5)/7,MOD((ROW(F854)-5),7))</f>
        <v>0</v>
      </c>
      <c r="G854" s="19">
        <f ca="1">OFFSET('1课程考核方式及成绩组成'!$V$10,(ROW(G854)-5)/7,MOD((ROW(G854)-5),7))</f>
        <v>0</v>
      </c>
      <c r="H854" s="19">
        <f ca="1">OFFSET('1课程考核方式及成绩组成'!$AD$10,(ROW(H854)-5)/7,MOD((ROW(H854)-5),7))</f>
        <v>0</v>
      </c>
      <c r="I854" s="19">
        <f ca="1">OFFSET('1课程考核方式及成绩组成'!$AL$10,(ROW(I854)-5)/7,MOD((ROW(I854)-5),7))</f>
        <v>21</v>
      </c>
      <c r="J854" s="25">
        <f ca="1">IF('0信息维护'!$I$97=0,0,E854/('0信息维护'!$I$97)*'0信息维护'!$E$37*'0信息维护'!$S$27)+IF('0信息维护'!$I$98=0,0,F854/('0信息维护'!$I$98)*'0信息维护'!$E$37*'0信息维护'!$T$27)+IF('0信息维护'!$I$99=0,0,G854/('0信息维护'!$I$99)*'0信息维护'!$E$37*'0信息维护'!$U$27)+IF('0信息维护'!$I$100=0,0,H854/('0信息维护'!$I$100)*'0信息维护'!$E$37*'0信息维护'!$V$27)+IF('0信息维护'!$I$101=0,0,I854/'0信息维护'!$I$101*'0信息维护'!$I$37)</f>
        <v>0.617647058823529</v>
      </c>
      <c r="K854" s="27"/>
    </row>
    <row r="855" spans="1:11">
      <c r="A855" s="20"/>
      <c r="B855" s="20"/>
      <c r="C855" s="20"/>
      <c r="D855" s="18" t="str">
        <f>'0信息维护'!A$28</f>
        <v>课程目标4</v>
      </c>
      <c r="E855" s="19">
        <f ca="1">OFFSET('1课程考核方式及成绩组成'!$F$10,(ROW(E855)-5)/7,MOD((ROW(E855)-5),7))</f>
        <v>0</v>
      </c>
      <c r="F855" s="19">
        <f ca="1">OFFSET('1课程考核方式及成绩组成'!$N$10,(ROW(F855)-5)/7,MOD((ROW(F855)-5),7))</f>
        <v>89</v>
      </c>
      <c r="G855" s="19">
        <f ca="1">OFFSET('1课程考核方式及成绩组成'!$V$10,(ROW(G855)-5)/7,MOD((ROW(G855)-5),7))</f>
        <v>0</v>
      </c>
      <c r="H855" s="19">
        <f ca="1">OFFSET('1课程考核方式及成绩组成'!$AD$10,(ROW(H855)-5)/7,MOD((ROW(H855)-5),7))</f>
        <v>0</v>
      </c>
      <c r="I855" s="19">
        <f ca="1">OFFSET('1课程考核方式及成绩组成'!$AL$10,(ROW(I855)-5)/7,MOD((ROW(I855)-5),7))</f>
        <v>0</v>
      </c>
      <c r="J855" s="25">
        <f ca="1">IF('0信息维护'!$I$103=0,0,E855/('0信息维护'!$I$103)*'0信息维护'!$E$38*'0信息维护'!$S$28)+IF('0信息维护'!$I$104=0,0,F855/('0信息维护'!$I$104)*'0信息维护'!$E$38*'0信息维护'!$T$28)+IF('0信息维护'!$I$105=0,0,G855/('0信息维护'!$I$105)*'0信息维护'!$E$38*'0信息维护'!$U$28)+IF('0信息维护'!$I$106=0,0,H855/('0信息维护'!$I$106)*'0信息维护'!$E$38*'0信息维护'!$V$28)+IF('0信息维护'!$I$107=0,0,I855/'0信息维护'!$I$107*'0信息维护'!$I$38)</f>
        <v>0.89</v>
      </c>
      <c r="K855" s="27"/>
    </row>
    <row r="856" spans="1:11">
      <c r="A856" s="20"/>
      <c r="B856" s="20"/>
      <c r="C856" s="20"/>
      <c r="D856" s="18" t="str">
        <f>'0信息维护'!A$29</f>
        <v>课程目标5</v>
      </c>
      <c r="E856" s="19">
        <f ca="1">OFFSET('1课程考核方式及成绩组成'!$F$10,(ROW(E856)-5)/7,MOD((ROW(E856)-5),7))</f>
        <v>0</v>
      </c>
      <c r="F856" s="19">
        <f ca="1">OFFSET('1课程考核方式及成绩组成'!$N$10,(ROW(F856)-5)/7,MOD((ROW(F856)-5),7))</f>
        <v>0</v>
      </c>
      <c r="G856" s="19">
        <f ca="1">OFFSET('1课程考核方式及成绩组成'!$V$10,(ROW(G856)-5)/7,MOD((ROW(G856)-5),7))</f>
        <v>0</v>
      </c>
      <c r="H856" s="19">
        <f ca="1">OFFSET('1课程考核方式及成绩组成'!$AD$10,(ROW(H856)-5)/7,MOD((ROW(H856)-5),7))</f>
        <v>0</v>
      </c>
      <c r="I856" s="19">
        <f ca="1">OFFSET('1课程考核方式及成绩组成'!$AL$10,(ROW(I856)-5)/7,MOD((ROW(I856)-5),7))</f>
        <v>0</v>
      </c>
      <c r="J856" s="25">
        <f ca="1">IF('0信息维护'!$I$109=0,0,E856/('0信息维护'!$I$109)*'0信息维护'!$E$39*'0信息维护'!$S$29)+IF('0信息维护'!$I$110=0,0,F856/('0信息维护'!$I$110)*'0信息维护'!$E$39*'0信息维护'!$T$29)+IF('0信息维护'!$I$111=0,0,G856/('0信息维护'!$I$111)*'0信息维护'!$E$39*'0信息维护'!$U$29)+IF('0信息维护'!$I$112=0,0,H856/('0信息维护'!$I$112)*'0信息维护'!$E$39*'0信息维护'!$V$29)+IF('0信息维护'!$I$113=0,0,I856/'0信息维护'!$I$113*'0信息维护'!$I$39)</f>
        <v>0</v>
      </c>
      <c r="K856" s="27"/>
    </row>
    <row r="857" spans="1:11">
      <c r="A857" s="20"/>
      <c r="B857" s="20"/>
      <c r="C857" s="20"/>
      <c r="D857" s="18" t="str">
        <f>'0信息维护'!A$30</f>
        <v>课程目标6</v>
      </c>
      <c r="E857" s="19">
        <f ca="1">OFFSET('1课程考核方式及成绩组成'!$F$10,(ROW(E857)-5)/7,MOD((ROW(E857)-5),7))</f>
        <v>0</v>
      </c>
      <c r="F857" s="19">
        <f ca="1">OFFSET('1课程考核方式及成绩组成'!$N$10,(ROW(F857)-5)/7,MOD((ROW(F857)-5),7))</f>
        <v>0</v>
      </c>
      <c r="G857" s="19">
        <f ca="1">OFFSET('1课程考核方式及成绩组成'!$V$10,(ROW(G857)-5)/7,MOD((ROW(G857)-5),7))</f>
        <v>0</v>
      </c>
      <c r="H857" s="19">
        <f ca="1">OFFSET('1课程考核方式及成绩组成'!$AD$10,(ROW(H857)-5)/7,MOD((ROW(H857)-5),7))</f>
        <v>0</v>
      </c>
      <c r="I857" s="19">
        <f ca="1">OFFSET('1课程考核方式及成绩组成'!$AL$10,(ROW(I857)-5)/7,MOD((ROW(I857)-5),7))</f>
        <v>0</v>
      </c>
      <c r="J857" s="25">
        <f ca="1">IF('0信息维护'!$I$115=0,0,E857/('0信息维护'!$I$115)*'0信息维护'!$E$40*'0信息维护'!$S$30)+IF('0信息维护'!$I$116=0,0,F857/('0信息维护'!$I$116)*'0信息维护'!$E$40*'0信息维护'!$T$30)+IF('0信息维护'!$I$117=0,0,G857/('0信息维护'!$I$117)*'0信息维护'!$E$40*'0信息维护'!$U$30)+IF('0信息维护'!$I$118=0,0,H857/('0信息维护'!$I$118)*'0信息维护'!$E$40*'0信息维护'!$V$30)+IF('0信息维护'!$I$119=0,0,I857/'0信息维护'!$I$119*'0信息维护'!$I$40)</f>
        <v>0</v>
      </c>
      <c r="K857" s="27"/>
    </row>
    <row r="858" spans="1:11">
      <c r="A858" s="21"/>
      <c r="B858" s="21"/>
      <c r="C858" s="21"/>
      <c r="D858" s="18" t="str">
        <f>'0信息维护'!A$31</f>
        <v>课程目标7</v>
      </c>
      <c r="E858" s="19">
        <f ca="1">OFFSET('1课程考核方式及成绩组成'!$F$10,(ROW(E858)-5)/7,MOD((ROW(E858)-5),7))</f>
        <v>0</v>
      </c>
      <c r="F858" s="19">
        <f ca="1">OFFSET('1课程考核方式及成绩组成'!$N$10,(ROW(F858)-5)/7,MOD((ROW(F858)-5),7))</f>
        <v>0</v>
      </c>
      <c r="G858" s="19">
        <f ca="1">OFFSET('1课程考核方式及成绩组成'!$V$10,(ROW(G858)-5)/7,MOD((ROW(G858)-5),7))</f>
        <v>0</v>
      </c>
      <c r="H858" s="19">
        <f ca="1">OFFSET('1课程考核方式及成绩组成'!$AD$10,(ROW(H858)-5)/7,MOD((ROW(H858)-5),7))</f>
        <v>0</v>
      </c>
      <c r="I858" s="19">
        <f ca="1">OFFSET('1课程考核方式及成绩组成'!$AL$10,(ROW(I858)-5)/7,MOD((ROW(I858)-5),7))</f>
        <v>0</v>
      </c>
      <c r="J858" s="25">
        <f ca="1">IF('0信息维护'!$I$121=0,0,E858/('0信息维护'!$I$121)*'0信息维护'!$E$41*'0信息维护'!$S$31)+IF('0信息维护'!$I$122=0,0,F858/('0信息维护'!$I$122)*'0信息维护'!$E$41*'0信息维护'!$T$31)+IF('0信息维护'!$I$123=0,0,G858/('0信息维护'!$I$123)*'0信息维护'!$E$41*'0信息维护'!$U$31)+IF('0信息维护'!$I$124=0,0,H858/('0信息维护'!$I$124)*'0信息维护'!$E$41*'0信息维护'!$T$31)+IF('0信息维护'!$I$125=0,0,I858/'0信息维护'!$I$125*'0信息维护'!$I$41)</f>
        <v>0</v>
      </c>
      <c r="K858" s="30"/>
    </row>
    <row r="859" spans="1:11">
      <c r="A859" s="17">
        <v>123</v>
      </c>
      <c r="B859" s="17" t="str">
        <f ca="1">OFFSET('1课程考核方式及成绩组成'!$D$10,(ROW(B859)-5)/7,)</f>
        <v>220106148</v>
      </c>
      <c r="C859" s="17" t="str">
        <f ca="1">OFFSET('1课程考核方式及成绩组成'!$E$10,(ROW(C859)-5)/7,)</f>
        <v>谢帅</v>
      </c>
      <c r="D859" s="18" t="str">
        <f>'0信息维护'!A$25</f>
        <v>课程目标1</v>
      </c>
      <c r="E859" s="19">
        <f ca="1">OFFSET('1课程考核方式及成绩组成'!$F$10,(ROW(E859)-5)/7,MOD((ROW(E859)-5),7))</f>
        <v>34</v>
      </c>
      <c r="F859" s="19">
        <f ca="1">OFFSET('1课程考核方式及成绩组成'!$N$10,(ROW(F859)-5)/7,MOD((ROW(F859)-5),7))</f>
        <v>0</v>
      </c>
      <c r="G859" s="19">
        <f ca="1">OFFSET('1课程考核方式及成绩组成'!$V$10,(ROW(G859)-5)/7,MOD((ROW(G859)-5),7))</f>
        <v>0</v>
      </c>
      <c r="H859" s="19">
        <f ca="1">OFFSET('1课程考核方式及成绩组成'!$AD$10,(ROW(H859)-5)/7,MOD((ROW(H859)-5),7))</f>
        <v>0</v>
      </c>
      <c r="I859" s="19">
        <f ca="1">OFFSET('1课程考核方式及成绩组成'!$AL$10,(ROW(I859)-5)/7,MOD((ROW(I859)-5),7))</f>
        <v>25</v>
      </c>
      <c r="J859" s="25">
        <f ca="1">IF('0信息维护'!$I$85=0,0,E859/('0信息维护'!$I$85)*'0信息维护'!$E$35*'0信息维护'!$S$25)+IF('0信息维护'!$I$86=0,0,F859/('0信息维护'!$I$86)*'0信息维护'!$E$35*'0信息维护'!$T$25)+IF('0信息维护'!$I$87=0,0,G859/('0信息维护'!$I$87)*'0信息维护'!$E$35*'0信息维护'!$U$25)+IF('0信息维护'!$I$88=0,0,H859/('0信息维护'!$I$88)*'0信息维护'!$E$35*'0信息维护'!$V$25)+IF('0信息维护'!$I$89=0,0,I859/'0信息维护'!$I$89*'0信息维护'!$I$35)</f>
        <v>0.772222222222222</v>
      </c>
      <c r="K859" s="26">
        <f ca="1">J859*'0信息维护'!$D$132+J860*'0信息维护'!$D$133+J861*'0信息维护'!$D$134+J862*'0信息维护'!$D$135+J863*'0信息维护'!$D$136+J864*'0信息维护'!$D$137+J865*'0信息维护'!$D$138</f>
        <v>0.617862745098039</v>
      </c>
    </row>
    <row r="860" spans="1:14">
      <c r="A860" s="20"/>
      <c r="B860" s="20"/>
      <c r="C860" s="20"/>
      <c r="D860" s="18" t="str">
        <f>'0信息维护'!A$26</f>
        <v>课程目标2</v>
      </c>
      <c r="E860" s="19">
        <f ca="1">OFFSET('1课程考核方式及成绩组成'!$F$10,(ROW(E860)-5)/7,MOD((ROW(E860)-5),7))</f>
        <v>51</v>
      </c>
      <c r="F860" s="19">
        <f ca="1">OFFSET('1课程考核方式及成绩组成'!$N$10,(ROW(F860)-5)/7,MOD((ROW(F860)-5),7))</f>
        <v>0</v>
      </c>
      <c r="G860" s="19">
        <f ca="1">OFFSET('1课程考核方式及成绩组成'!$V$10,(ROW(G860)-5)/7,MOD((ROW(G860)-5),7))</f>
        <v>0</v>
      </c>
      <c r="H860" s="19">
        <f ca="1">OFFSET('1课程考核方式及成绩组成'!$AD$10,(ROW(H860)-5)/7,MOD((ROW(H860)-5),7))</f>
        <v>0</v>
      </c>
      <c r="I860" s="19">
        <f ca="1">OFFSET('1课程考核方式及成绩组成'!$AL$10,(ROW(I860)-5)/7,MOD((ROW(I860)-5),7))</f>
        <v>14</v>
      </c>
      <c r="J860" s="25">
        <f ca="1">IF('0信息维护'!$I$91=0,0,E860/('0信息维护'!$I$91)*'0信息维护'!$S$26*'0信息维护'!$E$36)+IF('0信息维护'!$I$92=0,0,F860/('0信息维护'!$I$92)*'0信息维护'!$T$26*'0信息维护'!$E$36)+IF('0信息维护'!$I$93=0,0,G860/('0信息维护'!$I$93)*'0信息维护'!$U$26*'0信息维护'!$E$36)+IF('0信息维护'!$I$94=0,0,H860/('0信息维护'!$I$94)*'0信息维护'!$V$26*'0信息维护'!$E$36)+IF('0信息维护'!$I$95=0,0,I860/'0信息维护'!$I$95*'0信息维护'!$I$36)</f>
        <v>0.658333333333333</v>
      </c>
      <c r="K860" s="27"/>
      <c r="N860" s="29"/>
    </row>
    <row r="861" spans="1:11">
      <c r="A861" s="20"/>
      <c r="B861" s="20"/>
      <c r="C861" s="20"/>
      <c r="D861" s="18" t="str">
        <f>'0信息维护'!A$27</f>
        <v>课程目标3</v>
      </c>
      <c r="E861" s="19">
        <f ca="1">OFFSET('1课程考核方式及成绩组成'!$F$10,(ROW(E861)-5)/7,MOD((ROW(E861)-5),7))</f>
        <v>0</v>
      </c>
      <c r="F861" s="19">
        <f ca="1">OFFSET('1课程考核方式及成绩组成'!$N$10,(ROW(F861)-5)/7,MOD((ROW(F861)-5),7))</f>
        <v>0</v>
      </c>
      <c r="G861" s="19">
        <f ca="1">OFFSET('1课程考核方式及成绩组成'!$V$10,(ROW(G861)-5)/7,MOD((ROW(G861)-5),7))</f>
        <v>0</v>
      </c>
      <c r="H861" s="19">
        <f ca="1">OFFSET('1课程考核方式及成绩组成'!$AD$10,(ROW(H861)-5)/7,MOD((ROW(H861)-5),7))</f>
        <v>0</v>
      </c>
      <c r="I861" s="19">
        <f ca="1">OFFSET('1课程考核方式及成绩组成'!$AL$10,(ROW(I861)-5)/7,MOD((ROW(I861)-5),7))</f>
        <v>10</v>
      </c>
      <c r="J861" s="25">
        <f ca="1">IF('0信息维护'!$I$97=0,0,E861/('0信息维护'!$I$97)*'0信息维护'!$E$37*'0信息维护'!$S$27)+IF('0信息维护'!$I$98=0,0,F861/('0信息维护'!$I$98)*'0信息维护'!$E$37*'0信息维护'!$T$27)+IF('0信息维护'!$I$99=0,0,G861/('0信息维护'!$I$99)*'0信息维护'!$E$37*'0信息维护'!$U$27)+IF('0信息维护'!$I$100=0,0,H861/('0信息维护'!$I$100)*'0信息维护'!$E$37*'0信息维护'!$V$27)+IF('0信息维护'!$I$101=0,0,I861/'0信息维护'!$I$101*'0信息维护'!$I$37)</f>
        <v>0.294117647058824</v>
      </c>
      <c r="K861" s="27"/>
    </row>
    <row r="862" spans="1:11">
      <c r="A862" s="20"/>
      <c r="B862" s="20"/>
      <c r="C862" s="20"/>
      <c r="D862" s="18" t="str">
        <f>'0信息维护'!A$28</f>
        <v>课程目标4</v>
      </c>
      <c r="E862" s="19">
        <f ca="1">OFFSET('1课程考核方式及成绩组成'!$F$10,(ROW(E862)-5)/7,MOD((ROW(E862)-5),7))</f>
        <v>0</v>
      </c>
      <c r="F862" s="19">
        <f ca="1">OFFSET('1课程考核方式及成绩组成'!$N$10,(ROW(F862)-5)/7,MOD((ROW(F862)-5),7))</f>
        <v>77</v>
      </c>
      <c r="G862" s="19">
        <f ca="1">OFFSET('1课程考核方式及成绩组成'!$V$10,(ROW(G862)-5)/7,MOD((ROW(G862)-5),7))</f>
        <v>0</v>
      </c>
      <c r="H862" s="19">
        <f ca="1">OFFSET('1课程考核方式及成绩组成'!$AD$10,(ROW(H862)-5)/7,MOD((ROW(H862)-5),7))</f>
        <v>0</v>
      </c>
      <c r="I862" s="19">
        <f ca="1">OFFSET('1课程考核方式及成绩组成'!$AL$10,(ROW(I862)-5)/7,MOD((ROW(I862)-5),7))</f>
        <v>0</v>
      </c>
      <c r="J862" s="25">
        <f ca="1">IF('0信息维护'!$I$103=0,0,E862/('0信息维护'!$I$103)*'0信息维护'!$E$38*'0信息维护'!$S$28)+IF('0信息维护'!$I$104=0,0,F862/('0信息维护'!$I$104)*'0信息维护'!$E$38*'0信息维护'!$T$28)+IF('0信息维护'!$I$105=0,0,G862/('0信息维护'!$I$105)*'0信息维护'!$E$38*'0信息维护'!$U$28)+IF('0信息维护'!$I$106=0,0,H862/('0信息维护'!$I$106)*'0信息维护'!$E$38*'0信息维护'!$V$28)+IF('0信息维护'!$I$107=0,0,I862/'0信息维护'!$I$107*'0信息维护'!$I$38)</f>
        <v>0.77</v>
      </c>
      <c r="K862" s="27"/>
    </row>
    <row r="863" spans="1:11">
      <c r="A863" s="20"/>
      <c r="B863" s="20"/>
      <c r="C863" s="20"/>
      <c r="D863" s="18" t="str">
        <f>'0信息维护'!A$29</f>
        <v>课程目标5</v>
      </c>
      <c r="E863" s="19">
        <f ca="1">OFFSET('1课程考核方式及成绩组成'!$F$10,(ROW(E863)-5)/7,MOD((ROW(E863)-5),7))</f>
        <v>0</v>
      </c>
      <c r="F863" s="19">
        <f ca="1">OFFSET('1课程考核方式及成绩组成'!$N$10,(ROW(F863)-5)/7,MOD((ROW(F863)-5),7))</f>
        <v>0</v>
      </c>
      <c r="G863" s="19">
        <f ca="1">OFFSET('1课程考核方式及成绩组成'!$V$10,(ROW(G863)-5)/7,MOD((ROW(G863)-5),7))</f>
        <v>0</v>
      </c>
      <c r="H863" s="19">
        <f ca="1">OFFSET('1课程考核方式及成绩组成'!$AD$10,(ROW(H863)-5)/7,MOD((ROW(H863)-5),7))</f>
        <v>0</v>
      </c>
      <c r="I863" s="19">
        <f ca="1">OFFSET('1课程考核方式及成绩组成'!$AL$10,(ROW(I863)-5)/7,MOD((ROW(I863)-5),7))</f>
        <v>0</v>
      </c>
      <c r="J863" s="25">
        <f ca="1">IF('0信息维护'!$I$109=0,0,E863/('0信息维护'!$I$109)*'0信息维护'!$E$39*'0信息维护'!$S$29)+IF('0信息维护'!$I$110=0,0,F863/('0信息维护'!$I$110)*'0信息维护'!$E$39*'0信息维护'!$T$29)+IF('0信息维护'!$I$111=0,0,G863/('0信息维护'!$I$111)*'0信息维护'!$E$39*'0信息维护'!$U$29)+IF('0信息维护'!$I$112=0,0,H863/('0信息维护'!$I$112)*'0信息维护'!$E$39*'0信息维护'!$V$29)+IF('0信息维护'!$I$113=0,0,I863/'0信息维护'!$I$113*'0信息维护'!$I$39)</f>
        <v>0</v>
      </c>
      <c r="K863" s="27"/>
    </row>
    <row r="864" spans="1:11">
      <c r="A864" s="20"/>
      <c r="B864" s="20"/>
      <c r="C864" s="20"/>
      <c r="D864" s="18" t="str">
        <f>'0信息维护'!A$30</f>
        <v>课程目标6</v>
      </c>
      <c r="E864" s="19">
        <f ca="1">OFFSET('1课程考核方式及成绩组成'!$F$10,(ROW(E864)-5)/7,MOD((ROW(E864)-5),7))</f>
        <v>0</v>
      </c>
      <c r="F864" s="19">
        <f ca="1">OFFSET('1课程考核方式及成绩组成'!$N$10,(ROW(F864)-5)/7,MOD((ROW(F864)-5),7))</f>
        <v>0</v>
      </c>
      <c r="G864" s="19">
        <f ca="1">OFFSET('1课程考核方式及成绩组成'!$V$10,(ROW(G864)-5)/7,MOD((ROW(G864)-5),7))</f>
        <v>0</v>
      </c>
      <c r="H864" s="19">
        <f ca="1">OFFSET('1课程考核方式及成绩组成'!$AD$10,(ROW(H864)-5)/7,MOD((ROW(H864)-5),7))</f>
        <v>0</v>
      </c>
      <c r="I864" s="19">
        <f ca="1">OFFSET('1课程考核方式及成绩组成'!$AL$10,(ROW(I864)-5)/7,MOD((ROW(I864)-5),7))</f>
        <v>0</v>
      </c>
      <c r="J864" s="25">
        <f ca="1">IF('0信息维护'!$I$115=0,0,E864/('0信息维护'!$I$115)*'0信息维护'!$E$40*'0信息维护'!$S$30)+IF('0信息维护'!$I$116=0,0,F864/('0信息维护'!$I$116)*'0信息维护'!$E$40*'0信息维护'!$T$30)+IF('0信息维护'!$I$117=0,0,G864/('0信息维护'!$I$117)*'0信息维护'!$E$40*'0信息维护'!$U$30)+IF('0信息维护'!$I$118=0,0,H864/('0信息维护'!$I$118)*'0信息维护'!$E$40*'0信息维护'!$V$30)+IF('0信息维护'!$I$119=0,0,I864/'0信息维护'!$I$119*'0信息维护'!$I$40)</f>
        <v>0</v>
      </c>
      <c r="K864" s="27"/>
    </row>
    <row r="865" spans="1:11">
      <c r="A865" s="21"/>
      <c r="B865" s="21"/>
      <c r="C865" s="21"/>
      <c r="D865" s="18" t="str">
        <f>'0信息维护'!A$31</f>
        <v>课程目标7</v>
      </c>
      <c r="E865" s="19">
        <f ca="1">OFFSET('1课程考核方式及成绩组成'!$F$10,(ROW(E865)-5)/7,MOD((ROW(E865)-5),7))</f>
        <v>0</v>
      </c>
      <c r="F865" s="19">
        <f ca="1">OFFSET('1课程考核方式及成绩组成'!$N$10,(ROW(F865)-5)/7,MOD((ROW(F865)-5),7))</f>
        <v>0</v>
      </c>
      <c r="G865" s="19">
        <f ca="1">OFFSET('1课程考核方式及成绩组成'!$V$10,(ROW(G865)-5)/7,MOD((ROW(G865)-5),7))</f>
        <v>0</v>
      </c>
      <c r="H865" s="19">
        <f ca="1">OFFSET('1课程考核方式及成绩组成'!$AD$10,(ROW(H865)-5)/7,MOD((ROW(H865)-5),7))</f>
        <v>0</v>
      </c>
      <c r="I865" s="19">
        <f ca="1">OFFSET('1课程考核方式及成绩组成'!$AL$10,(ROW(I865)-5)/7,MOD((ROW(I865)-5),7))</f>
        <v>0</v>
      </c>
      <c r="J865" s="25">
        <f ca="1">IF('0信息维护'!$I$121=0,0,E865/('0信息维护'!$I$121)*'0信息维护'!$E$41*'0信息维护'!$S$31)+IF('0信息维护'!$I$122=0,0,F865/('0信息维护'!$I$122)*'0信息维护'!$E$41*'0信息维护'!$T$31)+IF('0信息维护'!$I$123=0,0,G865/('0信息维护'!$I$123)*'0信息维护'!$E$41*'0信息维护'!$U$31)+IF('0信息维护'!$I$124=0,0,H865/('0信息维护'!$I$124)*'0信息维护'!$E$41*'0信息维护'!$T$31)+IF('0信息维护'!$I$125=0,0,I865/'0信息维护'!$I$125*'0信息维护'!$I$41)</f>
        <v>0</v>
      </c>
      <c r="K865" s="30"/>
    </row>
    <row r="866" spans="1:11">
      <c r="A866" s="17">
        <v>124</v>
      </c>
      <c r="B866" s="17" t="str">
        <f ca="1">OFFSET('1课程考核方式及成绩组成'!$D$10,(ROW(B866)-5)/7,)</f>
        <v>220106149</v>
      </c>
      <c r="C866" s="17" t="str">
        <f ca="1">OFFSET('1课程考核方式及成绩组成'!$E$10,(ROW(C866)-5)/7,)</f>
        <v>曾海</v>
      </c>
      <c r="D866" s="18" t="str">
        <f>'0信息维护'!A$25</f>
        <v>课程目标1</v>
      </c>
      <c r="E866" s="19">
        <f ca="1">OFFSET('1课程考核方式及成绩组成'!$F$10,(ROW(E866)-5)/7,MOD((ROW(E866)-5),7))</f>
        <v>32</v>
      </c>
      <c r="F866" s="19">
        <f ca="1">OFFSET('1课程考核方式及成绩组成'!$N$10,(ROW(F866)-5)/7,MOD((ROW(F866)-5),7))</f>
        <v>0</v>
      </c>
      <c r="G866" s="19">
        <f ca="1">OFFSET('1课程考核方式及成绩组成'!$V$10,(ROW(G866)-5)/7,MOD((ROW(G866)-5),7))</f>
        <v>0</v>
      </c>
      <c r="H866" s="19">
        <f ca="1">OFFSET('1课程考核方式及成绩组成'!$AD$10,(ROW(H866)-5)/7,MOD((ROW(H866)-5),7))</f>
        <v>0</v>
      </c>
      <c r="I866" s="19">
        <f ca="1">OFFSET('1课程考核方式及成绩组成'!$AL$10,(ROW(I866)-5)/7,MOD((ROW(I866)-5),7))</f>
        <v>19</v>
      </c>
      <c r="J866" s="25">
        <f ca="1">IF('0信息维护'!$I$85=0,0,E866/('0信息维护'!$I$85)*'0信息维护'!$E$35*'0信息维护'!$S$25)+IF('0信息维护'!$I$86=0,0,F866/('0信息维护'!$I$86)*'0信息维护'!$E$35*'0信息维护'!$T$25)+IF('0信息维护'!$I$87=0,0,G866/('0信息维护'!$I$87)*'0信息维护'!$E$35*'0信息维护'!$U$25)+IF('0信息维护'!$I$88=0,0,H866/('0信息维护'!$I$88)*'0信息维护'!$E$35*'0信息维护'!$V$25)+IF('0信息维护'!$I$89=0,0,I866/'0信息维护'!$I$89*'0信息维护'!$I$35)</f>
        <v>0.663888888888889</v>
      </c>
      <c r="K866" s="26">
        <f ca="1">J866*'0信息维护'!$D$132+J867*'0信息维护'!$D$133+J868*'0信息维护'!$D$134+J869*'0信息维护'!$D$135+J870*'0信息维护'!$D$136+J871*'0信息维护'!$D$137+J872*'0信息维护'!$D$138</f>
        <v>0.600171568627451</v>
      </c>
    </row>
    <row r="867" spans="1:14">
      <c r="A867" s="20"/>
      <c r="B867" s="20"/>
      <c r="C867" s="20"/>
      <c r="D867" s="18" t="str">
        <f>'0信息维护'!A$26</f>
        <v>课程目标2</v>
      </c>
      <c r="E867" s="19">
        <f ca="1">OFFSET('1课程考核方式及成绩组成'!$F$10,(ROW(E867)-5)/7,MOD((ROW(E867)-5),7))</f>
        <v>48</v>
      </c>
      <c r="F867" s="19">
        <f ca="1">OFFSET('1课程考核方式及成绩组成'!$N$10,(ROW(F867)-5)/7,MOD((ROW(F867)-5),7))</f>
        <v>0</v>
      </c>
      <c r="G867" s="19">
        <f ca="1">OFFSET('1课程考核方式及成绩组成'!$V$10,(ROW(G867)-5)/7,MOD((ROW(G867)-5),7))</f>
        <v>0</v>
      </c>
      <c r="H867" s="19">
        <f ca="1">OFFSET('1课程考核方式及成绩组成'!$AD$10,(ROW(H867)-5)/7,MOD((ROW(H867)-5),7))</f>
        <v>0</v>
      </c>
      <c r="I867" s="19">
        <f ca="1">OFFSET('1课程考核方式及成绩组成'!$AL$10,(ROW(I867)-5)/7,MOD((ROW(I867)-5),7))</f>
        <v>12</v>
      </c>
      <c r="J867" s="25">
        <f ca="1">IF('0信息维护'!$I$91=0,0,E867/('0信息维护'!$I$91)*'0信息维护'!$S$26*'0信息维护'!$E$36)+IF('0信息维护'!$I$92=0,0,F867/('0信息维护'!$I$92)*'0信息维护'!$T$26*'0信息维护'!$E$36)+IF('0信息维护'!$I$93=0,0,G867/('0信息维护'!$I$93)*'0信息维护'!$U$26*'0信息维护'!$E$36)+IF('0信息维护'!$I$94=0,0,H867/('0信息维护'!$I$94)*'0信息维护'!$V$26*'0信息维护'!$E$36)+IF('0信息维护'!$I$95=0,0,I867/'0信息维护'!$I$95*'0信息维护'!$I$36)</f>
        <v>0.6</v>
      </c>
      <c r="K867" s="27"/>
      <c r="N867" s="29"/>
    </row>
    <row r="868" spans="1:11">
      <c r="A868" s="20"/>
      <c r="B868" s="20"/>
      <c r="C868" s="20"/>
      <c r="D868" s="18" t="str">
        <f>'0信息维护'!A$27</f>
        <v>课程目标3</v>
      </c>
      <c r="E868" s="19">
        <f ca="1">OFFSET('1课程考核方式及成绩组成'!$F$10,(ROW(E868)-5)/7,MOD((ROW(E868)-5),7))</f>
        <v>0</v>
      </c>
      <c r="F868" s="19">
        <f ca="1">OFFSET('1课程考核方式及成绩组成'!$N$10,(ROW(F868)-5)/7,MOD((ROW(F868)-5),7))</f>
        <v>0</v>
      </c>
      <c r="G868" s="19">
        <f ca="1">OFFSET('1课程考核方式及成绩组成'!$V$10,(ROW(G868)-5)/7,MOD((ROW(G868)-5),7))</f>
        <v>0</v>
      </c>
      <c r="H868" s="19">
        <f ca="1">OFFSET('1课程考核方式及成绩组成'!$AD$10,(ROW(H868)-5)/7,MOD((ROW(H868)-5),7))</f>
        <v>0</v>
      </c>
      <c r="I868" s="19">
        <f ca="1">OFFSET('1课程考核方式及成绩组成'!$AL$10,(ROW(I868)-5)/7,MOD((ROW(I868)-5),7))</f>
        <v>13</v>
      </c>
      <c r="J868" s="25">
        <f ca="1">IF('0信息维护'!$I$97=0,0,E868/('0信息维护'!$I$97)*'0信息维护'!$E$37*'0信息维护'!$S$27)+IF('0信息维护'!$I$98=0,0,F868/('0信息维护'!$I$98)*'0信息维护'!$E$37*'0信息维护'!$T$27)+IF('0信息维护'!$I$99=0,0,G868/('0信息维护'!$I$99)*'0信息维护'!$E$37*'0信息维护'!$U$27)+IF('0信息维护'!$I$100=0,0,H868/('0信息维护'!$I$100)*'0信息维护'!$E$37*'0信息维护'!$V$27)+IF('0信息维护'!$I$101=0,0,I868/'0信息维护'!$I$101*'0信息维护'!$I$37)</f>
        <v>0.382352941176471</v>
      </c>
      <c r="K868" s="27"/>
    </row>
    <row r="869" spans="1:11">
      <c r="A869" s="20"/>
      <c r="B869" s="20"/>
      <c r="C869" s="20"/>
      <c r="D869" s="18" t="str">
        <f>'0信息维护'!A$28</f>
        <v>课程目标4</v>
      </c>
      <c r="E869" s="19">
        <f ca="1">OFFSET('1课程考核方式及成绩组成'!$F$10,(ROW(E869)-5)/7,MOD((ROW(E869)-5),7))</f>
        <v>0</v>
      </c>
      <c r="F869" s="19">
        <f ca="1">OFFSET('1课程考核方式及成绩组成'!$N$10,(ROW(F869)-5)/7,MOD((ROW(F869)-5),7))</f>
        <v>75</v>
      </c>
      <c r="G869" s="19">
        <f ca="1">OFFSET('1课程考核方式及成绩组成'!$V$10,(ROW(G869)-5)/7,MOD((ROW(G869)-5),7))</f>
        <v>0</v>
      </c>
      <c r="H869" s="19">
        <f ca="1">OFFSET('1课程考核方式及成绩组成'!$AD$10,(ROW(H869)-5)/7,MOD((ROW(H869)-5),7))</f>
        <v>0</v>
      </c>
      <c r="I869" s="19">
        <f ca="1">OFFSET('1课程考核方式及成绩组成'!$AL$10,(ROW(I869)-5)/7,MOD((ROW(I869)-5),7))</f>
        <v>0</v>
      </c>
      <c r="J869" s="25">
        <f ca="1">IF('0信息维护'!$I$103=0,0,E869/('0信息维护'!$I$103)*'0信息维护'!$E$38*'0信息维护'!$S$28)+IF('0信息维护'!$I$104=0,0,F869/('0信息维护'!$I$104)*'0信息维护'!$E$38*'0信息维护'!$T$28)+IF('0信息维护'!$I$105=0,0,G869/('0信息维护'!$I$105)*'0信息维护'!$E$38*'0信息维护'!$U$28)+IF('0信息维护'!$I$106=0,0,H869/('0信息维护'!$I$106)*'0信息维护'!$E$38*'0信息维护'!$V$28)+IF('0信息维护'!$I$107=0,0,I869/'0信息维护'!$I$107*'0信息维护'!$I$38)</f>
        <v>0.75</v>
      </c>
      <c r="K869" s="27"/>
    </row>
    <row r="870" spans="1:11">
      <c r="A870" s="20"/>
      <c r="B870" s="20"/>
      <c r="C870" s="20"/>
      <c r="D870" s="18" t="str">
        <f>'0信息维护'!A$29</f>
        <v>课程目标5</v>
      </c>
      <c r="E870" s="19">
        <f ca="1">OFFSET('1课程考核方式及成绩组成'!$F$10,(ROW(E870)-5)/7,MOD((ROW(E870)-5),7))</f>
        <v>0</v>
      </c>
      <c r="F870" s="19">
        <f ca="1">OFFSET('1课程考核方式及成绩组成'!$N$10,(ROW(F870)-5)/7,MOD((ROW(F870)-5),7))</f>
        <v>0</v>
      </c>
      <c r="G870" s="19">
        <f ca="1">OFFSET('1课程考核方式及成绩组成'!$V$10,(ROW(G870)-5)/7,MOD((ROW(G870)-5),7))</f>
        <v>0</v>
      </c>
      <c r="H870" s="19">
        <f ca="1">OFFSET('1课程考核方式及成绩组成'!$AD$10,(ROW(H870)-5)/7,MOD((ROW(H870)-5),7))</f>
        <v>0</v>
      </c>
      <c r="I870" s="19">
        <f ca="1">OFFSET('1课程考核方式及成绩组成'!$AL$10,(ROW(I870)-5)/7,MOD((ROW(I870)-5),7))</f>
        <v>0</v>
      </c>
      <c r="J870" s="25">
        <f ca="1">IF('0信息维护'!$I$109=0,0,E870/('0信息维护'!$I$109)*'0信息维护'!$E$39*'0信息维护'!$S$29)+IF('0信息维护'!$I$110=0,0,F870/('0信息维护'!$I$110)*'0信息维护'!$E$39*'0信息维护'!$T$29)+IF('0信息维护'!$I$111=0,0,G870/('0信息维护'!$I$111)*'0信息维护'!$E$39*'0信息维护'!$U$29)+IF('0信息维护'!$I$112=0,0,H870/('0信息维护'!$I$112)*'0信息维护'!$E$39*'0信息维护'!$V$29)+IF('0信息维护'!$I$113=0,0,I870/'0信息维护'!$I$113*'0信息维护'!$I$39)</f>
        <v>0</v>
      </c>
      <c r="K870" s="27"/>
    </row>
    <row r="871" spans="1:11">
      <c r="A871" s="20"/>
      <c r="B871" s="20"/>
      <c r="C871" s="20"/>
      <c r="D871" s="18" t="str">
        <f>'0信息维护'!A$30</f>
        <v>课程目标6</v>
      </c>
      <c r="E871" s="19">
        <f ca="1">OFFSET('1课程考核方式及成绩组成'!$F$10,(ROW(E871)-5)/7,MOD((ROW(E871)-5),7))</f>
        <v>0</v>
      </c>
      <c r="F871" s="19">
        <f ca="1">OFFSET('1课程考核方式及成绩组成'!$N$10,(ROW(F871)-5)/7,MOD((ROW(F871)-5),7))</f>
        <v>0</v>
      </c>
      <c r="G871" s="19">
        <f ca="1">OFFSET('1课程考核方式及成绩组成'!$V$10,(ROW(G871)-5)/7,MOD((ROW(G871)-5),7))</f>
        <v>0</v>
      </c>
      <c r="H871" s="19">
        <f ca="1">OFFSET('1课程考核方式及成绩组成'!$AD$10,(ROW(H871)-5)/7,MOD((ROW(H871)-5),7))</f>
        <v>0</v>
      </c>
      <c r="I871" s="19">
        <f ca="1">OFFSET('1课程考核方式及成绩组成'!$AL$10,(ROW(I871)-5)/7,MOD((ROW(I871)-5),7))</f>
        <v>0</v>
      </c>
      <c r="J871" s="25">
        <f ca="1">IF('0信息维护'!$I$115=0,0,E871/('0信息维护'!$I$115)*'0信息维护'!$E$40*'0信息维护'!$S$30)+IF('0信息维护'!$I$116=0,0,F871/('0信息维护'!$I$116)*'0信息维护'!$E$40*'0信息维护'!$T$30)+IF('0信息维护'!$I$117=0,0,G871/('0信息维护'!$I$117)*'0信息维护'!$E$40*'0信息维护'!$U$30)+IF('0信息维护'!$I$118=0,0,H871/('0信息维护'!$I$118)*'0信息维护'!$E$40*'0信息维护'!$V$30)+IF('0信息维护'!$I$119=0,0,I871/'0信息维护'!$I$119*'0信息维护'!$I$40)</f>
        <v>0</v>
      </c>
      <c r="K871" s="27"/>
    </row>
    <row r="872" spans="1:11">
      <c r="A872" s="21"/>
      <c r="B872" s="21"/>
      <c r="C872" s="21"/>
      <c r="D872" s="18" t="str">
        <f>'0信息维护'!A$31</f>
        <v>课程目标7</v>
      </c>
      <c r="E872" s="19">
        <f ca="1">OFFSET('1课程考核方式及成绩组成'!$F$10,(ROW(E872)-5)/7,MOD((ROW(E872)-5),7))</f>
        <v>0</v>
      </c>
      <c r="F872" s="19">
        <f ca="1">OFFSET('1课程考核方式及成绩组成'!$N$10,(ROW(F872)-5)/7,MOD((ROW(F872)-5),7))</f>
        <v>0</v>
      </c>
      <c r="G872" s="19">
        <f ca="1">OFFSET('1课程考核方式及成绩组成'!$V$10,(ROW(G872)-5)/7,MOD((ROW(G872)-5),7))</f>
        <v>0</v>
      </c>
      <c r="H872" s="19">
        <f ca="1">OFFSET('1课程考核方式及成绩组成'!$AD$10,(ROW(H872)-5)/7,MOD((ROW(H872)-5),7))</f>
        <v>0</v>
      </c>
      <c r="I872" s="19">
        <f ca="1">OFFSET('1课程考核方式及成绩组成'!$AL$10,(ROW(I872)-5)/7,MOD((ROW(I872)-5),7))</f>
        <v>0</v>
      </c>
      <c r="J872" s="25">
        <f ca="1">IF('0信息维护'!$I$121=0,0,E872/('0信息维护'!$I$121)*'0信息维护'!$E$41*'0信息维护'!$S$31)+IF('0信息维护'!$I$122=0,0,F872/('0信息维护'!$I$122)*'0信息维护'!$E$41*'0信息维护'!$T$31)+IF('0信息维护'!$I$123=0,0,G872/('0信息维护'!$I$123)*'0信息维护'!$E$41*'0信息维护'!$U$31)+IF('0信息维护'!$I$124=0,0,H872/('0信息维护'!$I$124)*'0信息维护'!$E$41*'0信息维护'!$T$31)+IF('0信息维护'!$I$125=0,0,I872/'0信息维护'!$I$125*'0信息维护'!$I$41)</f>
        <v>0</v>
      </c>
      <c r="K872" s="30"/>
    </row>
    <row r="873" spans="1:11">
      <c r="A873" s="17">
        <v>125</v>
      </c>
      <c r="B873" s="17" t="str">
        <f ca="1">OFFSET('1课程考核方式及成绩组成'!$D$10,(ROW(B873)-5)/7,)</f>
        <v>220106150</v>
      </c>
      <c r="C873" s="17" t="str">
        <f ca="1">OFFSET('1课程考核方式及成绩组成'!$E$10,(ROW(C873)-5)/7,)</f>
        <v>罗萧</v>
      </c>
      <c r="D873" s="18" t="str">
        <f>'0信息维护'!A$25</f>
        <v>课程目标1</v>
      </c>
      <c r="E873" s="19">
        <f ca="1">OFFSET('1课程考核方式及成绩组成'!$F$10,(ROW(E873)-5)/7,MOD((ROW(E873)-5),7))</f>
        <v>34</v>
      </c>
      <c r="F873" s="19">
        <f ca="1">OFFSET('1课程考核方式及成绩组成'!$N$10,(ROW(F873)-5)/7,MOD((ROW(F873)-5),7))</f>
        <v>0</v>
      </c>
      <c r="G873" s="19">
        <f ca="1">OFFSET('1课程考核方式及成绩组成'!$V$10,(ROW(G873)-5)/7,MOD((ROW(G873)-5),7))</f>
        <v>0</v>
      </c>
      <c r="H873" s="19">
        <f ca="1">OFFSET('1课程考核方式及成绩组成'!$AD$10,(ROW(H873)-5)/7,MOD((ROW(H873)-5),7))</f>
        <v>0</v>
      </c>
      <c r="I873" s="19">
        <f ca="1">OFFSET('1课程考核方式及成绩组成'!$AL$10,(ROW(I873)-5)/7,MOD((ROW(I873)-5),7))</f>
        <v>17</v>
      </c>
      <c r="J873" s="25">
        <f ca="1">IF('0信息维护'!$I$85=0,0,E873/('0信息维护'!$I$85)*'0信息维护'!$E$35*'0信息维护'!$S$25)+IF('0信息维护'!$I$86=0,0,F873/('0信息维护'!$I$86)*'0信息维护'!$E$35*'0信息维护'!$T$25)+IF('0信息维护'!$I$87=0,0,G873/('0信息维护'!$I$87)*'0信息维护'!$E$35*'0信息维护'!$U$25)+IF('0信息维护'!$I$88=0,0,H873/('0信息维护'!$I$88)*'0信息维护'!$E$35*'0信息维护'!$V$25)+IF('0信息维护'!$I$89=0,0,I873/'0信息维护'!$I$89*'0信息维护'!$I$35)</f>
        <v>0.661111111111111</v>
      </c>
      <c r="K873" s="26">
        <f ca="1">J873*'0信息维护'!$D$132+J874*'0信息维护'!$D$133+J875*'0信息维护'!$D$134+J876*'0信息维护'!$D$135+J877*'0信息维护'!$D$136+J878*'0信息维护'!$D$137+J879*'0信息维护'!$D$138</f>
        <v>0.600901960784314</v>
      </c>
    </row>
    <row r="874" spans="1:14">
      <c r="A874" s="20"/>
      <c r="B874" s="20"/>
      <c r="C874" s="20"/>
      <c r="D874" s="18" t="str">
        <f>'0信息维护'!A$26</f>
        <v>课程目标2</v>
      </c>
      <c r="E874" s="19">
        <f ca="1">OFFSET('1课程考核方式及成绩组成'!$F$10,(ROW(E874)-5)/7,MOD((ROW(E874)-5),7))</f>
        <v>51</v>
      </c>
      <c r="F874" s="19">
        <f ca="1">OFFSET('1课程考核方式及成绩组成'!$N$10,(ROW(F874)-5)/7,MOD((ROW(F874)-5),7))</f>
        <v>0</v>
      </c>
      <c r="G874" s="19">
        <f ca="1">OFFSET('1课程考核方式及成绩组成'!$V$10,(ROW(G874)-5)/7,MOD((ROW(G874)-5),7))</f>
        <v>0</v>
      </c>
      <c r="H874" s="19">
        <f ca="1">OFFSET('1课程考核方式及成绩组成'!$AD$10,(ROW(H874)-5)/7,MOD((ROW(H874)-5),7))</f>
        <v>0</v>
      </c>
      <c r="I874" s="19">
        <f ca="1">OFFSET('1课程考核方式及成绩组成'!$AL$10,(ROW(I874)-5)/7,MOD((ROW(I874)-5),7))</f>
        <v>11</v>
      </c>
      <c r="J874" s="25">
        <f ca="1">IF('0信息维护'!$I$91=0,0,E874/('0信息维护'!$I$91)*'0信息维护'!$S$26*'0信息维护'!$E$36)+IF('0信息维护'!$I$92=0,0,F874/('0信息维护'!$I$92)*'0信息维护'!$T$26*'0信息维护'!$E$36)+IF('0信息维护'!$I$93=0,0,G874/('0信息维护'!$I$93)*'0信息维护'!$U$26*'0信息维护'!$E$36)+IF('0信息维护'!$I$94=0,0,H874/('0信息维护'!$I$94)*'0信息维护'!$V$26*'0信息维护'!$E$36)+IF('0信息维护'!$I$95=0,0,I874/'0信息维护'!$I$95*'0信息维护'!$I$36)</f>
        <v>0.608333333333333</v>
      </c>
      <c r="K874" s="27"/>
      <c r="N874" s="29"/>
    </row>
    <row r="875" spans="1:11">
      <c r="A875" s="20"/>
      <c r="B875" s="20"/>
      <c r="C875" s="20"/>
      <c r="D875" s="18" t="str">
        <f>'0信息维护'!A$27</f>
        <v>课程目标3</v>
      </c>
      <c r="E875" s="19">
        <f ca="1">OFFSET('1课程考核方式及成绩组成'!$F$10,(ROW(E875)-5)/7,MOD((ROW(E875)-5),7))</f>
        <v>0</v>
      </c>
      <c r="F875" s="19">
        <f ca="1">OFFSET('1课程考核方式及成绩组成'!$N$10,(ROW(F875)-5)/7,MOD((ROW(F875)-5),7))</f>
        <v>0</v>
      </c>
      <c r="G875" s="19">
        <f ca="1">OFFSET('1课程考核方式及成绩组成'!$V$10,(ROW(G875)-5)/7,MOD((ROW(G875)-5),7))</f>
        <v>0</v>
      </c>
      <c r="H875" s="19">
        <f ca="1">OFFSET('1课程考核方式及成绩组成'!$AD$10,(ROW(H875)-5)/7,MOD((ROW(H875)-5),7))</f>
        <v>0</v>
      </c>
      <c r="I875" s="19">
        <f ca="1">OFFSET('1课程考核方式及成绩组成'!$AL$10,(ROW(I875)-5)/7,MOD((ROW(I875)-5),7))</f>
        <v>12</v>
      </c>
      <c r="J875" s="25">
        <f ca="1">IF('0信息维护'!$I$97=0,0,E875/('0信息维护'!$I$97)*'0信息维护'!$E$37*'0信息维护'!$S$27)+IF('0信息维护'!$I$98=0,0,F875/('0信息维护'!$I$98)*'0信息维护'!$E$37*'0信息维护'!$T$27)+IF('0信息维护'!$I$99=0,0,G875/('0信息维护'!$I$99)*'0信息维护'!$E$37*'0信息维护'!$U$27)+IF('0信息维护'!$I$100=0,0,H875/('0信息维护'!$I$100)*'0信息维护'!$E$37*'0信息维护'!$V$27)+IF('0信息维护'!$I$101=0,0,I875/'0信息维护'!$I$101*'0信息维护'!$I$37)</f>
        <v>0.352941176470588</v>
      </c>
      <c r="K875" s="27"/>
    </row>
    <row r="876" spans="1:11">
      <c r="A876" s="20"/>
      <c r="B876" s="20"/>
      <c r="C876" s="20"/>
      <c r="D876" s="18" t="str">
        <f>'0信息维护'!A$28</f>
        <v>课程目标4</v>
      </c>
      <c r="E876" s="19">
        <f ca="1">OFFSET('1课程考核方式及成绩组成'!$F$10,(ROW(E876)-5)/7,MOD((ROW(E876)-5),7))</f>
        <v>0</v>
      </c>
      <c r="F876" s="19">
        <f ca="1">OFFSET('1课程考核方式及成绩组成'!$N$10,(ROW(F876)-5)/7,MOD((ROW(F876)-5),7))</f>
        <v>77</v>
      </c>
      <c r="G876" s="19">
        <f ca="1">OFFSET('1课程考核方式及成绩组成'!$V$10,(ROW(G876)-5)/7,MOD((ROW(G876)-5),7))</f>
        <v>0</v>
      </c>
      <c r="H876" s="19">
        <f ca="1">OFFSET('1课程考核方式及成绩组成'!$AD$10,(ROW(H876)-5)/7,MOD((ROW(H876)-5),7))</f>
        <v>0</v>
      </c>
      <c r="I876" s="19">
        <f ca="1">OFFSET('1课程考核方式及成绩组成'!$AL$10,(ROW(I876)-5)/7,MOD((ROW(I876)-5),7))</f>
        <v>0</v>
      </c>
      <c r="J876" s="25">
        <f ca="1">IF('0信息维护'!$I$103=0,0,E876/('0信息维护'!$I$103)*'0信息维护'!$E$38*'0信息维护'!$S$28)+IF('0信息维护'!$I$104=0,0,F876/('0信息维护'!$I$104)*'0信息维护'!$E$38*'0信息维护'!$T$28)+IF('0信息维护'!$I$105=0,0,G876/('0信息维护'!$I$105)*'0信息维护'!$E$38*'0信息维护'!$U$28)+IF('0信息维护'!$I$106=0,0,H876/('0信息维护'!$I$106)*'0信息维护'!$E$38*'0信息维护'!$V$28)+IF('0信息维护'!$I$107=0,0,I876/'0信息维护'!$I$107*'0信息维护'!$I$38)</f>
        <v>0.77</v>
      </c>
      <c r="K876" s="27"/>
    </row>
    <row r="877" spans="1:11">
      <c r="A877" s="20"/>
      <c r="B877" s="20"/>
      <c r="C877" s="20"/>
      <c r="D877" s="18" t="str">
        <f>'0信息维护'!A$29</f>
        <v>课程目标5</v>
      </c>
      <c r="E877" s="19">
        <f ca="1">OFFSET('1课程考核方式及成绩组成'!$F$10,(ROW(E877)-5)/7,MOD((ROW(E877)-5),7))</f>
        <v>0</v>
      </c>
      <c r="F877" s="19">
        <f ca="1">OFFSET('1课程考核方式及成绩组成'!$N$10,(ROW(F877)-5)/7,MOD((ROW(F877)-5),7))</f>
        <v>0</v>
      </c>
      <c r="G877" s="19">
        <f ca="1">OFFSET('1课程考核方式及成绩组成'!$V$10,(ROW(G877)-5)/7,MOD((ROW(G877)-5),7))</f>
        <v>0</v>
      </c>
      <c r="H877" s="19">
        <f ca="1">OFFSET('1课程考核方式及成绩组成'!$AD$10,(ROW(H877)-5)/7,MOD((ROW(H877)-5),7))</f>
        <v>0</v>
      </c>
      <c r="I877" s="19">
        <f ca="1">OFFSET('1课程考核方式及成绩组成'!$AL$10,(ROW(I877)-5)/7,MOD((ROW(I877)-5),7))</f>
        <v>0</v>
      </c>
      <c r="J877" s="25">
        <f ca="1">IF('0信息维护'!$I$109=0,0,E877/('0信息维护'!$I$109)*'0信息维护'!$E$39*'0信息维护'!$S$29)+IF('0信息维护'!$I$110=0,0,F877/('0信息维护'!$I$110)*'0信息维护'!$E$39*'0信息维护'!$T$29)+IF('0信息维护'!$I$111=0,0,G877/('0信息维护'!$I$111)*'0信息维护'!$E$39*'0信息维护'!$U$29)+IF('0信息维护'!$I$112=0,0,H877/('0信息维护'!$I$112)*'0信息维护'!$E$39*'0信息维护'!$V$29)+IF('0信息维护'!$I$113=0,0,I877/'0信息维护'!$I$113*'0信息维护'!$I$39)</f>
        <v>0</v>
      </c>
      <c r="K877" s="27"/>
    </row>
    <row r="878" spans="1:11">
      <c r="A878" s="20"/>
      <c r="B878" s="20"/>
      <c r="C878" s="20"/>
      <c r="D878" s="18" t="str">
        <f>'0信息维护'!A$30</f>
        <v>课程目标6</v>
      </c>
      <c r="E878" s="19">
        <f ca="1">OFFSET('1课程考核方式及成绩组成'!$F$10,(ROW(E878)-5)/7,MOD((ROW(E878)-5),7))</f>
        <v>0</v>
      </c>
      <c r="F878" s="19">
        <f ca="1">OFFSET('1课程考核方式及成绩组成'!$N$10,(ROW(F878)-5)/7,MOD((ROW(F878)-5),7))</f>
        <v>0</v>
      </c>
      <c r="G878" s="19">
        <f ca="1">OFFSET('1课程考核方式及成绩组成'!$V$10,(ROW(G878)-5)/7,MOD((ROW(G878)-5),7))</f>
        <v>0</v>
      </c>
      <c r="H878" s="19">
        <f ca="1">OFFSET('1课程考核方式及成绩组成'!$AD$10,(ROW(H878)-5)/7,MOD((ROW(H878)-5),7))</f>
        <v>0</v>
      </c>
      <c r="I878" s="19">
        <f ca="1">OFFSET('1课程考核方式及成绩组成'!$AL$10,(ROW(I878)-5)/7,MOD((ROW(I878)-5),7))</f>
        <v>0</v>
      </c>
      <c r="J878" s="25">
        <f ca="1">IF('0信息维护'!$I$115=0,0,E878/('0信息维护'!$I$115)*'0信息维护'!$E$40*'0信息维护'!$S$30)+IF('0信息维护'!$I$116=0,0,F878/('0信息维护'!$I$116)*'0信息维护'!$E$40*'0信息维护'!$T$30)+IF('0信息维护'!$I$117=0,0,G878/('0信息维护'!$I$117)*'0信息维护'!$E$40*'0信息维护'!$U$30)+IF('0信息维护'!$I$118=0,0,H878/('0信息维护'!$I$118)*'0信息维护'!$E$40*'0信息维护'!$V$30)+IF('0信息维护'!$I$119=0,0,I878/'0信息维护'!$I$119*'0信息维护'!$I$40)</f>
        <v>0</v>
      </c>
      <c r="K878" s="27"/>
    </row>
    <row r="879" spans="1:11">
      <c r="A879" s="21"/>
      <c r="B879" s="21"/>
      <c r="C879" s="21"/>
      <c r="D879" s="18" t="str">
        <f>'0信息维护'!A$31</f>
        <v>课程目标7</v>
      </c>
      <c r="E879" s="19">
        <f ca="1">OFFSET('1课程考核方式及成绩组成'!$F$10,(ROW(E879)-5)/7,MOD((ROW(E879)-5),7))</f>
        <v>0</v>
      </c>
      <c r="F879" s="19">
        <f ca="1">OFFSET('1课程考核方式及成绩组成'!$N$10,(ROW(F879)-5)/7,MOD((ROW(F879)-5),7))</f>
        <v>0</v>
      </c>
      <c r="G879" s="19">
        <f ca="1">OFFSET('1课程考核方式及成绩组成'!$V$10,(ROW(G879)-5)/7,MOD((ROW(G879)-5),7))</f>
        <v>0</v>
      </c>
      <c r="H879" s="19">
        <f ca="1">OFFSET('1课程考核方式及成绩组成'!$AD$10,(ROW(H879)-5)/7,MOD((ROW(H879)-5),7))</f>
        <v>0</v>
      </c>
      <c r="I879" s="19">
        <f ca="1">OFFSET('1课程考核方式及成绩组成'!$AL$10,(ROW(I879)-5)/7,MOD((ROW(I879)-5),7))</f>
        <v>0</v>
      </c>
      <c r="J879" s="25">
        <f ca="1">IF('0信息维护'!$I$121=0,0,E879/('0信息维护'!$I$121)*'0信息维护'!$E$41*'0信息维护'!$S$31)+IF('0信息维护'!$I$122=0,0,F879/('0信息维护'!$I$122)*'0信息维护'!$E$41*'0信息维护'!$T$31)+IF('0信息维护'!$I$123=0,0,G879/('0信息维护'!$I$123)*'0信息维护'!$E$41*'0信息维护'!$U$31)+IF('0信息维护'!$I$124=0,0,H879/('0信息维护'!$I$124)*'0信息维护'!$E$41*'0信息维护'!$T$31)+IF('0信息维护'!$I$125=0,0,I879/'0信息维护'!$I$125*'0信息维护'!$I$41)</f>
        <v>0</v>
      </c>
      <c r="K879" s="30"/>
    </row>
    <row r="880" spans="1:11">
      <c r="A880" s="17">
        <v>126</v>
      </c>
      <c r="B880" s="17" t="str">
        <f ca="1">OFFSET('1课程考核方式及成绩组成'!$D$10,(ROW(B880)-5)/7,)</f>
        <v>220106151</v>
      </c>
      <c r="C880" s="17" t="str">
        <f ca="1">OFFSET('1课程考核方式及成绩组成'!$E$10,(ROW(C880)-5)/7,)</f>
        <v>王学扬</v>
      </c>
      <c r="D880" s="18" t="str">
        <f>'0信息维护'!A$25</f>
        <v>课程目标1</v>
      </c>
      <c r="E880" s="19">
        <f ca="1">OFFSET('1课程考核方式及成绩组成'!$F$10,(ROW(E880)-5)/7,MOD((ROW(E880)-5),7))</f>
        <v>34</v>
      </c>
      <c r="F880" s="19">
        <f ca="1">OFFSET('1课程考核方式及成绩组成'!$N$10,(ROW(F880)-5)/7,MOD((ROW(F880)-5),7))</f>
        <v>0</v>
      </c>
      <c r="G880" s="19">
        <f ca="1">OFFSET('1课程考核方式及成绩组成'!$V$10,(ROW(G880)-5)/7,MOD((ROW(G880)-5),7))</f>
        <v>0</v>
      </c>
      <c r="H880" s="19">
        <f ca="1">OFFSET('1课程考核方式及成绩组成'!$AD$10,(ROW(H880)-5)/7,MOD((ROW(H880)-5),7))</f>
        <v>0</v>
      </c>
      <c r="I880" s="19">
        <f ca="1">OFFSET('1课程考核方式及成绩组成'!$AL$10,(ROW(I880)-5)/7,MOD((ROW(I880)-5),7))</f>
        <v>26</v>
      </c>
      <c r="J880" s="25">
        <f ca="1">IF('0信息维护'!$I$85=0,0,E880/('0信息维护'!$I$85)*'0信息维护'!$E$35*'0信息维护'!$S$25)+IF('0信息维护'!$I$86=0,0,F880/('0信息维护'!$I$86)*'0信息维护'!$E$35*'0信息维护'!$T$25)+IF('0信息维护'!$I$87=0,0,G880/('0信息维护'!$I$87)*'0信息维护'!$E$35*'0信息维护'!$U$25)+IF('0信息维护'!$I$88=0,0,H880/('0信息维护'!$I$88)*'0信息维护'!$E$35*'0信息维护'!$V$25)+IF('0信息维护'!$I$89=0,0,I880/'0信息维护'!$I$89*'0信息维护'!$I$35)</f>
        <v>0.786111111111111</v>
      </c>
      <c r="K880" s="26">
        <f ca="1">J880*'0信息维护'!$D$132+J881*'0信息维护'!$D$133+J882*'0信息维护'!$D$134+J883*'0信息维护'!$D$135+J884*'0信息维护'!$D$136+J885*'0信息维护'!$D$137+J886*'0信息维护'!$D$138</f>
        <v>0.73018137254902</v>
      </c>
    </row>
    <row r="881" spans="1:14">
      <c r="A881" s="20"/>
      <c r="B881" s="20"/>
      <c r="C881" s="20"/>
      <c r="D881" s="18" t="str">
        <f>'0信息维护'!A$26</f>
        <v>课程目标2</v>
      </c>
      <c r="E881" s="19">
        <f ca="1">OFFSET('1课程考核方式及成绩组成'!$F$10,(ROW(E881)-5)/7,MOD((ROW(E881)-5),7))</f>
        <v>51</v>
      </c>
      <c r="F881" s="19">
        <f ca="1">OFFSET('1课程考核方式及成绩组成'!$N$10,(ROW(F881)-5)/7,MOD((ROW(F881)-5),7))</f>
        <v>0</v>
      </c>
      <c r="G881" s="19">
        <f ca="1">OFFSET('1课程考核方式及成绩组成'!$V$10,(ROW(G881)-5)/7,MOD((ROW(G881)-5),7))</f>
        <v>0</v>
      </c>
      <c r="H881" s="19">
        <f ca="1">OFFSET('1课程考核方式及成绩组成'!$AD$10,(ROW(H881)-5)/7,MOD((ROW(H881)-5),7))</f>
        <v>0</v>
      </c>
      <c r="I881" s="19">
        <f ca="1">OFFSET('1课程考核方式及成绩组成'!$AL$10,(ROW(I881)-5)/7,MOD((ROW(I881)-5),7))</f>
        <v>19</v>
      </c>
      <c r="J881" s="25">
        <f ca="1">IF('0信息维护'!$I$91=0,0,E881/('0信息维护'!$I$91)*'0信息维护'!$S$26*'0信息维护'!$E$36)+IF('0信息维护'!$I$92=0,0,F881/('0信息维护'!$I$92)*'0信息维护'!$T$26*'0信息维护'!$E$36)+IF('0信息维护'!$I$93=0,0,G881/('0信息维护'!$I$93)*'0信息维护'!$U$26*'0信息维护'!$E$36)+IF('0信息维护'!$I$94=0,0,H881/('0信息维护'!$I$94)*'0信息维护'!$V$26*'0信息维护'!$E$36)+IF('0信息维护'!$I$95=0,0,I881/'0信息维护'!$I$95*'0信息维护'!$I$36)</f>
        <v>0.741666666666667</v>
      </c>
      <c r="K881" s="27"/>
      <c r="N881" s="29"/>
    </row>
    <row r="882" spans="1:11">
      <c r="A882" s="20"/>
      <c r="B882" s="20"/>
      <c r="C882" s="20"/>
      <c r="D882" s="18" t="str">
        <f>'0信息维护'!A$27</f>
        <v>课程目标3</v>
      </c>
      <c r="E882" s="19">
        <f ca="1">OFFSET('1课程考核方式及成绩组成'!$F$10,(ROW(E882)-5)/7,MOD((ROW(E882)-5),7))</f>
        <v>0</v>
      </c>
      <c r="F882" s="19">
        <f ca="1">OFFSET('1课程考核方式及成绩组成'!$N$10,(ROW(F882)-5)/7,MOD((ROW(F882)-5),7))</f>
        <v>0</v>
      </c>
      <c r="G882" s="19">
        <f ca="1">OFFSET('1课程考核方式及成绩组成'!$V$10,(ROW(G882)-5)/7,MOD((ROW(G882)-5),7))</f>
        <v>0</v>
      </c>
      <c r="H882" s="19">
        <f ca="1">OFFSET('1课程考核方式及成绩组成'!$AD$10,(ROW(H882)-5)/7,MOD((ROW(H882)-5),7))</f>
        <v>0</v>
      </c>
      <c r="I882" s="19">
        <f ca="1">OFFSET('1课程考核方式及成绩组成'!$AL$10,(ROW(I882)-5)/7,MOD((ROW(I882)-5),7))</f>
        <v>22</v>
      </c>
      <c r="J882" s="25">
        <f ca="1">IF('0信息维护'!$I$97=0,0,E882/('0信息维护'!$I$97)*'0信息维护'!$E$37*'0信息维护'!$S$27)+IF('0信息维护'!$I$98=0,0,F882/('0信息维护'!$I$98)*'0信息维护'!$E$37*'0信息维护'!$T$27)+IF('0信息维护'!$I$99=0,0,G882/('0信息维护'!$I$99)*'0信息维护'!$E$37*'0信息维护'!$U$27)+IF('0信息维护'!$I$100=0,0,H882/('0信息维护'!$I$100)*'0信息维护'!$E$37*'0信息维护'!$V$27)+IF('0信息维护'!$I$101=0,0,I882/'0信息维护'!$I$101*'0信息维护'!$I$37)</f>
        <v>0.647058823529412</v>
      </c>
      <c r="K882" s="27"/>
    </row>
    <row r="883" spans="1:11">
      <c r="A883" s="20"/>
      <c r="B883" s="20"/>
      <c r="C883" s="20"/>
      <c r="D883" s="18" t="str">
        <f>'0信息维护'!A$28</f>
        <v>课程目标4</v>
      </c>
      <c r="E883" s="19">
        <f ca="1">OFFSET('1课程考核方式及成绩组成'!$F$10,(ROW(E883)-5)/7,MOD((ROW(E883)-5),7))</f>
        <v>0</v>
      </c>
      <c r="F883" s="19">
        <f ca="1">OFFSET('1课程考核方式及成绩组成'!$N$10,(ROW(F883)-5)/7,MOD((ROW(F883)-5),7))</f>
        <v>76</v>
      </c>
      <c r="G883" s="19">
        <f ca="1">OFFSET('1课程考核方式及成绩组成'!$V$10,(ROW(G883)-5)/7,MOD((ROW(G883)-5),7))</f>
        <v>0</v>
      </c>
      <c r="H883" s="19">
        <f ca="1">OFFSET('1课程考核方式及成绩组成'!$AD$10,(ROW(H883)-5)/7,MOD((ROW(H883)-5),7))</f>
        <v>0</v>
      </c>
      <c r="I883" s="19">
        <f ca="1">OFFSET('1课程考核方式及成绩组成'!$AL$10,(ROW(I883)-5)/7,MOD((ROW(I883)-5),7))</f>
        <v>0</v>
      </c>
      <c r="J883" s="25">
        <f ca="1">IF('0信息维护'!$I$103=0,0,E883/('0信息维护'!$I$103)*'0信息维护'!$E$38*'0信息维护'!$S$28)+IF('0信息维护'!$I$104=0,0,F883/('0信息维护'!$I$104)*'0信息维护'!$E$38*'0信息维护'!$T$28)+IF('0信息维护'!$I$105=0,0,G883/('0信息维护'!$I$105)*'0信息维护'!$E$38*'0信息维护'!$U$28)+IF('0信息维护'!$I$106=0,0,H883/('0信息维护'!$I$106)*'0信息维护'!$E$38*'0信息维护'!$V$28)+IF('0信息维护'!$I$107=0,0,I883/'0信息维护'!$I$107*'0信息维护'!$I$38)</f>
        <v>0.76</v>
      </c>
      <c r="K883" s="27"/>
    </row>
    <row r="884" spans="1:11">
      <c r="A884" s="20"/>
      <c r="B884" s="20"/>
      <c r="C884" s="20"/>
      <c r="D884" s="18" t="str">
        <f>'0信息维护'!A$29</f>
        <v>课程目标5</v>
      </c>
      <c r="E884" s="19">
        <f ca="1">OFFSET('1课程考核方式及成绩组成'!$F$10,(ROW(E884)-5)/7,MOD((ROW(E884)-5),7))</f>
        <v>0</v>
      </c>
      <c r="F884" s="19">
        <f ca="1">OFFSET('1课程考核方式及成绩组成'!$N$10,(ROW(F884)-5)/7,MOD((ROW(F884)-5),7))</f>
        <v>0</v>
      </c>
      <c r="G884" s="19">
        <f ca="1">OFFSET('1课程考核方式及成绩组成'!$V$10,(ROW(G884)-5)/7,MOD((ROW(G884)-5),7))</f>
        <v>0</v>
      </c>
      <c r="H884" s="19">
        <f ca="1">OFFSET('1课程考核方式及成绩组成'!$AD$10,(ROW(H884)-5)/7,MOD((ROW(H884)-5),7))</f>
        <v>0</v>
      </c>
      <c r="I884" s="19">
        <f ca="1">OFFSET('1课程考核方式及成绩组成'!$AL$10,(ROW(I884)-5)/7,MOD((ROW(I884)-5),7))</f>
        <v>0</v>
      </c>
      <c r="J884" s="25">
        <f ca="1">IF('0信息维护'!$I$109=0,0,E884/('0信息维护'!$I$109)*'0信息维护'!$E$39*'0信息维护'!$S$29)+IF('0信息维护'!$I$110=0,0,F884/('0信息维护'!$I$110)*'0信息维护'!$E$39*'0信息维护'!$T$29)+IF('0信息维护'!$I$111=0,0,G884/('0信息维护'!$I$111)*'0信息维护'!$E$39*'0信息维护'!$U$29)+IF('0信息维护'!$I$112=0,0,H884/('0信息维护'!$I$112)*'0信息维护'!$E$39*'0信息维护'!$V$29)+IF('0信息维护'!$I$113=0,0,I884/'0信息维护'!$I$113*'0信息维护'!$I$39)</f>
        <v>0</v>
      </c>
      <c r="K884" s="27"/>
    </row>
    <row r="885" spans="1:11">
      <c r="A885" s="20"/>
      <c r="B885" s="20"/>
      <c r="C885" s="20"/>
      <c r="D885" s="18" t="str">
        <f>'0信息维护'!A$30</f>
        <v>课程目标6</v>
      </c>
      <c r="E885" s="19">
        <f ca="1">OFFSET('1课程考核方式及成绩组成'!$F$10,(ROW(E885)-5)/7,MOD((ROW(E885)-5),7))</f>
        <v>0</v>
      </c>
      <c r="F885" s="19">
        <f ca="1">OFFSET('1课程考核方式及成绩组成'!$N$10,(ROW(F885)-5)/7,MOD((ROW(F885)-5),7))</f>
        <v>0</v>
      </c>
      <c r="G885" s="19">
        <f ca="1">OFFSET('1课程考核方式及成绩组成'!$V$10,(ROW(G885)-5)/7,MOD((ROW(G885)-5),7))</f>
        <v>0</v>
      </c>
      <c r="H885" s="19">
        <f ca="1">OFFSET('1课程考核方式及成绩组成'!$AD$10,(ROW(H885)-5)/7,MOD((ROW(H885)-5),7))</f>
        <v>0</v>
      </c>
      <c r="I885" s="19">
        <f ca="1">OFFSET('1课程考核方式及成绩组成'!$AL$10,(ROW(I885)-5)/7,MOD((ROW(I885)-5),7))</f>
        <v>0</v>
      </c>
      <c r="J885" s="25">
        <f ca="1">IF('0信息维护'!$I$115=0,0,E885/('0信息维护'!$I$115)*'0信息维护'!$E$40*'0信息维护'!$S$30)+IF('0信息维护'!$I$116=0,0,F885/('0信息维护'!$I$116)*'0信息维护'!$E$40*'0信息维护'!$T$30)+IF('0信息维护'!$I$117=0,0,G885/('0信息维护'!$I$117)*'0信息维护'!$E$40*'0信息维护'!$U$30)+IF('0信息维护'!$I$118=0,0,H885/('0信息维护'!$I$118)*'0信息维护'!$E$40*'0信息维护'!$V$30)+IF('0信息维护'!$I$119=0,0,I885/'0信息维护'!$I$119*'0信息维护'!$I$40)</f>
        <v>0</v>
      </c>
      <c r="K885" s="27"/>
    </row>
    <row r="886" spans="1:11">
      <c r="A886" s="21"/>
      <c r="B886" s="21"/>
      <c r="C886" s="21"/>
      <c r="D886" s="18" t="str">
        <f>'0信息维护'!A$31</f>
        <v>课程目标7</v>
      </c>
      <c r="E886" s="19">
        <f ca="1">OFFSET('1课程考核方式及成绩组成'!$F$10,(ROW(E886)-5)/7,MOD((ROW(E886)-5),7))</f>
        <v>0</v>
      </c>
      <c r="F886" s="19">
        <f ca="1">OFFSET('1课程考核方式及成绩组成'!$N$10,(ROW(F886)-5)/7,MOD((ROW(F886)-5),7))</f>
        <v>0</v>
      </c>
      <c r="G886" s="19">
        <f ca="1">OFFSET('1课程考核方式及成绩组成'!$V$10,(ROW(G886)-5)/7,MOD((ROW(G886)-5),7))</f>
        <v>0</v>
      </c>
      <c r="H886" s="19">
        <f ca="1">OFFSET('1课程考核方式及成绩组成'!$AD$10,(ROW(H886)-5)/7,MOD((ROW(H886)-5),7))</f>
        <v>0</v>
      </c>
      <c r="I886" s="19">
        <f ca="1">OFFSET('1课程考核方式及成绩组成'!$AL$10,(ROW(I886)-5)/7,MOD((ROW(I886)-5),7))</f>
        <v>0</v>
      </c>
      <c r="J886" s="25">
        <f ca="1">IF('0信息维护'!$I$121=0,0,E886/('0信息维护'!$I$121)*'0信息维护'!$E$41*'0信息维护'!$S$31)+IF('0信息维护'!$I$122=0,0,F886/('0信息维护'!$I$122)*'0信息维护'!$E$41*'0信息维护'!$T$31)+IF('0信息维护'!$I$123=0,0,G886/('0信息维护'!$I$123)*'0信息维护'!$E$41*'0信息维护'!$U$31)+IF('0信息维护'!$I$124=0,0,H886/('0信息维护'!$I$124)*'0信息维护'!$E$41*'0信息维护'!$T$31)+IF('0信息维护'!$I$125=0,0,I886/'0信息维护'!$I$125*'0信息维护'!$I$41)</f>
        <v>0</v>
      </c>
      <c r="K886" s="30"/>
    </row>
    <row r="887" spans="1:11">
      <c r="A887" s="17">
        <v>127</v>
      </c>
      <c r="B887" s="17" t="str">
        <f ca="1">OFFSET('1课程考核方式及成绩组成'!$D$10,(ROW(B887)-5)/7,)</f>
        <v>220106152</v>
      </c>
      <c r="C887" s="17" t="str">
        <f ca="1">OFFSET('1课程考核方式及成绩组成'!$E$10,(ROW(C887)-5)/7,)</f>
        <v>吴正浩</v>
      </c>
      <c r="D887" s="18" t="str">
        <f>'0信息维护'!A$25</f>
        <v>课程目标1</v>
      </c>
      <c r="E887" s="19">
        <f ca="1">OFFSET('1课程考核方式及成绩组成'!$F$10,(ROW(E887)-5)/7,MOD((ROW(E887)-5),7))</f>
        <v>32</v>
      </c>
      <c r="F887" s="19">
        <f ca="1">OFFSET('1课程考核方式及成绩组成'!$N$10,(ROW(F887)-5)/7,MOD((ROW(F887)-5),7))</f>
        <v>0</v>
      </c>
      <c r="G887" s="19">
        <f ca="1">OFFSET('1课程考核方式及成绩组成'!$V$10,(ROW(G887)-5)/7,MOD((ROW(G887)-5),7))</f>
        <v>0</v>
      </c>
      <c r="H887" s="19">
        <f ca="1">OFFSET('1课程考核方式及成绩组成'!$AD$10,(ROW(H887)-5)/7,MOD((ROW(H887)-5),7))</f>
        <v>0</v>
      </c>
      <c r="I887" s="19">
        <f ca="1">OFFSET('1课程考核方式及成绩组成'!$AL$10,(ROW(I887)-5)/7,MOD((ROW(I887)-5),7))</f>
        <v>30</v>
      </c>
      <c r="J887" s="25">
        <f ca="1">IF('0信息维护'!$I$85=0,0,E887/('0信息维护'!$I$85)*'0信息维护'!$E$35*'0信息维护'!$S$25)+IF('0信息维护'!$I$86=0,0,F887/('0信息维护'!$I$86)*'0信息维护'!$E$35*'0信息维护'!$T$25)+IF('0信息维护'!$I$87=0,0,G887/('0信息维护'!$I$87)*'0信息维护'!$E$35*'0信息维护'!$U$25)+IF('0信息维护'!$I$88=0,0,H887/('0信息维护'!$I$88)*'0信息维护'!$E$35*'0信息维护'!$V$25)+IF('0信息维护'!$I$89=0,0,I887/'0信息维护'!$I$89*'0信息维护'!$I$35)</f>
        <v>0.816666666666667</v>
      </c>
      <c r="K887" s="26">
        <f ca="1">J887*'0信息维护'!$D$132+J888*'0信息维护'!$D$133+J889*'0信息维护'!$D$134+J890*'0信息维护'!$D$135+J891*'0信息维护'!$D$136+J892*'0信息维护'!$D$137+J893*'0信息维护'!$D$138</f>
        <v>0.660147058823529</v>
      </c>
    </row>
    <row r="888" spans="1:14">
      <c r="A888" s="20"/>
      <c r="B888" s="20"/>
      <c r="C888" s="20"/>
      <c r="D888" s="18" t="str">
        <f>'0信息维护'!A$26</f>
        <v>课程目标2</v>
      </c>
      <c r="E888" s="19">
        <f ca="1">OFFSET('1课程考核方式及成绩组成'!$F$10,(ROW(E888)-5)/7,MOD((ROW(E888)-5),7))</f>
        <v>48</v>
      </c>
      <c r="F888" s="19">
        <f ca="1">OFFSET('1课程考核方式及成绩组成'!$N$10,(ROW(F888)-5)/7,MOD((ROW(F888)-5),7))</f>
        <v>0</v>
      </c>
      <c r="G888" s="19">
        <f ca="1">OFFSET('1课程考核方式及成绩组成'!$V$10,(ROW(G888)-5)/7,MOD((ROW(G888)-5),7))</f>
        <v>0</v>
      </c>
      <c r="H888" s="19">
        <f ca="1">OFFSET('1课程考核方式及成绩组成'!$AD$10,(ROW(H888)-5)/7,MOD((ROW(H888)-5),7))</f>
        <v>0</v>
      </c>
      <c r="I888" s="19">
        <f ca="1">OFFSET('1课程考核方式及成绩组成'!$AL$10,(ROW(I888)-5)/7,MOD((ROW(I888)-5),7))</f>
        <v>15</v>
      </c>
      <c r="J888" s="25">
        <f ca="1">IF('0信息维护'!$I$91=0,0,E888/('0信息维护'!$I$91)*'0信息维护'!$S$26*'0信息维护'!$E$36)+IF('0信息维护'!$I$92=0,0,F888/('0信息维护'!$I$92)*'0信息维护'!$T$26*'0信息维护'!$E$36)+IF('0信息维护'!$I$93=0,0,G888/('0信息维护'!$I$93)*'0信息维护'!$U$26*'0信息维护'!$E$36)+IF('0信息维护'!$I$94=0,0,H888/('0信息维护'!$I$94)*'0信息维护'!$V$26*'0信息维护'!$E$36)+IF('0信息维护'!$I$95=0,0,I888/'0信息维护'!$I$95*'0信息维护'!$I$36)</f>
        <v>0.65</v>
      </c>
      <c r="K888" s="27"/>
      <c r="N888" s="29"/>
    </row>
    <row r="889" spans="1:11">
      <c r="A889" s="20"/>
      <c r="B889" s="20"/>
      <c r="C889" s="20"/>
      <c r="D889" s="18" t="str">
        <f>'0信息维护'!A$27</f>
        <v>课程目标3</v>
      </c>
      <c r="E889" s="19">
        <f ca="1">OFFSET('1课程考核方式及成绩组成'!$F$10,(ROW(E889)-5)/7,MOD((ROW(E889)-5),7))</f>
        <v>0</v>
      </c>
      <c r="F889" s="19">
        <f ca="1">OFFSET('1课程考核方式及成绩组成'!$N$10,(ROW(F889)-5)/7,MOD((ROW(F889)-5),7))</f>
        <v>0</v>
      </c>
      <c r="G889" s="19">
        <f ca="1">OFFSET('1课程考核方式及成绩组成'!$V$10,(ROW(G889)-5)/7,MOD((ROW(G889)-5),7))</f>
        <v>0</v>
      </c>
      <c r="H889" s="19">
        <f ca="1">OFFSET('1课程考核方式及成绩组成'!$AD$10,(ROW(H889)-5)/7,MOD((ROW(H889)-5),7))</f>
        <v>0</v>
      </c>
      <c r="I889" s="19">
        <f ca="1">OFFSET('1课程考核方式及成绩组成'!$AL$10,(ROW(I889)-5)/7,MOD((ROW(I889)-5),7))</f>
        <v>16</v>
      </c>
      <c r="J889" s="25">
        <f ca="1">IF('0信息维护'!$I$97=0,0,E889/('0信息维护'!$I$97)*'0信息维护'!$E$37*'0信息维护'!$S$27)+IF('0信息维护'!$I$98=0,0,F889/('0信息维护'!$I$98)*'0信息维护'!$E$37*'0信息维护'!$T$27)+IF('0信息维护'!$I$99=0,0,G889/('0信息维护'!$I$99)*'0信息维护'!$E$37*'0信息维护'!$U$27)+IF('0信息维护'!$I$100=0,0,H889/('0信息维护'!$I$100)*'0信息维护'!$E$37*'0信息维护'!$V$27)+IF('0信息维护'!$I$101=0,0,I889/'0信息维护'!$I$101*'0信息维护'!$I$37)</f>
        <v>0.470588235294118</v>
      </c>
      <c r="K889" s="27"/>
    </row>
    <row r="890" spans="1:11">
      <c r="A890" s="20"/>
      <c r="B890" s="20"/>
      <c r="C890" s="20"/>
      <c r="D890" s="18" t="str">
        <f>'0信息维护'!A$28</f>
        <v>课程目标4</v>
      </c>
      <c r="E890" s="19">
        <f ca="1">OFFSET('1课程考核方式及成绩组成'!$F$10,(ROW(E890)-5)/7,MOD((ROW(E890)-5),7))</f>
        <v>0</v>
      </c>
      <c r="F890" s="19">
        <f ca="1">OFFSET('1课程考核方式及成绩组成'!$N$10,(ROW(F890)-5)/7,MOD((ROW(F890)-5),7))</f>
        <v>75</v>
      </c>
      <c r="G890" s="19">
        <f ca="1">OFFSET('1课程考核方式及成绩组成'!$V$10,(ROW(G890)-5)/7,MOD((ROW(G890)-5),7))</f>
        <v>0</v>
      </c>
      <c r="H890" s="19">
        <f ca="1">OFFSET('1课程考核方式及成绩组成'!$AD$10,(ROW(H890)-5)/7,MOD((ROW(H890)-5),7))</f>
        <v>0</v>
      </c>
      <c r="I890" s="19">
        <f ca="1">OFFSET('1课程考核方式及成绩组成'!$AL$10,(ROW(I890)-5)/7,MOD((ROW(I890)-5),7))</f>
        <v>0</v>
      </c>
      <c r="J890" s="25">
        <f ca="1">IF('0信息维护'!$I$103=0,0,E890/('0信息维护'!$I$103)*'0信息维护'!$E$38*'0信息维护'!$S$28)+IF('0信息维护'!$I$104=0,0,F890/('0信息维护'!$I$104)*'0信息维护'!$E$38*'0信息维护'!$T$28)+IF('0信息维护'!$I$105=0,0,G890/('0信息维护'!$I$105)*'0信息维护'!$E$38*'0信息维护'!$U$28)+IF('0信息维护'!$I$106=0,0,H890/('0信息维护'!$I$106)*'0信息维护'!$E$38*'0信息维护'!$V$28)+IF('0信息维护'!$I$107=0,0,I890/'0信息维护'!$I$107*'0信息维护'!$I$38)</f>
        <v>0.75</v>
      </c>
      <c r="K890" s="27"/>
    </row>
    <row r="891" spans="1:11">
      <c r="A891" s="20"/>
      <c r="B891" s="20"/>
      <c r="C891" s="20"/>
      <c r="D891" s="18" t="str">
        <f>'0信息维护'!A$29</f>
        <v>课程目标5</v>
      </c>
      <c r="E891" s="19">
        <f ca="1">OFFSET('1课程考核方式及成绩组成'!$F$10,(ROW(E891)-5)/7,MOD((ROW(E891)-5),7))</f>
        <v>0</v>
      </c>
      <c r="F891" s="19">
        <f ca="1">OFFSET('1课程考核方式及成绩组成'!$N$10,(ROW(F891)-5)/7,MOD((ROW(F891)-5),7))</f>
        <v>0</v>
      </c>
      <c r="G891" s="19">
        <f ca="1">OFFSET('1课程考核方式及成绩组成'!$V$10,(ROW(G891)-5)/7,MOD((ROW(G891)-5),7))</f>
        <v>0</v>
      </c>
      <c r="H891" s="19">
        <f ca="1">OFFSET('1课程考核方式及成绩组成'!$AD$10,(ROW(H891)-5)/7,MOD((ROW(H891)-5),7))</f>
        <v>0</v>
      </c>
      <c r="I891" s="19">
        <f ca="1">OFFSET('1课程考核方式及成绩组成'!$AL$10,(ROW(I891)-5)/7,MOD((ROW(I891)-5),7))</f>
        <v>0</v>
      </c>
      <c r="J891" s="25">
        <f ca="1">IF('0信息维护'!$I$109=0,0,E891/('0信息维护'!$I$109)*'0信息维护'!$E$39*'0信息维护'!$S$29)+IF('0信息维护'!$I$110=0,0,F891/('0信息维护'!$I$110)*'0信息维护'!$E$39*'0信息维护'!$T$29)+IF('0信息维护'!$I$111=0,0,G891/('0信息维护'!$I$111)*'0信息维护'!$E$39*'0信息维护'!$U$29)+IF('0信息维护'!$I$112=0,0,H891/('0信息维护'!$I$112)*'0信息维护'!$E$39*'0信息维护'!$V$29)+IF('0信息维护'!$I$113=0,0,I891/'0信息维护'!$I$113*'0信息维护'!$I$39)</f>
        <v>0</v>
      </c>
      <c r="K891" s="27"/>
    </row>
    <row r="892" spans="1:11">
      <c r="A892" s="20"/>
      <c r="B892" s="20"/>
      <c r="C892" s="20"/>
      <c r="D892" s="18" t="str">
        <f>'0信息维护'!A$30</f>
        <v>课程目标6</v>
      </c>
      <c r="E892" s="19">
        <f ca="1">OFFSET('1课程考核方式及成绩组成'!$F$10,(ROW(E892)-5)/7,MOD((ROW(E892)-5),7))</f>
        <v>0</v>
      </c>
      <c r="F892" s="19">
        <f ca="1">OFFSET('1课程考核方式及成绩组成'!$N$10,(ROW(F892)-5)/7,MOD((ROW(F892)-5),7))</f>
        <v>0</v>
      </c>
      <c r="G892" s="19">
        <f ca="1">OFFSET('1课程考核方式及成绩组成'!$V$10,(ROW(G892)-5)/7,MOD((ROW(G892)-5),7))</f>
        <v>0</v>
      </c>
      <c r="H892" s="19">
        <f ca="1">OFFSET('1课程考核方式及成绩组成'!$AD$10,(ROW(H892)-5)/7,MOD((ROW(H892)-5),7))</f>
        <v>0</v>
      </c>
      <c r="I892" s="19">
        <f ca="1">OFFSET('1课程考核方式及成绩组成'!$AL$10,(ROW(I892)-5)/7,MOD((ROW(I892)-5),7))</f>
        <v>0</v>
      </c>
      <c r="J892" s="25">
        <f ca="1">IF('0信息维护'!$I$115=0,0,E892/('0信息维护'!$I$115)*'0信息维护'!$E$40*'0信息维护'!$S$30)+IF('0信息维护'!$I$116=0,0,F892/('0信息维护'!$I$116)*'0信息维护'!$E$40*'0信息维护'!$T$30)+IF('0信息维护'!$I$117=0,0,G892/('0信息维护'!$I$117)*'0信息维护'!$E$40*'0信息维护'!$U$30)+IF('0信息维护'!$I$118=0,0,H892/('0信息维护'!$I$118)*'0信息维护'!$E$40*'0信息维护'!$V$30)+IF('0信息维护'!$I$119=0,0,I892/'0信息维护'!$I$119*'0信息维护'!$I$40)</f>
        <v>0</v>
      </c>
      <c r="K892" s="27"/>
    </row>
    <row r="893" spans="1:11">
      <c r="A893" s="21"/>
      <c r="B893" s="21"/>
      <c r="C893" s="21"/>
      <c r="D893" s="18" t="str">
        <f>'0信息维护'!A$31</f>
        <v>课程目标7</v>
      </c>
      <c r="E893" s="19">
        <f ca="1">OFFSET('1课程考核方式及成绩组成'!$F$10,(ROW(E893)-5)/7,MOD((ROW(E893)-5),7))</f>
        <v>0</v>
      </c>
      <c r="F893" s="19">
        <f ca="1">OFFSET('1课程考核方式及成绩组成'!$N$10,(ROW(F893)-5)/7,MOD((ROW(F893)-5),7))</f>
        <v>0</v>
      </c>
      <c r="G893" s="19">
        <f ca="1">OFFSET('1课程考核方式及成绩组成'!$V$10,(ROW(G893)-5)/7,MOD((ROW(G893)-5),7))</f>
        <v>0</v>
      </c>
      <c r="H893" s="19">
        <f ca="1">OFFSET('1课程考核方式及成绩组成'!$AD$10,(ROW(H893)-5)/7,MOD((ROW(H893)-5),7))</f>
        <v>0</v>
      </c>
      <c r="I893" s="19">
        <f ca="1">OFFSET('1课程考核方式及成绩组成'!$AL$10,(ROW(I893)-5)/7,MOD((ROW(I893)-5),7))</f>
        <v>0</v>
      </c>
      <c r="J893" s="25">
        <f ca="1">IF('0信息维护'!$I$121=0,0,E893/('0信息维护'!$I$121)*'0信息维护'!$E$41*'0信息维护'!$S$31)+IF('0信息维护'!$I$122=0,0,F893/('0信息维护'!$I$122)*'0信息维护'!$E$41*'0信息维护'!$T$31)+IF('0信息维护'!$I$123=0,0,G893/('0信息维护'!$I$123)*'0信息维护'!$E$41*'0信息维护'!$U$31)+IF('0信息维护'!$I$124=0,0,H893/('0信息维护'!$I$124)*'0信息维护'!$E$41*'0信息维护'!$T$31)+IF('0信息维护'!$I$125=0,0,I893/'0信息维护'!$I$125*'0信息维护'!$I$41)</f>
        <v>0</v>
      </c>
      <c r="K893" s="30"/>
    </row>
    <row r="894" spans="1:11">
      <c r="A894" s="17">
        <v>128</v>
      </c>
      <c r="B894" s="17" t="str">
        <f ca="1">OFFSET('1课程考核方式及成绩组成'!$D$10,(ROW(B894)-5)/7,)</f>
        <v>220106153</v>
      </c>
      <c r="C894" s="17" t="str">
        <f ca="1">OFFSET('1课程考核方式及成绩组成'!$E$10,(ROW(C894)-5)/7,)</f>
        <v>陆思娅</v>
      </c>
      <c r="D894" s="18" t="str">
        <f>'0信息维护'!A$25</f>
        <v>课程目标1</v>
      </c>
      <c r="E894" s="19">
        <f ca="1">OFFSET('1课程考核方式及成绩组成'!$F$10,(ROW(E894)-5)/7,MOD((ROW(E894)-5),7))</f>
        <v>35</v>
      </c>
      <c r="F894" s="19">
        <f ca="1">OFFSET('1课程考核方式及成绩组成'!$N$10,(ROW(F894)-5)/7,MOD((ROW(F894)-5),7))</f>
        <v>0</v>
      </c>
      <c r="G894" s="19">
        <f ca="1">OFFSET('1课程考核方式及成绩组成'!$V$10,(ROW(G894)-5)/7,MOD((ROW(G894)-5),7))</f>
        <v>0</v>
      </c>
      <c r="H894" s="19">
        <f ca="1">OFFSET('1课程考核方式及成绩组成'!$AD$10,(ROW(H894)-5)/7,MOD((ROW(H894)-5),7))</f>
        <v>0</v>
      </c>
      <c r="I894" s="19">
        <f ca="1">OFFSET('1课程考核方式及成绩组成'!$AL$10,(ROW(I894)-5)/7,MOD((ROW(I894)-5),7))</f>
        <v>34</v>
      </c>
      <c r="J894" s="25">
        <f ca="1">IF('0信息维护'!$I$85=0,0,E894/('0信息维护'!$I$85)*'0信息维护'!$E$35*'0信息维护'!$S$25)+IF('0信息维护'!$I$86=0,0,F894/('0信息维护'!$I$86)*'0信息维护'!$E$35*'0信息维护'!$T$25)+IF('0信息维护'!$I$87=0,0,G894/('0信息维护'!$I$87)*'0信息维护'!$E$35*'0信息维护'!$U$25)+IF('0信息维护'!$I$88=0,0,H894/('0信息维护'!$I$88)*'0信息维护'!$E$35*'0信息维护'!$V$25)+IF('0信息维护'!$I$89=0,0,I894/'0信息维护'!$I$89*'0信息维护'!$I$35)</f>
        <v>0.909722222222222</v>
      </c>
      <c r="K894" s="26">
        <f ca="1">J894*'0信息维护'!$D$132+J895*'0信息维护'!$D$133+J896*'0信息维护'!$D$134+J897*'0信息维护'!$D$135+J898*'0信息维护'!$D$136+J899*'0信息维护'!$D$137+J900*'0信息维护'!$D$138</f>
        <v>0.825428921568627</v>
      </c>
    </row>
    <row r="895" spans="1:14">
      <c r="A895" s="20"/>
      <c r="B895" s="20"/>
      <c r="C895" s="20"/>
      <c r="D895" s="18" t="str">
        <f>'0信息维护'!A$26</f>
        <v>课程目标2</v>
      </c>
      <c r="E895" s="19">
        <f ca="1">OFFSET('1课程考核方式及成绩组成'!$F$10,(ROW(E895)-5)/7,MOD((ROW(E895)-5),7))</f>
        <v>53</v>
      </c>
      <c r="F895" s="19">
        <f ca="1">OFFSET('1课程考核方式及成绩组成'!$N$10,(ROW(F895)-5)/7,MOD((ROW(F895)-5),7))</f>
        <v>0</v>
      </c>
      <c r="G895" s="19">
        <f ca="1">OFFSET('1课程考核方式及成绩组成'!$V$10,(ROW(G895)-5)/7,MOD((ROW(G895)-5),7))</f>
        <v>0</v>
      </c>
      <c r="H895" s="19">
        <f ca="1">OFFSET('1课程考核方式及成绩组成'!$AD$10,(ROW(H895)-5)/7,MOD((ROW(H895)-5),7))</f>
        <v>0</v>
      </c>
      <c r="I895" s="19">
        <f ca="1">OFFSET('1课程考核方式及成绩组成'!$AL$10,(ROW(I895)-5)/7,MOD((ROW(I895)-5),7))</f>
        <v>25</v>
      </c>
      <c r="J895" s="25">
        <f ca="1">IF('0信息维护'!$I$91=0,0,E895/('0信息维护'!$I$91)*'0信息维护'!$S$26*'0信息维护'!$E$36)+IF('0信息维护'!$I$92=0,0,F895/('0信息维护'!$I$92)*'0信息维护'!$T$26*'0信息维护'!$E$36)+IF('0信息维护'!$I$93=0,0,G895/('0信息维护'!$I$93)*'0信息维护'!$U$26*'0信息维护'!$E$36)+IF('0信息维护'!$I$94=0,0,H895/('0信息维护'!$I$94)*'0信息维护'!$V$26*'0信息维护'!$E$36)+IF('0信息维护'!$I$95=0,0,I895/'0信息维护'!$I$95*'0信息维护'!$I$36)</f>
        <v>0.858333333333333</v>
      </c>
      <c r="K895" s="27"/>
      <c r="N895" s="29"/>
    </row>
    <row r="896" spans="1:11">
      <c r="A896" s="20"/>
      <c r="B896" s="20"/>
      <c r="C896" s="20"/>
      <c r="D896" s="18" t="str">
        <f>'0信息维护'!A$27</f>
        <v>课程目标3</v>
      </c>
      <c r="E896" s="19">
        <f ca="1">OFFSET('1课程考核方式及成绩组成'!$F$10,(ROW(E896)-5)/7,MOD((ROW(E896)-5),7))</f>
        <v>0</v>
      </c>
      <c r="F896" s="19">
        <f ca="1">OFFSET('1课程考核方式及成绩组成'!$N$10,(ROW(F896)-5)/7,MOD((ROW(F896)-5),7))</f>
        <v>0</v>
      </c>
      <c r="G896" s="19">
        <f ca="1">OFFSET('1课程考核方式及成绩组成'!$V$10,(ROW(G896)-5)/7,MOD((ROW(G896)-5),7))</f>
        <v>0</v>
      </c>
      <c r="H896" s="19">
        <f ca="1">OFFSET('1课程考核方式及成绩组成'!$AD$10,(ROW(H896)-5)/7,MOD((ROW(H896)-5),7))</f>
        <v>0</v>
      </c>
      <c r="I896" s="19">
        <f ca="1">OFFSET('1课程考核方式及成绩组成'!$AL$10,(ROW(I896)-5)/7,MOD((ROW(I896)-5),7))</f>
        <v>24</v>
      </c>
      <c r="J896" s="25">
        <f ca="1">IF('0信息维护'!$I$97=0,0,E896/('0信息维护'!$I$97)*'0信息维护'!$E$37*'0信息维护'!$S$27)+IF('0信息维护'!$I$98=0,0,F896/('0信息维护'!$I$98)*'0信息维护'!$E$37*'0信息维护'!$T$27)+IF('0信息维护'!$I$99=0,0,G896/('0信息维护'!$I$99)*'0信息维护'!$E$37*'0信息维护'!$U$27)+IF('0信息维护'!$I$100=0,0,H896/('0信息维护'!$I$100)*'0信息维护'!$E$37*'0信息维护'!$V$27)+IF('0信息维护'!$I$101=0,0,I896/'0信息维护'!$I$101*'0信息维护'!$I$37)</f>
        <v>0.705882352941177</v>
      </c>
      <c r="K896" s="27"/>
    </row>
    <row r="897" spans="1:11">
      <c r="A897" s="20"/>
      <c r="B897" s="20"/>
      <c r="C897" s="20"/>
      <c r="D897" s="18" t="str">
        <f>'0信息维护'!A$28</f>
        <v>课程目标4</v>
      </c>
      <c r="E897" s="19">
        <f ca="1">OFFSET('1课程考核方式及成绩组成'!$F$10,(ROW(E897)-5)/7,MOD((ROW(E897)-5),7))</f>
        <v>0</v>
      </c>
      <c r="F897" s="19">
        <f ca="1">OFFSET('1课程考核方式及成绩组成'!$N$10,(ROW(F897)-5)/7,MOD((ROW(F897)-5),7))</f>
        <v>85</v>
      </c>
      <c r="G897" s="19">
        <f ca="1">OFFSET('1课程考核方式及成绩组成'!$V$10,(ROW(G897)-5)/7,MOD((ROW(G897)-5),7))</f>
        <v>0</v>
      </c>
      <c r="H897" s="19">
        <f ca="1">OFFSET('1课程考核方式及成绩组成'!$AD$10,(ROW(H897)-5)/7,MOD((ROW(H897)-5),7))</f>
        <v>0</v>
      </c>
      <c r="I897" s="19">
        <f ca="1">OFFSET('1课程考核方式及成绩组成'!$AL$10,(ROW(I897)-5)/7,MOD((ROW(I897)-5),7))</f>
        <v>0</v>
      </c>
      <c r="J897" s="25">
        <f ca="1">IF('0信息维护'!$I$103=0,0,E897/('0信息维护'!$I$103)*'0信息维护'!$E$38*'0信息维护'!$S$28)+IF('0信息维护'!$I$104=0,0,F897/('0信息维护'!$I$104)*'0信息维护'!$E$38*'0信息维护'!$T$28)+IF('0信息维护'!$I$105=0,0,G897/('0信息维护'!$I$105)*'0信息维护'!$E$38*'0信息维护'!$U$28)+IF('0信息维护'!$I$106=0,0,H897/('0信息维护'!$I$106)*'0信息维护'!$E$38*'0信息维护'!$V$28)+IF('0信息维护'!$I$107=0,0,I897/'0信息维护'!$I$107*'0信息维护'!$I$38)</f>
        <v>0.85</v>
      </c>
      <c r="K897" s="27"/>
    </row>
    <row r="898" spans="1:11">
      <c r="A898" s="20"/>
      <c r="B898" s="20"/>
      <c r="C898" s="20"/>
      <c r="D898" s="18" t="str">
        <f>'0信息维护'!A$29</f>
        <v>课程目标5</v>
      </c>
      <c r="E898" s="19">
        <f ca="1">OFFSET('1课程考核方式及成绩组成'!$F$10,(ROW(E898)-5)/7,MOD((ROW(E898)-5),7))</f>
        <v>0</v>
      </c>
      <c r="F898" s="19">
        <f ca="1">OFFSET('1课程考核方式及成绩组成'!$N$10,(ROW(F898)-5)/7,MOD((ROW(F898)-5),7))</f>
        <v>0</v>
      </c>
      <c r="G898" s="19">
        <f ca="1">OFFSET('1课程考核方式及成绩组成'!$V$10,(ROW(G898)-5)/7,MOD((ROW(G898)-5),7))</f>
        <v>0</v>
      </c>
      <c r="H898" s="19">
        <f ca="1">OFFSET('1课程考核方式及成绩组成'!$AD$10,(ROW(H898)-5)/7,MOD((ROW(H898)-5),7))</f>
        <v>0</v>
      </c>
      <c r="I898" s="19">
        <f ca="1">OFFSET('1课程考核方式及成绩组成'!$AL$10,(ROW(I898)-5)/7,MOD((ROW(I898)-5),7))</f>
        <v>0</v>
      </c>
      <c r="J898" s="25">
        <f ca="1">IF('0信息维护'!$I$109=0,0,E898/('0信息维护'!$I$109)*'0信息维护'!$E$39*'0信息维护'!$S$29)+IF('0信息维护'!$I$110=0,0,F898/('0信息维护'!$I$110)*'0信息维护'!$E$39*'0信息维护'!$T$29)+IF('0信息维护'!$I$111=0,0,G898/('0信息维护'!$I$111)*'0信息维护'!$E$39*'0信息维护'!$U$29)+IF('0信息维护'!$I$112=0,0,H898/('0信息维护'!$I$112)*'0信息维护'!$E$39*'0信息维护'!$V$29)+IF('0信息维护'!$I$113=0,0,I898/'0信息维护'!$I$113*'0信息维护'!$I$39)</f>
        <v>0</v>
      </c>
      <c r="K898" s="27"/>
    </row>
    <row r="899" spans="1:11">
      <c r="A899" s="20"/>
      <c r="B899" s="20"/>
      <c r="C899" s="20"/>
      <c r="D899" s="18" t="str">
        <f>'0信息维护'!A$30</f>
        <v>课程目标6</v>
      </c>
      <c r="E899" s="19">
        <f ca="1">OFFSET('1课程考核方式及成绩组成'!$F$10,(ROW(E899)-5)/7,MOD((ROW(E899)-5),7))</f>
        <v>0</v>
      </c>
      <c r="F899" s="19">
        <f ca="1">OFFSET('1课程考核方式及成绩组成'!$N$10,(ROW(F899)-5)/7,MOD((ROW(F899)-5),7))</f>
        <v>0</v>
      </c>
      <c r="G899" s="19">
        <f ca="1">OFFSET('1课程考核方式及成绩组成'!$V$10,(ROW(G899)-5)/7,MOD((ROW(G899)-5),7))</f>
        <v>0</v>
      </c>
      <c r="H899" s="19">
        <f ca="1">OFFSET('1课程考核方式及成绩组成'!$AD$10,(ROW(H899)-5)/7,MOD((ROW(H899)-5),7))</f>
        <v>0</v>
      </c>
      <c r="I899" s="19">
        <f ca="1">OFFSET('1课程考核方式及成绩组成'!$AL$10,(ROW(I899)-5)/7,MOD((ROW(I899)-5),7))</f>
        <v>0</v>
      </c>
      <c r="J899" s="25">
        <f ca="1">IF('0信息维护'!$I$115=0,0,E899/('0信息维护'!$I$115)*'0信息维护'!$E$40*'0信息维护'!$S$30)+IF('0信息维护'!$I$116=0,0,F899/('0信息维护'!$I$116)*'0信息维护'!$E$40*'0信息维护'!$T$30)+IF('0信息维护'!$I$117=0,0,G899/('0信息维护'!$I$117)*'0信息维护'!$E$40*'0信息维护'!$U$30)+IF('0信息维护'!$I$118=0,0,H899/('0信息维护'!$I$118)*'0信息维护'!$E$40*'0信息维护'!$V$30)+IF('0信息维护'!$I$119=0,0,I899/'0信息维护'!$I$119*'0信息维护'!$I$40)</f>
        <v>0</v>
      </c>
      <c r="K899" s="27"/>
    </row>
    <row r="900" spans="1:11">
      <c r="A900" s="21"/>
      <c r="B900" s="21"/>
      <c r="C900" s="21"/>
      <c r="D900" s="18" t="str">
        <f>'0信息维护'!A$31</f>
        <v>课程目标7</v>
      </c>
      <c r="E900" s="19">
        <f ca="1">OFFSET('1课程考核方式及成绩组成'!$F$10,(ROW(E900)-5)/7,MOD((ROW(E900)-5),7))</f>
        <v>0</v>
      </c>
      <c r="F900" s="19">
        <f ca="1">OFFSET('1课程考核方式及成绩组成'!$N$10,(ROW(F900)-5)/7,MOD((ROW(F900)-5),7))</f>
        <v>0</v>
      </c>
      <c r="G900" s="19">
        <f ca="1">OFFSET('1课程考核方式及成绩组成'!$V$10,(ROW(G900)-5)/7,MOD((ROW(G900)-5),7))</f>
        <v>0</v>
      </c>
      <c r="H900" s="19">
        <f ca="1">OFFSET('1课程考核方式及成绩组成'!$AD$10,(ROW(H900)-5)/7,MOD((ROW(H900)-5),7))</f>
        <v>0</v>
      </c>
      <c r="I900" s="19">
        <f ca="1">OFFSET('1课程考核方式及成绩组成'!$AL$10,(ROW(I900)-5)/7,MOD((ROW(I900)-5),7))</f>
        <v>0</v>
      </c>
      <c r="J900" s="25">
        <f ca="1">IF('0信息维护'!$I$121=0,0,E900/('0信息维护'!$I$121)*'0信息维护'!$E$41*'0信息维护'!$S$31)+IF('0信息维护'!$I$122=0,0,F900/('0信息维护'!$I$122)*'0信息维护'!$E$41*'0信息维护'!$T$31)+IF('0信息维护'!$I$123=0,0,G900/('0信息维护'!$I$123)*'0信息维护'!$E$41*'0信息维护'!$U$31)+IF('0信息维护'!$I$124=0,0,H900/('0信息维护'!$I$124)*'0信息维护'!$E$41*'0信息维护'!$T$31)+IF('0信息维护'!$I$125=0,0,I900/'0信息维护'!$I$125*'0信息维护'!$I$41)</f>
        <v>0</v>
      </c>
      <c r="K900" s="30"/>
    </row>
    <row r="901" spans="1:11">
      <c r="A901" s="17">
        <v>129</v>
      </c>
      <c r="B901" s="17" t="str">
        <f ca="1">OFFSET('1课程考核方式及成绩组成'!$D$10,(ROW(B901)-5)/7,)</f>
        <v>220106154</v>
      </c>
      <c r="C901" s="17" t="str">
        <f ca="1">OFFSET('1课程考核方式及成绩组成'!$E$10,(ROW(C901)-5)/7,)</f>
        <v>朱喆怡</v>
      </c>
      <c r="D901" s="18" t="str">
        <f>'0信息维护'!A$25</f>
        <v>课程目标1</v>
      </c>
      <c r="E901" s="19">
        <f ca="1">OFFSET('1课程考核方式及成绩组成'!$F$10,(ROW(E901)-5)/7,MOD((ROW(E901)-5),7))</f>
        <v>36</v>
      </c>
      <c r="F901" s="19">
        <f ca="1">OFFSET('1课程考核方式及成绩组成'!$N$10,(ROW(F901)-5)/7,MOD((ROW(F901)-5),7))</f>
        <v>0</v>
      </c>
      <c r="G901" s="19">
        <f ca="1">OFFSET('1课程考核方式及成绩组成'!$V$10,(ROW(G901)-5)/7,MOD((ROW(G901)-5),7))</f>
        <v>0</v>
      </c>
      <c r="H901" s="19">
        <f ca="1">OFFSET('1课程考核方式及成绩组成'!$AD$10,(ROW(H901)-5)/7,MOD((ROW(H901)-5),7))</f>
        <v>0</v>
      </c>
      <c r="I901" s="19">
        <f ca="1">OFFSET('1课程考核方式及成绩组成'!$AL$10,(ROW(I901)-5)/7,MOD((ROW(I901)-5),7))</f>
        <v>32</v>
      </c>
      <c r="J901" s="25">
        <f ca="1">IF('0信息维护'!$I$85=0,0,E901/('0信息维护'!$I$85)*'0信息维护'!$E$35*'0信息维护'!$S$25)+IF('0信息维护'!$I$86=0,0,F901/('0信息维护'!$I$86)*'0信息维护'!$E$35*'0信息维护'!$T$25)+IF('0信息维护'!$I$87=0,0,G901/('0信息维护'!$I$87)*'0信息维护'!$E$35*'0信息维护'!$U$25)+IF('0信息维护'!$I$88=0,0,H901/('0信息维护'!$I$88)*'0信息维护'!$E$35*'0信息维护'!$V$25)+IF('0信息维护'!$I$89=0,0,I901/'0信息维护'!$I$89*'0信息维护'!$I$35)</f>
        <v>0.894444444444444</v>
      </c>
      <c r="K901" s="26">
        <f ca="1">J901*'0信息维护'!$D$132+J902*'0信息维护'!$D$133+J903*'0信息维护'!$D$134+J904*'0信息维护'!$D$135+J905*'0信息维护'!$D$136+J906*'0信息维护'!$D$137+J907*'0信息维护'!$D$138</f>
        <v>0.902107843137255</v>
      </c>
    </row>
    <row r="902" spans="1:14">
      <c r="A902" s="20"/>
      <c r="B902" s="20"/>
      <c r="C902" s="20"/>
      <c r="D902" s="18" t="str">
        <f>'0信息维护'!A$26</f>
        <v>课程目标2</v>
      </c>
      <c r="E902" s="19">
        <f ca="1">OFFSET('1课程考核方式及成绩组成'!$F$10,(ROW(E902)-5)/7,MOD((ROW(E902)-5),7))</f>
        <v>56</v>
      </c>
      <c r="F902" s="19">
        <f ca="1">OFFSET('1课程考核方式及成绩组成'!$N$10,(ROW(F902)-5)/7,MOD((ROW(F902)-5),7))</f>
        <v>0</v>
      </c>
      <c r="G902" s="19">
        <f ca="1">OFFSET('1课程考核方式及成绩组成'!$V$10,(ROW(G902)-5)/7,MOD((ROW(G902)-5),7))</f>
        <v>0</v>
      </c>
      <c r="H902" s="19">
        <f ca="1">OFFSET('1课程考核方式及成绩组成'!$AD$10,(ROW(H902)-5)/7,MOD((ROW(H902)-5),7))</f>
        <v>0</v>
      </c>
      <c r="I902" s="19">
        <f ca="1">OFFSET('1课程考核方式及成绩组成'!$AL$10,(ROW(I902)-5)/7,MOD((ROW(I902)-5),7))</f>
        <v>26</v>
      </c>
      <c r="J902" s="25">
        <f ca="1">IF('0信息维护'!$I$91=0,0,E902/('0信息维护'!$I$91)*'0信息维护'!$S$26*'0信息维护'!$E$36)+IF('0信息维护'!$I$92=0,0,F902/('0信息维护'!$I$92)*'0信息维护'!$T$26*'0信息维护'!$E$36)+IF('0信息维护'!$I$93=0,0,G902/('0信息维护'!$I$93)*'0信息维护'!$U$26*'0信息维护'!$E$36)+IF('0信息维护'!$I$94=0,0,H902/('0信息维护'!$I$94)*'0信息维护'!$V$26*'0信息维护'!$E$36)+IF('0信息维护'!$I$95=0,0,I902/'0信息维护'!$I$95*'0信息维护'!$I$36)</f>
        <v>0.9</v>
      </c>
      <c r="K902" s="27"/>
      <c r="N902" s="29"/>
    </row>
    <row r="903" spans="1:11">
      <c r="A903" s="20"/>
      <c r="B903" s="20"/>
      <c r="C903" s="20"/>
      <c r="D903" s="18" t="str">
        <f>'0信息维护'!A$27</f>
        <v>课程目标3</v>
      </c>
      <c r="E903" s="19">
        <f ca="1">OFFSET('1课程考核方式及成绩组成'!$F$10,(ROW(E903)-5)/7,MOD((ROW(E903)-5),7))</f>
        <v>0</v>
      </c>
      <c r="F903" s="19">
        <f ca="1">OFFSET('1课程考核方式及成绩组成'!$N$10,(ROW(F903)-5)/7,MOD((ROW(F903)-5),7))</f>
        <v>0</v>
      </c>
      <c r="G903" s="19">
        <f ca="1">OFFSET('1课程考核方式及成绩组成'!$V$10,(ROW(G903)-5)/7,MOD((ROW(G903)-5),7))</f>
        <v>0</v>
      </c>
      <c r="H903" s="19">
        <f ca="1">OFFSET('1课程考核方式及成绩组成'!$AD$10,(ROW(H903)-5)/7,MOD((ROW(H903)-5),7))</f>
        <v>0</v>
      </c>
      <c r="I903" s="19">
        <f ca="1">OFFSET('1课程考核方式及成绩组成'!$AL$10,(ROW(I903)-5)/7,MOD((ROW(I903)-5),7))</f>
        <v>31</v>
      </c>
      <c r="J903" s="25">
        <f ca="1">IF('0信息维护'!$I$97=0,0,E903/('0信息维护'!$I$97)*'0信息维护'!$E$37*'0信息维护'!$S$27)+IF('0信息维护'!$I$98=0,0,F903/('0信息维护'!$I$98)*'0信息维护'!$E$37*'0信息维护'!$T$27)+IF('0信息维护'!$I$99=0,0,G903/('0信息维护'!$I$99)*'0信息维护'!$E$37*'0信息维护'!$U$27)+IF('0信息维护'!$I$100=0,0,H903/('0信息维护'!$I$100)*'0信息维护'!$E$37*'0信息维护'!$V$27)+IF('0信息维护'!$I$101=0,0,I903/'0信息维护'!$I$101*'0信息维护'!$I$37)</f>
        <v>0.911764705882353</v>
      </c>
      <c r="K903" s="27"/>
    </row>
    <row r="904" spans="1:11">
      <c r="A904" s="20"/>
      <c r="B904" s="20"/>
      <c r="C904" s="20"/>
      <c r="D904" s="18" t="str">
        <f>'0信息维护'!A$28</f>
        <v>课程目标4</v>
      </c>
      <c r="E904" s="19">
        <f ca="1">OFFSET('1课程考核方式及成绩组成'!$F$10,(ROW(E904)-5)/7,MOD((ROW(E904)-5),7))</f>
        <v>0</v>
      </c>
      <c r="F904" s="19">
        <f ca="1">OFFSET('1课程考核方式及成绩组成'!$N$10,(ROW(F904)-5)/7,MOD((ROW(F904)-5),7))</f>
        <v>90</v>
      </c>
      <c r="G904" s="19">
        <f ca="1">OFFSET('1课程考核方式及成绩组成'!$V$10,(ROW(G904)-5)/7,MOD((ROW(G904)-5),7))</f>
        <v>0</v>
      </c>
      <c r="H904" s="19">
        <f ca="1">OFFSET('1课程考核方式及成绩组成'!$AD$10,(ROW(H904)-5)/7,MOD((ROW(H904)-5),7))</f>
        <v>0</v>
      </c>
      <c r="I904" s="19">
        <f ca="1">OFFSET('1课程考核方式及成绩组成'!$AL$10,(ROW(I904)-5)/7,MOD((ROW(I904)-5),7))</f>
        <v>0</v>
      </c>
      <c r="J904" s="25">
        <f ca="1">IF('0信息维护'!$I$103=0,0,E904/('0信息维护'!$I$103)*'0信息维护'!$E$38*'0信息维护'!$S$28)+IF('0信息维护'!$I$104=0,0,F904/('0信息维护'!$I$104)*'0信息维护'!$E$38*'0信息维护'!$T$28)+IF('0信息维护'!$I$105=0,0,G904/('0信息维护'!$I$105)*'0信息维护'!$E$38*'0信息维护'!$U$28)+IF('0信息维护'!$I$106=0,0,H904/('0信息维护'!$I$106)*'0信息维护'!$E$38*'0信息维护'!$V$28)+IF('0信息维护'!$I$107=0,0,I904/'0信息维护'!$I$107*'0信息维护'!$I$38)</f>
        <v>0.9</v>
      </c>
      <c r="K904" s="27"/>
    </row>
    <row r="905" spans="1:11">
      <c r="A905" s="20"/>
      <c r="B905" s="20"/>
      <c r="C905" s="20"/>
      <c r="D905" s="18" t="str">
        <f>'0信息维护'!A$29</f>
        <v>课程目标5</v>
      </c>
      <c r="E905" s="19">
        <f ca="1">OFFSET('1课程考核方式及成绩组成'!$F$10,(ROW(E905)-5)/7,MOD((ROW(E905)-5),7))</f>
        <v>0</v>
      </c>
      <c r="F905" s="19">
        <f ca="1">OFFSET('1课程考核方式及成绩组成'!$N$10,(ROW(F905)-5)/7,MOD((ROW(F905)-5),7))</f>
        <v>0</v>
      </c>
      <c r="G905" s="19">
        <f ca="1">OFFSET('1课程考核方式及成绩组成'!$V$10,(ROW(G905)-5)/7,MOD((ROW(G905)-5),7))</f>
        <v>0</v>
      </c>
      <c r="H905" s="19">
        <f ca="1">OFFSET('1课程考核方式及成绩组成'!$AD$10,(ROW(H905)-5)/7,MOD((ROW(H905)-5),7))</f>
        <v>0</v>
      </c>
      <c r="I905" s="19">
        <f ca="1">OFFSET('1课程考核方式及成绩组成'!$AL$10,(ROW(I905)-5)/7,MOD((ROW(I905)-5),7))</f>
        <v>0</v>
      </c>
      <c r="J905" s="25">
        <f ca="1">IF('0信息维护'!$I$109=0,0,E905/('0信息维护'!$I$109)*'0信息维护'!$E$39*'0信息维护'!$S$29)+IF('0信息维护'!$I$110=0,0,F905/('0信息维护'!$I$110)*'0信息维护'!$E$39*'0信息维护'!$T$29)+IF('0信息维护'!$I$111=0,0,G905/('0信息维护'!$I$111)*'0信息维护'!$E$39*'0信息维护'!$U$29)+IF('0信息维护'!$I$112=0,0,H905/('0信息维护'!$I$112)*'0信息维护'!$E$39*'0信息维护'!$V$29)+IF('0信息维护'!$I$113=0,0,I905/'0信息维护'!$I$113*'0信息维护'!$I$39)</f>
        <v>0</v>
      </c>
      <c r="K905" s="27"/>
    </row>
    <row r="906" spans="1:11">
      <c r="A906" s="20"/>
      <c r="B906" s="20"/>
      <c r="C906" s="20"/>
      <c r="D906" s="18" t="str">
        <f>'0信息维护'!A$30</f>
        <v>课程目标6</v>
      </c>
      <c r="E906" s="19">
        <f ca="1">OFFSET('1课程考核方式及成绩组成'!$F$10,(ROW(E906)-5)/7,MOD((ROW(E906)-5),7))</f>
        <v>0</v>
      </c>
      <c r="F906" s="19">
        <f ca="1">OFFSET('1课程考核方式及成绩组成'!$N$10,(ROW(F906)-5)/7,MOD((ROW(F906)-5),7))</f>
        <v>0</v>
      </c>
      <c r="G906" s="19">
        <f ca="1">OFFSET('1课程考核方式及成绩组成'!$V$10,(ROW(G906)-5)/7,MOD((ROW(G906)-5),7))</f>
        <v>0</v>
      </c>
      <c r="H906" s="19">
        <f ca="1">OFFSET('1课程考核方式及成绩组成'!$AD$10,(ROW(H906)-5)/7,MOD((ROW(H906)-5),7))</f>
        <v>0</v>
      </c>
      <c r="I906" s="19">
        <f ca="1">OFFSET('1课程考核方式及成绩组成'!$AL$10,(ROW(I906)-5)/7,MOD((ROW(I906)-5),7))</f>
        <v>0</v>
      </c>
      <c r="J906" s="25">
        <f ca="1">IF('0信息维护'!$I$115=0,0,E906/('0信息维护'!$I$115)*'0信息维护'!$E$40*'0信息维护'!$S$30)+IF('0信息维护'!$I$116=0,0,F906/('0信息维护'!$I$116)*'0信息维护'!$E$40*'0信息维护'!$T$30)+IF('0信息维护'!$I$117=0,0,G906/('0信息维护'!$I$117)*'0信息维护'!$E$40*'0信息维护'!$U$30)+IF('0信息维护'!$I$118=0,0,H906/('0信息维护'!$I$118)*'0信息维护'!$E$40*'0信息维护'!$V$30)+IF('0信息维护'!$I$119=0,0,I906/'0信息维护'!$I$119*'0信息维护'!$I$40)</f>
        <v>0</v>
      </c>
      <c r="K906" s="27"/>
    </row>
    <row r="907" spans="1:11">
      <c r="A907" s="21"/>
      <c r="B907" s="21"/>
      <c r="C907" s="21"/>
      <c r="D907" s="18" t="str">
        <f>'0信息维护'!A$31</f>
        <v>课程目标7</v>
      </c>
      <c r="E907" s="19">
        <f ca="1">OFFSET('1课程考核方式及成绩组成'!$F$10,(ROW(E907)-5)/7,MOD((ROW(E907)-5),7))</f>
        <v>0</v>
      </c>
      <c r="F907" s="19">
        <f ca="1">OFFSET('1课程考核方式及成绩组成'!$N$10,(ROW(F907)-5)/7,MOD((ROW(F907)-5),7))</f>
        <v>0</v>
      </c>
      <c r="G907" s="19">
        <f ca="1">OFFSET('1课程考核方式及成绩组成'!$V$10,(ROW(G907)-5)/7,MOD((ROW(G907)-5),7))</f>
        <v>0</v>
      </c>
      <c r="H907" s="19">
        <f ca="1">OFFSET('1课程考核方式及成绩组成'!$AD$10,(ROW(H907)-5)/7,MOD((ROW(H907)-5),7))</f>
        <v>0</v>
      </c>
      <c r="I907" s="19">
        <f ca="1">OFFSET('1课程考核方式及成绩组成'!$AL$10,(ROW(I907)-5)/7,MOD((ROW(I907)-5),7))</f>
        <v>0</v>
      </c>
      <c r="J907" s="25">
        <f ca="1">IF('0信息维护'!$I$121=0,0,E907/('0信息维护'!$I$121)*'0信息维护'!$E$41*'0信息维护'!$S$31)+IF('0信息维护'!$I$122=0,0,F907/('0信息维护'!$I$122)*'0信息维护'!$E$41*'0信息维护'!$T$31)+IF('0信息维护'!$I$123=0,0,G907/('0信息维护'!$I$123)*'0信息维护'!$E$41*'0信息维护'!$U$31)+IF('0信息维护'!$I$124=0,0,H907/('0信息维护'!$I$124)*'0信息维护'!$E$41*'0信息维护'!$T$31)+IF('0信息维护'!$I$125=0,0,I907/'0信息维护'!$I$125*'0信息维护'!$I$41)</f>
        <v>0</v>
      </c>
      <c r="K907" s="30"/>
    </row>
    <row r="908" spans="1:11">
      <c r="A908" s="17">
        <v>130</v>
      </c>
      <c r="B908" s="17" t="str">
        <f ca="1">OFFSET('1课程考核方式及成绩组成'!$D$10,(ROW(B908)-5)/7,)</f>
        <v>220106155</v>
      </c>
      <c r="C908" s="17" t="str">
        <f ca="1">OFFSET('1课程考核方式及成绩组成'!$E$10,(ROW(C908)-5)/7,)</f>
        <v>罗涛</v>
      </c>
      <c r="D908" s="18" t="str">
        <f>'0信息维护'!A$25</f>
        <v>课程目标1</v>
      </c>
      <c r="E908" s="19">
        <f ca="1">OFFSET('1课程考核方式及成绩组成'!$F$10,(ROW(E908)-5)/7,MOD((ROW(E908)-5),7))</f>
        <v>34</v>
      </c>
      <c r="F908" s="19">
        <f ca="1">OFFSET('1课程考核方式及成绩组成'!$N$10,(ROW(F908)-5)/7,MOD((ROW(F908)-5),7))</f>
        <v>0</v>
      </c>
      <c r="G908" s="19">
        <f ca="1">OFFSET('1课程考核方式及成绩组成'!$V$10,(ROW(G908)-5)/7,MOD((ROW(G908)-5),7))</f>
        <v>0</v>
      </c>
      <c r="H908" s="19">
        <f ca="1">OFFSET('1课程考核方式及成绩组成'!$AD$10,(ROW(H908)-5)/7,MOD((ROW(H908)-5),7))</f>
        <v>0</v>
      </c>
      <c r="I908" s="19">
        <f ca="1">OFFSET('1课程考核方式及成绩组成'!$AL$10,(ROW(I908)-5)/7,MOD((ROW(I908)-5),7))</f>
        <v>28</v>
      </c>
      <c r="J908" s="25">
        <f ca="1">IF('0信息维护'!$I$85=0,0,E908/('0信息维护'!$I$85)*'0信息维护'!$E$35*'0信息维护'!$S$25)+IF('0信息维护'!$I$86=0,0,F908/('0信息维护'!$I$86)*'0信息维护'!$E$35*'0信息维护'!$T$25)+IF('0信息维护'!$I$87=0,0,G908/('0信息维护'!$I$87)*'0信息维护'!$E$35*'0信息维护'!$U$25)+IF('0信息维护'!$I$88=0,0,H908/('0信息维护'!$I$88)*'0信息维护'!$E$35*'0信息维护'!$V$25)+IF('0信息维护'!$I$89=0,0,I908/'0信息维护'!$I$89*'0信息维护'!$I$35)</f>
        <v>0.813888888888889</v>
      </c>
      <c r="K908" s="26">
        <f ca="1">J908*'0信息维护'!$D$132+J909*'0信息维护'!$D$133+J910*'0信息维护'!$D$134+J911*'0信息维护'!$D$135+J912*'0信息维护'!$D$136+J913*'0信息维护'!$D$137+J914*'0信息维护'!$D$138</f>
        <v>0.792406862745098</v>
      </c>
    </row>
    <row r="909" spans="1:14">
      <c r="A909" s="20"/>
      <c r="B909" s="20"/>
      <c r="C909" s="20"/>
      <c r="D909" s="18" t="str">
        <f>'0信息维护'!A$26</f>
        <v>课程目标2</v>
      </c>
      <c r="E909" s="19">
        <f ca="1">OFFSET('1课程考核方式及成绩组成'!$F$10,(ROW(E909)-5)/7,MOD((ROW(E909)-5),7))</f>
        <v>51</v>
      </c>
      <c r="F909" s="19">
        <f ca="1">OFFSET('1课程考核方式及成绩组成'!$N$10,(ROW(F909)-5)/7,MOD((ROW(F909)-5),7))</f>
        <v>0</v>
      </c>
      <c r="G909" s="19">
        <f ca="1">OFFSET('1课程考核方式及成绩组成'!$V$10,(ROW(G909)-5)/7,MOD((ROW(G909)-5),7))</f>
        <v>0</v>
      </c>
      <c r="H909" s="19">
        <f ca="1">OFFSET('1课程考核方式及成绩组成'!$AD$10,(ROW(H909)-5)/7,MOD((ROW(H909)-5),7))</f>
        <v>0</v>
      </c>
      <c r="I909" s="19">
        <f ca="1">OFFSET('1课程考核方式及成绩组成'!$AL$10,(ROW(I909)-5)/7,MOD((ROW(I909)-5),7))</f>
        <v>22</v>
      </c>
      <c r="J909" s="25">
        <f ca="1">IF('0信息维护'!$I$91=0,0,E909/('0信息维护'!$I$91)*'0信息维护'!$S$26*'0信息维护'!$E$36)+IF('0信息维护'!$I$92=0,0,F909/('0信息维护'!$I$92)*'0信息维护'!$T$26*'0信息维护'!$E$36)+IF('0信息维护'!$I$93=0,0,G909/('0信息维护'!$I$93)*'0信息维护'!$U$26*'0信息维护'!$E$36)+IF('0信息维护'!$I$94=0,0,H909/('0信息维护'!$I$94)*'0信息维护'!$V$26*'0信息维护'!$E$36)+IF('0信息维护'!$I$95=0,0,I909/'0信息维护'!$I$95*'0信息维护'!$I$36)</f>
        <v>0.791666666666667</v>
      </c>
      <c r="K909" s="27"/>
      <c r="N909" s="29"/>
    </row>
    <row r="910" spans="1:11">
      <c r="A910" s="20"/>
      <c r="B910" s="20"/>
      <c r="C910" s="20"/>
      <c r="D910" s="18" t="str">
        <f>'0信息维护'!A$27</f>
        <v>课程目标3</v>
      </c>
      <c r="E910" s="19">
        <f ca="1">OFFSET('1课程考核方式及成绩组成'!$F$10,(ROW(E910)-5)/7,MOD((ROW(E910)-5),7))</f>
        <v>0</v>
      </c>
      <c r="F910" s="19">
        <f ca="1">OFFSET('1课程考核方式及成绩组成'!$N$10,(ROW(F910)-5)/7,MOD((ROW(F910)-5),7))</f>
        <v>0</v>
      </c>
      <c r="G910" s="19">
        <f ca="1">OFFSET('1课程考核方式及成绩组成'!$V$10,(ROW(G910)-5)/7,MOD((ROW(G910)-5),7))</f>
        <v>0</v>
      </c>
      <c r="H910" s="19">
        <f ca="1">OFFSET('1课程考核方式及成绩组成'!$AD$10,(ROW(H910)-5)/7,MOD((ROW(H910)-5),7))</f>
        <v>0</v>
      </c>
      <c r="I910" s="19">
        <f ca="1">OFFSET('1课程考核方式及成绩组成'!$AL$10,(ROW(I910)-5)/7,MOD((ROW(I910)-5),7))</f>
        <v>25</v>
      </c>
      <c r="J910" s="25">
        <f ca="1">IF('0信息维护'!$I$97=0,0,E910/('0信息维护'!$I$97)*'0信息维护'!$E$37*'0信息维护'!$S$27)+IF('0信息维护'!$I$98=0,0,F910/('0信息维护'!$I$98)*'0信息维护'!$E$37*'0信息维护'!$T$27)+IF('0信息维护'!$I$99=0,0,G910/('0信息维护'!$I$99)*'0信息维护'!$E$37*'0信息维护'!$U$27)+IF('0信息维护'!$I$100=0,0,H910/('0信息维护'!$I$100)*'0信息维护'!$E$37*'0信息维护'!$V$27)+IF('0信息维护'!$I$101=0,0,I910/'0信息维护'!$I$101*'0信息维护'!$I$37)</f>
        <v>0.735294117647059</v>
      </c>
      <c r="K910" s="27"/>
    </row>
    <row r="911" spans="1:11">
      <c r="A911" s="20"/>
      <c r="B911" s="20"/>
      <c r="C911" s="20"/>
      <c r="D911" s="18" t="str">
        <f>'0信息维护'!A$28</f>
        <v>课程目标4</v>
      </c>
      <c r="E911" s="19">
        <f ca="1">OFFSET('1课程考核方式及成绩组成'!$F$10,(ROW(E911)-5)/7,MOD((ROW(E911)-5),7))</f>
        <v>0</v>
      </c>
      <c r="F911" s="19">
        <f ca="1">OFFSET('1课程考核方式及成绩组成'!$N$10,(ROW(F911)-5)/7,MOD((ROW(F911)-5),7))</f>
        <v>83</v>
      </c>
      <c r="G911" s="19">
        <f ca="1">OFFSET('1课程考核方式及成绩组成'!$V$10,(ROW(G911)-5)/7,MOD((ROW(G911)-5),7))</f>
        <v>0</v>
      </c>
      <c r="H911" s="19">
        <f ca="1">OFFSET('1课程考核方式及成绩组成'!$AD$10,(ROW(H911)-5)/7,MOD((ROW(H911)-5),7))</f>
        <v>0</v>
      </c>
      <c r="I911" s="19">
        <f ca="1">OFFSET('1课程考核方式及成绩组成'!$AL$10,(ROW(I911)-5)/7,MOD((ROW(I911)-5),7))</f>
        <v>0</v>
      </c>
      <c r="J911" s="25">
        <f ca="1">IF('0信息维护'!$I$103=0,0,E911/('0信息维护'!$I$103)*'0信息维护'!$E$38*'0信息维护'!$S$28)+IF('0信息维护'!$I$104=0,0,F911/('0信息维护'!$I$104)*'0信息维护'!$E$38*'0信息维护'!$T$28)+IF('0信息维护'!$I$105=0,0,G911/('0信息维护'!$I$105)*'0信息维护'!$E$38*'0信息维护'!$U$28)+IF('0信息维护'!$I$106=0,0,H911/('0信息维护'!$I$106)*'0信息维护'!$E$38*'0信息维护'!$V$28)+IF('0信息维护'!$I$107=0,0,I911/'0信息维护'!$I$107*'0信息维护'!$I$38)</f>
        <v>0.83</v>
      </c>
      <c r="K911" s="27"/>
    </row>
    <row r="912" spans="1:11">
      <c r="A912" s="20"/>
      <c r="B912" s="20"/>
      <c r="C912" s="20"/>
      <c r="D912" s="18" t="str">
        <f>'0信息维护'!A$29</f>
        <v>课程目标5</v>
      </c>
      <c r="E912" s="19">
        <f ca="1">OFFSET('1课程考核方式及成绩组成'!$F$10,(ROW(E912)-5)/7,MOD((ROW(E912)-5),7))</f>
        <v>0</v>
      </c>
      <c r="F912" s="19">
        <f ca="1">OFFSET('1课程考核方式及成绩组成'!$N$10,(ROW(F912)-5)/7,MOD((ROW(F912)-5),7))</f>
        <v>0</v>
      </c>
      <c r="G912" s="19">
        <f ca="1">OFFSET('1课程考核方式及成绩组成'!$V$10,(ROW(G912)-5)/7,MOD((ROW(G912)-5),7))</f>
        <v>0</v>
      </c>
      <c r="H912" s="19">
        <f ca="1">OFFSET('1课程考核方式及成绩组成'!$AD$10,(ROW(H912)-5)/7,MOD((ROW(H912)-5),7))</f>
        <v>0</v>
      </c>
      <c r="I912" s="19">
        <f ca="1">OFFSET('1课程考核方式及成绩组成'!$AL$10,(ROW(I912)-5)/7,MOD((ROW(I912)-5),7))</f>
        <v>0</v>
      </c>
      <c r="J912" s="25">
        <f ca="1">IF('0信息维护'!$I$109=0,0,E912/('0信息维护'!$I$109)*'0信息维护'!$E$39*'0信息维护'!$S$29)+IF('0信息维护'!$I$110=0,0,F912/('0信息维护'!$I$110)*'0信息维护'!$E$39*'0信息维护'!$T$29)+IF('0信息维护'!$I$111=0,0,G912/('0信息维护'!$I$111)*'0信息维护'!$E$39*'0信息维护'!$U$29)+IF('0信息维护'!$I$112=0,0,H912/('0信息维护'!$I$112)*'0信息维护'!$E$39*'0信息维护'!$V$29)+IF('0信息维护'!$I$113=0,0,I912/'0信息维护'!$I$113*'0信息维护'!$I$39)</f>
        <v>0</v>
      </c>
      <c r="K912" s="27"/>
    </row>
    <row r="913" spans="1:11">
      <c r="A913" s="20"/>
      <c r="B913" s="20"/>
      <c r="C913" s="20"/>
      <c r="D913" s="18" t="str">
        <f>'0信息维护'!A$30</f>
        <v>课程目标6</v>
      </c>
      <c r="E913" s="19">
        <f ca="1">OFFSET('1课程考核方式及成绩组成'!$F$10,(ROW(E913)-5)/7,MOD((ROW(E913)-5),7))</f>
        <v>0</v>
      </c>
      <c r="F913" s="19">
        <f ca="1">OFFSET('1课程考核方式及成绩组成'!$N$10,(ROW(F913)-5)/7,MOD((ROW(F913)-5),7))</f>
        <v>0</v>
      </c>
      <c r="G913" s="19">
        <f ca="1">OFFSET('1课程考核方式及成绩组成'!$V$10,(ROW(G913)-5)/7,MOD((ROW(G913)-5),7))</f>
        <v>0</v>
      </c>
      <c r="H913" s="19">
        <f ca="1">OFFSET('1课程考核方式及成绩组成'!$AD$10,(ROW(H913)-5)/7,MOD((ROW(H913)-5),7))</f>
        <v>0</v>
      </c>
      <c r="I913" s="19">
        <f ca="1">OFFSET('1课程考核方式及成绩组成'!$AL$10,(ROW(I913)-5)/7,MOD((ROW(I913)-5),7))</f>
        <v>0</v>
      </c>
      <c r="J913" s="25">
        <f ca="1">IF('0信息维护'!$I$115=0,0,E913/('0信息维护'!$I$115)*'0信息维护'!$E$40*'0信息维护'!$S$30)+IF('0信息维护'!$I$116=0,0,F913/('0信息维护'!$I$116)*'0信息维护'!$E$40*'0信息维护'!$T$30)+IF('0信息维护'!$I$117=0,0,G913/('0信息维护'!$I$117)*'0信息维护'!$E$40*'0信息维护'!$U$30)+IF('0信息维护'!$I$118=0,0,H913/('0信息维护'!$I$118)*'0信息维护'!$E$40*'0信息维护'!$V$30)+IF('0信息维护'!$I$119=0,0,I913/'0信息维护'!$I$119*'0信息维护'!$I$40)</f>
        <v>0</v>
      </c>
      <c r="K913" s="27"/>
    </row>
    <row r="914" spans="1:11">
      <c r="A914" s="21"/>
      <c r="B914" s="21"/>
      <c r="C914" s="21"/>
      <c r="D914" s="18" t="str">
        <f>'0信息维护'!A$31</f>
        <v>课程目标7</v>
      </c>
      <c r="E914" s="19">
        <f ca="1">OFFSET('1课程考核方式及成绩组成'!$F$10,(ROW(E914)-5)/7,MOD((ROW(E914)-5),7))</f>
        <v>0</v>
      </c>
      <c r="F914" s="19">
        <f ca="1">OFFSET('1课程考核方式及成绩组成'!$N$10,(ROW(F914)-5)/7,MOD((ROW(F914)-5),7))</f>
        <v>0</v>
      </c>
      <c r="G914" s="19">
        <f ca="1">OFFSET('1课程考核方式及成绩组成'!$V$10,(ROW(G914)-5)/7,MOD((ROW(G914)-5),7))</f>
        <v>0</v>
      </c>
      <c r="H914" s="19">
        <f ca="1">OFFSET('1课程考核方式及成绩组成'!$AD$10,(ROW(H914)-5)/7,MOD((ROW(H914)-5),7))</f>
        <v>0</v>
      </c>
      <c r="I914" s="19">
        <f ca="1">OFFSET('1课程考核方式及成绩组成'!$AL$10,(ROW(I914)-5)/7,MOD((ROW(I914)-5),7))</f>
        <v>0</v>
      </c>
      <c r="J914" s="25">
        <f ca="1">IF('0信息维护'!$I$121=0,0,E914/('0信息维护'!$I$121)*'0信息维护'!$E$41*'0信息维护'!$S$31)+IF('0信息维护'!$I$122=0,0,F914/('0信息维护'!$I$122)*'0信息维护'!$E$41*'0信息维护'!$T$31)+IF('0信息维护'!$I$123=0,0,G914/('0信息维护'!$I$123)*'0信息维护'!$E$41*'0信息维护'!$U$31)+IF('0信息维护'!$I$124=0,0,H914/('0信息维护'!$I$124)*'0信息维护'!$E$41*'0信息维护'!$T$31)+IF('0信息维护'!$I$125=0,0,I914/'0信息维护'!$I$125*'0信息维护'!$I$41)</f>
        <v>0</v>
      </c>
      <c r="K914" s="30"/>
    </row>
    <row r="915" spans="1:11">
      <c r="A915" s="17">
        <v>131</v>
      </c>
      <c r="B915" s="17" t="str">
        <f ca="1">OFFSET('1课程考核方式及成绩组成'!$D$10,(ROW(B915)-5)/7,)</f>
        <v>220106156</v>
      </c>
      <c r="C915" s="17" t="str">
        <f ca="1">OFFSET('1课程考核方式及成绩组成'!$E$10,(ROW(C915)-5)/7,)</f>
        <v>胡森</v>
      </c>
      <c r="D915" s="18" t="str">
        <f>'0信息维护'!A$25</f>
        <v>课程目标1</v>
      </c>
      <c r="E915" s="19">
        <f ca="1">OFFSET('1课程考核方式及成绩组成'!$F$10,(ROW(E915)-5)/7,MOD((ROW(E915)-5),7))</f>
        <v>33</v>
      </c>
      <c r="F915" s="19">
        <f ca="1">OFFSET('1课程考核方式及成绩组成'!$N$10,(ROW(F915)-5)/7,MOD((ROW(F915)-5),7))</f>
        <v>0</v>
      </c>
      <c r="G915" s="19">
        <f ca="1">OFFSET('1课程考核方式及成绩组成'!$V$10,(ROW(G915)-5)/7,MOD((ROW(G915)-5),7))</f>
        <v>0</v>
      </c>
      <c r="H915" s="19">
        <f ca="1">OFFSET('1课程考核方式及成绩组成'!$AD$10,(ROW(H915)-5)/7,MOD((ROW(H915)-5),7))</f>
        <v>0</v>
      </c>
      <c r="I915" s="19">
        <f ca="1">OFFSET('1课程考核方式及成绩组成'!$AL$10,(ROW(I915)-5)/7,MOD((ROW(I915)-5),7))</f>
        <v>28</v>
      </c>
      <c r="J915" s="25">
        <f ca="1">IF('0信息维护'!$I$85=0,0,E915/('0信息维护'!$I$85)*'0信息维护'!$E$35*'0信息维护'!$S$25)+IF('0信息维护'!$I$86=0,0,F915/('0信息维护'!$I$86)*'0信息维护'!$E$35*'0信息维护'!$T$25)+IF('0信息维护'!$I$87=0,0,G915/('0信息维护'!$I$87)*'0信息维护'!$E$35*'0信息维护'!$U$25)+IF('0信息维护'!$I$88=0,0,H915/('0信息维护'!$I$88)*'0信息维护'!$E$35*'0信息维护'!$V$25)+IF('0信息维护'!$I$89=0,0,I915/'0信息维护'!$I$89*'0信息维护'!$I$35)</f>
        <v>0.801388888888889</v>
      </c>
      <c r="K915" s="26">
        <f ca="1">J915*'0信息维护'!$D$132+J916*'0信息维护'!$D$133+J917*'0信息维护'!$D$134+J918*'0信息维护'!$D$135+J919*'0信息维护'!$D$136+J920*'0信息维护'!$D$137+J921*'0信息维护'!$D$138</f>
        <v>0.743414215686275</v>
      </c>
    </row>
    <row r="916" spans="1:14">
      <c r="A916" s="20"/>
      <c r="B916" s="20"/>
      <c r="C916" s="20"/>
      <c r="D916" s="18" t="str">
        <f>'0信息维护'!A$26</f>
        <v>课程目标2</v>
      </c>
      <c r="E916" s="19">
        <f ca="1">OFFSET('1课程考核方式及成绩组成'!$F$10,(ROW(E916)-5)/7,MOD((ROW(E916)-5),7))</f>
        <v>51</v>
      </c>
      <c r="F916" s="19">
        <f ca="1">OFFSET('1课程考核方式及成绩组成'!$N$10,(ROW(F916)-5)/7,MOD((ROW(F916)-5),7))</f>
        <v>0</v>
      </c>
      <c r="G916" s="19">
        <f ca="1">OFFSET('1课程考核方式及成绩组成'!$V$10,(ROW(G916)-5)/7,MOD((ROW(G916)-5),7))</f>
        <v>0</v>
      </c>
      <c r="H916" s="19">
        <f ca="1">OFFSET('1课程考核方式及成绩组成'!$AD$10,(ROW(H916)-5)/7,MOD((ROW(H916)-5),7))</f>
        <v>0</v>
      </c>
      <c r="I916" s="19">
        <f ca="1">OFFSET('1课程考核方式及成绩组成'!$AL$10,(ROW(I916)-5)/7,MOD((ROW(I916)-5),7))</f>
        <v>25</v>
      </c>
      <c r="J916" s="25">
        <f ca="1">IF('0信息维护'!$I$91=0,0,E916/('0信息维护'!$I$91)*'0信息维护'!$S$26*'0信息维护'!$E$36)+IF('0信息维护'!$I$92=0,0,F916/('0信息维护'!$I$92)*'0信息维护'!$T$26*'0信息维护'!$E$36)+IF('0信息维护'!$I$93=0,0,G916/('0信息维护'!$I$93)*'0信息维护'!$U$26*'0信息维护'!$E$36)+IF('0信息维护'!$I$94=0,0,H916/('0信息维护'!$I$94)*'0信息维护'!$V$26*'0信息维护'!$E$36)+IF('0信息维护'!$I$95=0,0,I916/'0信息维护'!$I$95*'0信息维护'!$I$36)</f>
        <v>0.841666666666667</v>
      </c>
      <c r="K916" s="27"/>
      <c r="N916" s="29"/>
    </row>
    <row r="917" spans="1:11">
      <c r="A917" s="20"/>
      <c r="B917" s="20"/>
      <c r="C917" s="20"/>
      <c r="D917" s="18" t="str">
        <f>'0信息维护'!A$27</f>
        <v>课程目标3</v>
      </c>
      <c r="E917" s="19">
        <f ca="1">OFFSET('1课程考核方式及成绩组成'!$F$10,(ROW(E917)-5)/7,MOD((ROW(E917)-5),7))</f>
        <v>0</v>
      </c>
      <c r="F917" s="19">
        <f ca="1">OFFSET('1课程考核方式及成绩组成'!$N$10,(ROW(F917)-5)/7,MOD((ROW(F917)-5),7))</f>
        <v>0</v>
      </c>
      <c r="G917" s="19">
        <f ca="1">OFFSET('1课程考核方式及成绩组成'!$V$10,(ROW(G917)-5)/7,MOD((ROW(G917)-5),7))</f>
        <v>0</v>
      </c>
      <c r="H917" s="19">
        <f ca="1">OFFSET('1课程考核方式及成绩组成'!$AD$10,(ROW(H917)-5)/7,MOD((ROW(H917)-5),7))</f>
        <v>0</v>
      </c>
      <c r="I917" s="19">
        <f ca="1">OFFSET('1课程考核方式及成绩组成'!$AL$10,(ROW(I917)-5)/7,MOD((ROW(I917)-5),7))</f>
        <v>19</v>
      </c>
      <c r="J917" s="25">
        <f ca="1">IF('0信息维护'!$I$97=0,0,E917/('0信息维护'!$I$97)*'0信息维护'!$E$37*'0信息维护'!$S$27)+IF('0信息维护'!$I$98=0,0,F917/('0信息维护'!$I$98)*'0信息维护'!$E$37*'0信息维护'!$T$27)+IF('0信息维护'!$I$99=0,0,G917/('0信息维护'!$I$99)*'0信息维护'!$E$37*'0信息维护'!$U$27)+IF('0信息维护'!$I$100=0,0,H917/('0信息维护'!$I$100)*'0信息维护'!$E$37*'0信息维护'!$V$27)+IF('0信息维护'!$I$101=0,0,I917/'0信息维护'!$I$101*'0信息维护'!$I$37)</f>
        <v>0.558823529411765</v>
      </c>
      <c r="K917" s="27"/>
    </row>
    <row r="918" spans="1:11">
      <c r="A918" s="20"/>
      <c r="B918" s="20"/>
      <c r="C918" s="20"/>
      <c r="D918" s="18" t="str">
        <f>'0信息维护'!A$28</f>
        <v>课程目标4</v>
      </c>
      <c r="E918" s="19">
        <f ca="1">OFFSET('1课程考核方式及成绩组成'!$F$10,(ROW(E918)-5)/7,MOD((ROW(E918)-5),7))</f>
        <v>0</v>
      </c>
      <c r="F918" s="19">
        <f ca="1">OFFSET('1课程考核方式及成绩组成'!$N$10,(ROW(F918)-5)/7,MOD((ROW(F918)-5),7))</f>
        <v>77</v>
      </c>
      <c r="G918" s="19">
        <f ca="1">OFFSET('1课程考核方式及成绩组成'!$V$10,(ROW(G918)-5)/7,MOD((ROW(G918)-5),7))</f>
        <v>0</v>
      </c>
      <c r="H918" s="19">
        <f ca="1">OFFSET('1课程考核方式及成绩组成'!$AD$10,(ROW(H918)-5)/7,MOD((ROW(H918)-5),7))</f>
        <v>0</v>
      </c>
      <c r="I918" s="19">
        <f ca="1">OFFSET('1课程考核方式及成绩组成'!$AL$10,(ROW(I918)-5)/7,MOD((ROW(I918)-5),7))</f>
        <v>0</v>
      </c>
      <c r="J918" s="25">
        <f ca="1">IF('0信息维护'!$I$103=0,0,E918/('0信息维护'!$I$103)*'0信息维护'!$E$38*'0信息维护'!$S$28)+IF('0信息维护'!$I$104=0,0,F918/('0信息维护'!$I$104)*'0信息维护'!$E$38*'0信息维护'!$T$28)+IF('0信息维护'!$I$105=0,0,G918/('0信息维护'!$I$105)*'0信息维护'!$E$38*'0信息维护'!$U$28)+IF('0信息维护'!$I$106=0,0,H918/('0信息维护'!$I$106)*'0信息维护'!$E$38*'0信息维护'!$V$28)+IF('0信息维护'!$I$107=0,0,I918/'0信息维护'!$I$107*'0信息维护'!$I$38)</f>
        <v>0.77</v>
      </c>
      <c r="K918" s="27"/>
    </row>
    <row r="919" spans="1:11">
      <c r="A919" s="20"/>
      <c r="B919" s="20"/>
      <c r="C919" s="20"/>
      <c r="D919" s="18" t="str">
        <f>'0信息维护'!A$29</f>
        <v>课程目标5</v>
      </c>
      <c r="E919" s="19">
        <f ca="1">OFFSET('1课程考核方式及成绩组成'!$F$10,(ROW(E919)-5)/7,MOD((ROW(E919)-5),7))</f>
        <v>0</v>
      </c>
      <c r="F919" s="19">
        <f ca="1">OFFSET('1课程考核方式及成绩组成'!$N$10,(ROW(F919)-5)/7,MOD((ROW(F919)-5),7))</f>
        <v>0</v>
      </c>
      <c r="G919" s="19">
        <f ca="1">OFFSET('1课程考核方式及成绩组成'!$V$10,(ROW(G919)-5)/7,MOD((ROW(G919)-5),7))</f>
        <v>0</v>
      </c>
      <c r="H919" s="19">
        <f ca="1">OFFSET('1课程考核方式及成绩组成'!$AD$10,(ROW(H919)-5)/7,MOD((ROW(H919)-5),7))</f>
        <v>0</v>
      </c>
      <c r="I919" s="19">
        <f ca="1">OFFSET('1课程考核方式及成绩组成'!$AL$10,(ROW(I919)-5)/7,MOD((ROW(I919)-5),7))</f>
        <v>0</v>
      </c>
      <c r="J919" s="25">
        <f ca="1">IF('0信息维护'!$I$109=0,0,E919/('0信息维护'!$I$109)*'0信息维护'!$E$39*'0信息维护'!$S$29)+IF('0信息维护'!$I$110=0,0,F919/('0信息维护'!$I$110)*'0信息维护'!$E$39*'0信息维护'!$T$29)+IF('0信息维护'!$I$111=0,0,G919/('0信息维护'!$I$111)*'0信息维护'!$E$39*'0信息维护'!$U$29)+IF('0信息维护'!$I$112=0,0,H919/('0信息维护'!$I$112)*'0信息维护'!$E$39*'0信息维护'!$V$29)+IF('0信息维护'!$I$113=0,0,I919/'0信息维护'!$I$113*'0信息维护'!$I$39)</f>
        <v>0</v>
      </c>
      <c r="K919" s="27"/>
    </row>
    <row r="920" spans="1:11">
      <c r="A920" s="20"/>
      <c r="B920" s="20"/>
      <c r="C920" s="20"/>
      <c r="D920" s="18" t="str">
        <f>'0信息维护'!A$30</f>
        <v>课程目标6</v>
      </c>
      <c r="E920" s="19">
        <f ca="1">OFFSET('1课程考核方式及成绩组成'!$F$10,(ROW(E920)-5)/7,MOD((ROW(E920)-5),7))</f>
        <v>0</v>
      </c>
      <c r="F920" s="19">
        <f ca="1">OFFSET('1课程考核方式及成绩组成'!$N$10,(ROW(F920)-5)/7,MOD((ROW(F920)-5),7))</f>
        <v>0</v>
      </c>
      <c r="G920" s="19">
        <f ca="1">OFFSET('1课程考核方式及成绩组成'!$V$10,(ROW(G920)-5)/7,MOD((ROW(G920)-5),7))</f>
        <v>0</v>
      </c>
      <c r="H920" s="19">
        <f ca="1">OFFSET('1课程考核方式及成绩组成'!$AD$10,(ROW(H920)-5)/7,MOD((ROW(H920)-5),7))</f>
        <v>0</v>
      </c>
      <c r="I920" s="19">
        <f ca="1">OFFSET('1课程考核方式及成绩组成'!$AL$10,(ROW(I920)-5)/7,MOD((ROW(I920)-5),7))</f>
        <v>0</v>
      </c>
      <c r="J920" s="25">
        <f ca="1">IF('0信息维护'!$I$115=0,0,E920/('0信息维护'!$I$115)*'0信息维护'!$E$40*'0信息维护'!$S$30)+IF('0信息维护'!$I$116=0,0,F920/('0信息维护'!$I$116)*'0信息维护'!$E$40*'0信息维护'!$T$30)+IF('0信息维护'!$I$117=0,0,G920/('0信息维护'!$I$117)*'0信息维护'!$E$40*'0信息维护'!$U$30)+IF('0信息维护'!$I$118=0,0,H920/('0信息维护'!$I$118)*'0信息维护'!$E$40*'0信息维护'!$V$30)+IF('0信息维护'!$I$119=0,0,I920/'0信息维护'!$I$119*'0信息维护'!$I$40)</f>
        <v>0</v>
      </c>
      <c r="K920" s="27"/>
    </row>
    <row r="921" spans="1:11">
      <c r="A921" s="21"/>
      <c r="B921" s="21"/>
      <c r="C921" s="21"/>
      <c r="D921" s="18" t="str">
        <f>'0信息维护'!A$31</f>
        <v>课程目标7</v>
      </c>
      <c r="E921" s="19">
        <f ca="1">OFFSET('1课程考核方式及成绩组成'!$F$10,(ROW(E921)-5)/7,MOD((ROW(E921)-5),7))</f>
        <v>0</v>
      </c>
      <c r="F921" s="19">
        <f ca="1">OFFSET('1课程考核方式及成绩组成'!$N$10,(ROW(F921)-5)/7,MOD((ROW(F921)-5),7))</f>
        <v>0</v>
      </c>
      <c r="G921" s="19">
        <f ca="1">OFFSET('1课程考核方式及成绩组成'!$V$10,(ROW(G921)-5)/7,MOD((ROW(G921)-5),7))</f>
        <v>0</v>
      </c>
      <c r="H921" s="19">
        <f ca="1">OFFSET('1课程考核方式及成绩组成'!$AD$10,(ROW(H921)-5)/7,MOD((ROW(H921)-5),7))</f>
        <v>0</v>
      </c>
      <c r="I921" s="19">
        <f ca="1">OFFSET('1课程考核方式及成绩组成'!$AL$10,(ROW(I921)-5)/7,MOD((ROW(I921)-5),7))</f>
        <v>0</v>
      </c>
      <c r="J921" s="25">
        <f ca="1">IF('0信息维护'!$I$121=0,0,E921/('0信息维护'!$I$121)*'0信息维护'!$E$41*'0信息维护'!$S$31)+IF('0信息维护'!$I$122=0,0,F921/('0信息维护'!$I$122)*'0信息维护'!$E$41*'0信息维护'!$T$31)+IF('0信息维护'!$I$123=0,0,G921/('0信息维护'!$I$123)*'0信息维护'!$E$41*'0信息维护'!$U$31)+IF('0信息维护'!$I$124=0,0,H921/('0信息维护'!$I$124)*'0信息维护'!$E$41*'0信息维护'!$T$31)+IF('0信息维护'!$I$125=0,0,I921/'0信息维护'!$I$125*'0信息维护'!$I$41)</f>
        <v>0</v>
      </c>
      <c r="K921" s="30"/>
    </row>
    <row r="922" spans="1:11">
      <c r="A922" s="17">
        <v>132</v>
      </c>
      <c r="B922" s="17" t="str">
        <f ca="1">OFFSET('1课程考核方式及成绩组成'!$D$10,(ROW(B922)-5)/7,)</f>
        <v>220106157</v>
      </c>
      <c r="C922" s="17" t="str">
        <f ca="1">OFFSET('1课程考核方式及成绩组成'!$E$10,(ROW(C922)-5)/7,)</f>
        <v>梁真兴</v>
      </c>
      <c r="D922" s="18" t="str">
        <f>'0信息维护'!A$25</f>
        <v>课程目标1</v>
      </c>
      <c r="E922" s="19">
        <f ca="1">OFFSET('1课程考核方式及成绩组成'!$F$10,(ROW(E922)-5)/7,MOD((ROW(E922)-5),7))</f>
        <v>36</v>
      </c>
      <c r="F922" s="19">
        <f ca="1">OFFSET('1课程考核方式及成绩组成'!$N$10,(ROW(F922)-5)/7,MOD((ROW(F922)-5),7))</f>
        <v>0</v>
      </c>
      <c r="G922" s="19">
        <f ca="1">OFFSET('1课程考核方式及成绩组成'!$V$10,(ROW(G922)-5)/7,MOD((ROW(G922)-5),7))</f>
        <v>0</v>
      </c>
      <c r="H922" s="19">
        <f ca="1">OFFSET('1课程考核方式及成绩组成'!$AD$10,(ROW(H922)-5)/7,MOD((ROW(H922)-5),7))</f>
        <v>0</v>
      </c>
      <c r="I922" s="19">
        <f ca="1">OFFSET('1课程考核方式及成绩组成'!$AL$10,(ROW(I922)-5)/7,MOD((ROW(I922)-5),7))</f>
        <v>32</v>
      </c>
      <c r="J922" s="25">
        <f ca="1">IF('0信息维护'!$I$85=0,0,E922/('0信息维护'!$I$85)*'0信息维护'!$E$35*'0信息维护'!$S$25)+IF('0信息维护'!$I$86=0,0,F922/('0信息维护'!$I$86)*'0信息维护'!$E$35*'0信息维护'!$T$25)+IF('0信息维护'!$I$87=0,0,G922/('0信息维护'!$I$87)*'0信息维护'!$E$35*'0信息维护'!$U$25)+IF('0信息维护'!$I$88=0,0,H922/('0信息维护'!$I$88)*'0信息维护'!$E$35*'0信息维护'!$V$25)+IF('0信息维护'!$I$89=0,0,I922/'0信息维护'!$I$89*'0信息维护'!$I$35)</f>
        <v>0.894444444444444</v>
      </c>
      <c r="K922" s="26">
        <f ca="1">J922*'0信息维护'!$D$132+J923*'0信息维护'!$D$133+J924*'0信息维护'!$D$134+J925*'0信息维护'!$D$135+J926*'0信息维护'!$D$136+J927*'0信息维护'!$D$137+J928*'0信息维护'!$D$138</f>
        <v>0.865049019607843</v>
      </c>
    </row>
    <row r="923" spans="1:14">
      <c r="A923" s="20"/>
      <c r="B923" s="20"/>
      <c r="C923" s="20"/>
      <c r="D923" s="18" t="str">
        <f>'0信息维护'!A$26</f>
        <v>课程目标2</v>
      </c>
      <c r="E923" s="19">
        <f ca="1">OFFSET('1课程考核方式及成绩组成'!$F$10,(ROW(E923)-5)/7,MOD((ROW(E923)-5),7))</f>
        <v>54</v>
      </c>
      <c r="F923" s="19">
        <f ca="1">OFFSET('1课程考核方式及成绩组成'!$N$10,(ROW(F923)-5)/7,MOD((ROW(F923)-5),7))</f>
        <v>0</v>
      </c>
      <c r="G923" s="19">
        <f ca="1">OFFSET('1课程考核方式及成绩组成'!$V$10,(ROW(G923)-5)/7,MOD((ROW(G923)-5),7))</f>
        <v>0</v>
      </c>
      <c r="H923" s="19">
        <f ca="1">OFFSET('1课程考核方式及成绩组成'!$AD$10,(ROW(H923)-5)/7,MOD((ROW(H923)-5),7))</f>
        <v>0</v>
      </c>
      <c r="I923" s="19">
        <f ca="1">OFFSET('1课程考核方式及成绩组成'!$AL$10,(ROW(I923)-5)/7,MOD((ROW(I923)-5),7))</f>
        <v>27</v>
      </c>
      <c r="J923" s="25">
        <f ca="1">IF('0信息维护'!$I$91=0,0,E923/('0信息维护'!$I$91)*'0信息维护'!$S$26*'0信息维护'!$E$36)+IF('0信息维护'!$I$92=0,0,F923/('0信息维护'!$I$92)*'0信息维护'!$T$26*'0信息维护'!$E$36)+IF('0信息维护'!$I$93=0,0,G923/('0信息维护'!$I$93)*'0信息维护'!$U$26*'0信息维护'!$E$36)+IF('0信息维护'!$I$94=0,0,H923/('0信息维护'!$I$94)*'0信息维护'!$V$26*'0信息维护'!$E$36)+IF('0信息维护'!$I$95=0,0,I923/'0信息维护'!$I$95*'0信息维护'!$I$36)</f>
        <v>0.9</v>
      </c>
      <c r="K923" s="27"/>
      <c r="N923" s="29"/>
    </row>
    <row r="924" spans="1:11">
      <c r="A924" s="20"/>
      <c r="B924" s="20"/>
      <c r="C924" s="20"/>
      <c r="D924" s="18" t="str">
        <f>'0信息维护'!A$27</f>
        <v>课程目标3</v>
      </c>
      <c r="E924" s="19">
        <f ca="1">OFFSET('1课程考核方式及成绩组成'!$F$10,(ROW(E924)-5)/7,MOD((ROW(E924)-5),7))</f>
        <v>0</v>
      </c>
      <c r="F924" s="19">
        <f ca="1">OFFSET('1课程考核方式及成绩组成'!$N$10,(ROW(F924)-5)/7,MOD((ROW(F924)-5),7))</f>
        <v>0</v>
      </c>
      <c r="G924" s="19">
        <f ca="1">OFFSET('1课程考核方式及成绩组成'!$V$10,(ROW(G924)-5)/7,MOD((ROW(G924)-5),7))</f>
        <v>0</v>
      </c>
      <c r="H924" s="19">
        <f ca="1">OFFSET('1课程考核方式及成绩组成'!$AD$10,(ROW(H924)-5)/7,MOD((ROW(H924)-5),7))</f>
        <v>0</v>
      </c>
      <c r="I924" s="19">
        <f ca="1">OFFSET('1课程考核方式及成绩组成'!$AL$10,(ROW(I924)-5)/7,MOD((ROW(I924)-5),7))</f>
        <v>28</v>
      </c>
      <c r="J924" s="25">
        <f ca="1">IF('0信息维护'!$I$97=0,0,E924/('0信息维护'!$I$97)*'0信息维护'!$E$37*'0信息维护'!$S$27)+IF('0信息维护'!$I$98=0,0,F924/('0信息维护'!$I$98)*'0信息维护'!$E$37*'0信息维护'!$T$27)+IF('0信息维护'!$I$99=0,0,G924/('0信息维护'!$I$99)*'0信息维护'!$E$37*'0信息维护'!$U$27)+IF('0信息维护'!$I$100=0,0,H924/('0信息维护'!$I$100)*'0信息维护'!$E$37*'0信息维护'!$V$27)+IF('0信息维护'!$I$101=0,0,I924/'0信息维护'!$I$101*'0信息维护'!$I$37)</f>
        <v>0.823529411764706</v>
      </c>
      <c r="K924" s="27"/>
    </row>
    <row r="925" spans="1:11">
      <c r="A925" s="20"/>
      <c r="B925" s="20"/>
      <c r="C925" s="20"/>
      <c r="D925" s="18" t="str">
        <f>'0信息维护'!A$28</f>
        <v>课程目标4</v>
      </c>
      <c r="E925" s="19">
        <f ca="1">OFFSET('1课程考核方式及成绩组成'!$F$10,(ROW(E925)-5)/7,MOD((ROW(E925)-5),7))</f>
        <v>0</v>
      </c>
      <c r="F925" s="19">
        <f ca="1">OFFSET('1课程考核方式及成绩组成'!$N$10,(ROW(F925)-5)/7,MOD((ROW(F925)-5),7))</f>
        <v>85</v>
      </c>
      <c r="G925" s="19">
        <f ca="1">OFFSET('1课程考核方式及成绩组成'!$V$10,(ROW(G925)-5)/7,MOD((ROW(G925)-5),7))</f>
        <v>0</v>
      </c>
      <c r="H925" s="19">
        <f ca="1">OFFSET('1课程考核方式及成绩组成'!$AD$10,(ROW(H925)-5)/7,MOD((ROW(H925)-5),7))</f>
        <v>0</v>
      </c>
      <c r="I925" s="19">
        <f ca="1">OFFSET('1课程考核方式及成绩组成'!$AL$10,(ROW(I925)-5)/7,MOD((ROW(I925)-5),7))</f>
        <v>0</v>
      </c>
      <c r="J925" s="25">
        <f ca="1">IF('0信息维护'!$I$103=0,0,E925/('0信息维护'!$I$103)*'0信息维护'!$E$38*'0信息维护'!$S$28)+IF('0信息维护'!$I$104=0,0,F925/('0信息维护'!$I$104)*'0信息维护'!$E$38*'0信息维护'!$T$28)+IF('0信息维护'!$I$105=0,0,G925/('0信息维护'!$I$105)*'0信息维护'!$E$38*'0信息维护'!$U$28)+IF('0信息维护'!$I$106=0,0,H925/('0信息维护'!$I$106)*'0信息维护'!$E$38*'0信息维护'!$V$28)+IF('0信息维护'!$I$107=0,0,I925/'0信息维护'!$I$107*'0信息维护'!$I$38)</f>
        <v>0.85</v>
      </c>
      <c r="K925" s="27"/>
    </row>
    <row r="926" spans="1:11">
      <c r="A926" s="20"/>
      <c r="B926" s="20"/>
      <c r="C926" s="20"/>
      <c r="D926" s="18" t="str">
        <f>'0信息维护'!A$29</f>
        <v>课程目标5</v>
      </c>
      <c r="E926" s="19">
        <f ca="1">OFFSET('1课程考核方式及成绩组成'!$F$10,(ROW(E926)-5)/7,MOD((ROW(E926)-5),7))</f>
        <v>0</v>
      </c>
      <c r="F926" s="19">
        <f ca="1">OFFSET('1课程考核方式及成绩组成'!$N$10,(ROW(F926)-5)/7,MOD((ROW(F926)-5),7))</f>
        <v>0</v>
      </c>
      <c r="G926" s="19">
        <f ca="1">OFFSET('1课程考核方式及成绩组成'!$V$10,(ROW(G926)-5)/7,MOD((ROW(G926)-5),7))</f>
        <v>0</v>
      </c>
      <c r="H926" s="19">
        <f ca="1">OFFSET('1课程考核方式及成绩组成'!$AD$10,(ROW(H926)-5)/7,MOD((ROW(H926)-5),7))</f>
        <v>0</v>
      </c>
      <c r="I926" s="19">
        <f ca="1">OFFSET('1课程考核方式及成绩组成'!$AL$10,(ROW(I926)-5)/7,MOD((ROW(I926)-5),7))</f>
        <v>0</v>
      </c>
      <c r="J926" s="25">
        <f ca="1">IF('0信息维护'!$I$109=0,0,E926/('0信息维护'!$I$109)*'0信息维护'!$E$39*'0信息维护'!$S$29)+IF('0信息维护'!$I$110=0,0,F926/('0信息维护'!$I$110)*'0信息维护'!$E$39*'0信息维护'!$T$29)+IF('0信息维护'!$I$111=0,0,G926/('0信息维护'!$I$111)*'0信息维护'!$E$39*'0信息维护'!$U$29)+IF('0信息维护'!$I$112=0,0,H926/('0信息维护'!$I$112)*'0信息维护'!$E$39*'0信息维护'!$V$29)+IF('0信息维护'!$I$113=0,0,I926/'0信息维护'!$I$113*'0信息维护'!$I$39)</f>
        <v>0</v>
      </c>
      <c r="K926" s="27"/>
    </row>
    <row r="927" spans="1:11">
      <c r="A927" s="20"/>
      <c r="B927" s="20"/>
      <c r="C927" s="20"/>
      <c r="D927" s="18" t="str">
        <f>'0信息维护'!A$30</f>
        <v>课程目标6</v>
      </c>
      <c r="E927" s="19">
        <f ca="1">OFFSET('1课程考核方式及成绩组成'!$F$10,(ROW(E927)-5)/7,MOD((ROW(E927)-5),7))</f>
        <v>0</v>
      </c>
      <c r="F927" s="19">
        <f ca="1">OFFSET('1课程考核方式及成绩组成'!$N$10,(ROW(F927)-5)/7,MOD((ROW(F927)-5),7))</f>
        <v>0</v>
      </c>
      <c r="G927" s="19">
        <f ca="1">OFFSET('1课程考核方式及成绩组成'!$V$10,(ROW(G927)-5)/7,MOD((ROW(G927)-5),7))</f>
        <v>0</v>
      </c>
      <c r="H927" s="19">
        <f ca="1">OFFSET('1课程考核方式及成绩组成'!$AD$10,(ROW(H927)-5)/7,MOD((ROW(H927)-5),7))</f>
        <v>0</v>
      </c>
      <c r="I927" s="19">
        <f ca="1">OFFSET('1课程考核方式及成绩组成'!$AL$10,(ROW(I927)-5)/7,MOD((ROW(I927)-5),7))</f>
        <v>0</v>
      </c>
      <c r="J927" s="25">
        <f ca="1">IF('0信息维护'!$I$115=0,0,E927/('0信息维护'!$I$115)*'0信息维护'!$E$40*'0信息维护'!$S$30)+IF('0信息维护'!$I$116=0,0,F927/('0信息维护'!$I$116)*'0信息维护'!$E$40*'0信息维护'!$T$30)+IF('0信息维护'!$I$117=0,0,G927/('0信息维护'!$I$117)*'0信息维护'!$E$40*'0信息维护'!$U$30)+IF('0信息维护'!$I$118=0,0,H927/('0信息维护'!$I$118)*'0信息维护'!$E$40*'0信息维护'!$V$30)+IF('0信息维护'!$I$119=0,0,I927/'0信息维护'!$I$119*'0信息维护'!$I$40)</f>
        <v>0</v>
      </c>
      <c r="K927" s="27"/>
    </row>
    <row r="928" spans="1:11">
      <c r="A928" s="21"/>
      <c r="B928" s="21"/>
      <c r="C928" s="21"/>
      <c r="D928" s="18" t="str">
        <f>'0信息维护'!A$31</f>
        <v>课程目标7</v>
      </c>
      <c r="E928" s="19">
        <f ca="1">OFFSET('1课程考核方式及成绩组成'!$F$10,(ROW(E928)-5)/7,MOD((ROW(E928)-5),7))</f>
        <v>0</v>
      </c>
      <c r="F928" s="19">
        <f ca="1">OFFSET('1课程考核方式及成绩组成'!$N$10,(ROW(F928)-5)/7,MOD((ROW(F928)-5),7))</f>
        <v>0</v>
      </c>
      <c r="G928" s="19">
        <f ca="1">OFFSET('1课程考核方式及成绩组成'!$V$10,(ROW(G928)-5)/7,MOD((ROW(G928)-5),7))</f>
        <v>0</v>
      </c>
      <c r="H928" s="19">
        <f ca="1">OFFSET('1课程考核方式及成绩组成'!$AD$10,(ROW(H928)-5)/7,MOD((ROW(H928)-5),7))</f>
        <v>0</v>
      </c>
      <c r="I928" s="19">
        <f ca="1">OFFSET('1课程考核方式及成绩组成'!$AL$10,(ROW(I928)-5)/7,MOD((ROW(I928)-5),7))</f>
        <v>0</v>
      </c>
      <c r="J928" s="25">
        <f ca="1">IF('0信息维护'!$I$121=0,0,E928/('0信息维护'!$I$121)*'0信息维护'!$E$41*'0信息维护'!$S$31)+IF('0信息维护'!$I$122=0,0,F928/('0信息维护'!$I$122)*'0信息维护'!$E$41*'0信息维护'!$T$31)+IF('0信息维护'!$I$123=0,0,G928/('0信息维护'!$I$123)*'0信息维护'!$E$41*'0信息维护'!$U$31)+IF('0信息维护'!$I$124=0,0,H928/('0信息维护'!$I$124)*'0信息维护'!$E$41*'0信息维护'!$T$31)+IF('0信息维护'!$I$125=0,0,I928/'0信息维护'!$I$125*'0信息维护'!$I$41)</f>
        <v>0</v>
      </c>
      <c r="K928" s="30"/>
    </row>
    <row r="929" spans="1:11">
      <c r="A929" s="17">
        <v>133</v>
      </c>
      <c r="B929" s="17" t="str">
        <f ca="1">OFFSET('1课程考核方式及成绩组成'!$D$10,(ROW(B929)-5)/7,)</f>
        <v>220306159</v>
      </c>
      <c r="C929" s="17" t="str">
        <f ca="1">OFFSET('1课程考核方式及成绩组成'!$E$10,(ROW(C929)-5)/7,)</f>
        <v>马春昭</v>
      </c>
      <c r="D929" s="18" t="str">
        <f>'0信息维护'!A$25</f>
        <v>课程目标1</v>
      </c>
      <c r="E929" s="19">
        <f ca="1">OFFSET('1课程考核方式及成绩组成'!$F$10,(ROW(E929)-5)/7,MOD((ROW(E929)-5),7))</f>
        <v>32</v>
      </c>
      <c r="F929" s="19">
        <f ca="1">OFFSET('1课程考核方式及成绩组成'!$N$10,(ROW(F929)-5)/7,MOD((ROW(F929)-5),7))</f>
        <v>0</v>
      </c>
      <c r="G929" s="19">
        <f ca="1">OFFSET('1课程考核方式及成绩组成'!$V$10,(ROW(G929)-5)/7,MOD((ROW(G929)-5),7))</f>
        <v>0</v>
      </c>
      <c r="H929" s="19">
        <f ca="1">OFFSET('1课程考核方式及成绩组成'!$AD$10,(ROW(H929)-5)/7,MOD((ROW(H929)-5),7))</f>
        <v>0</v>
      </c>
      <c r="I929" s="19">
        <f ca="1">OFFSET('1课程考核方式及成绩组成'!$AL$10,(ROW(I929)-5)/7,MOD((ROW(I929)-5),7))</f>
        <v>21</v>
      </c>
      <c r="J929" s="25">
        <f ca="1">IF('0信息维护'!$I$85=0,0,E929/('0信息维护'!$I$85)*'0信息维护'!$E$35*'0信息维护'!$S$25)+IF('0信息维护'!$I$86=0,0,F929/('0信息维护'!$I$86)*'0信息维护'!$E$35*'0信息维护'!$T$25)+IF('0信息维护'!$I$87=0,0,G929/('0信息维护'!$I$87)*'0信息维护'!$E$35*'0信息维护'!$U$25)+IF('0信息维护'!$I$88=0,0,H929/('0信息维护'!$I$88)*'0信息维护'!$E$35*'0信息维护'!$V$25)+IF('0信息维护'!$I$89=0,0,I929/'0信息维护'!$I$89*'0信息维护'!$I$35)</f>
        <v>0.691666666666667</v>
      </c>
      <c r="K929" s="26">
        <f ca="1">J929*'0信息维护'!$D$132+J930*'0信息维护'!$D$133+J931*'0信息维护'!$D$134+J932*'0信息维护'!$D$135+J933*'0信息维护'!$D$136+J934*'0信息维护'!$D$137+J935*'0信息维护'!$D$138</f>
        <v>0.684455882352941</v>
      </c>
    </row>
    <row r="930" spans="1:14">
      <c r="A930" s="20"/>
      <c r="B930" s="20"/>
      <c r="C930" s="20"/>
      <c r="D930" s="18" t="str">
        <f>'0信息维护'!A$26</f>
        <v>课程目标2</v>
      </c>
      <c r="E930" s="19">
        <f ca="1">OFFSET('1课程考核方式及成绩组成'!$F$10,(ROW(E930)-5)/7,MOD((ROW(E930)-5),7))</f>
        <v>48</v>
      </c>
      <c r="F930" s="19">
        <f ca="1">OFFSET('1课程考核方式及成绩组成'!$N$10,(ROW(F930)-5)/7,MOD((ROW(F930)-5),7))</f>
        <v>0</v>
      </c>
      <c r="G930" s="19">
        <f ca="1">OFFSET('1课程考核方式及成绩组成'!$V$10,(ROW(G930)-5)/7,MOD((ROW(G930)-5),7))</f>
        <v>0</v>
      </c>
      <c r="H930" s="19">
        <f ca="1">OFFSET('1课程考核方式及成绩组成'!$AD$10,(ROW(H930)-5)/7,MOD((ROW(H930)-5),7))</f>
        <v>0</v>
      </c>
      <c r="I930" s="19">
        <f ca="1">OFFSET('1课程考核方式及成绩组成'!$AL$10,(ROW(I930)-5)/7,MOD((ROW(I930)-5),7))</f>
        <v>15</v>
      </c>
      <c r="J930" s="25">
        <f ca="1">IF('0信息维护'!$I$91=0,0,E930/('0信息维护'!$I$91)*'0信息维护'!$S$26*'0信息维护'!$E$36)+IF('0信息维护'!$I$92=0,0,F930/('0信息维护'!$I$92)*'0信息维护'!$T$26*'0信息维护'!$E$36)+IF('0信息维护'!$I$93=0,0,G930/('0信息维护'!$I$93)*'0信息维护'!$U$26*'0信息维护'!$E$36)+IF('0信息维护'!$I$94=0,0,H930/('0信息维护'!$I$94)*'0信息维护'!$V$26*'0信息维护'!$E$36)+IF('0信息维护'!$I$95=0,0,I930/'0信息维护'!$I$95*'0信息维护'!$I$36)</f>
        <v>0.65</v>
      </c>
      <c r="K930" s="27"/>
      <c r="N930" s="29"/>
    </row>
    <row r="931" spans="1:11">
      <c r="A931" s="20"/>
      <c r="B931" s="20"/>
      <c r="C931" s="20"/>
      <c r="D931" s="18" t="str">
        <f>'0信息维护'!A$27</f>
        <v>课程目标3</v>
      </c>
      <c r="E931" s="19">
        <f ca="1">OFFSET('1课程考核方式及成绩组成'!$F$10,(ROW(E931)-5)/7,MOD((ROW(E931)-5),7))</f>
        <v>0</v>
      </c>
      <c r="F931" s="19">
        <f ca="1">OFFSET('1课程考核方式及成绩组成'!$N$10,(ROW(F931)-5)/7,MOD((ROW(F931)-5),7))</f>
        <v>0</v>
      </c>
      <c r="G931" s="19">
        <f ca="1">OFFSET('1课程考核方式及成绩组成'!$V$10,(ROW(G931)-5)/7,MOD((ROW(G931)-5),7))</f>
        <v>0</v>
      </c>
      <c r="H931" s="19">
        <f ca="1">OFFSET('1课程考核方式及成绩组成'!$AD$10,(ROW(H931)-5)/7,MOD((ROW(H931)-5),7))</f>
        <v>0</v>
      </c>
      <c r="I931" s="19">
        <f ca="1">OFFSET('1课程考核方式及成绩组成'!$AL$10,(ROW(I931)-5)/7,MOD((ROW(I931)-5),7))</f>
        <v>19</v>
      </c>
      <c r="J931" s="25">
        <f ca="1">IF('0信息维护'!$I$97=0,0,E931/('0信息维护'!$I$97)*'0信息维护'!$E$37*'0信息维护'!$S$27)+IF('0信息维护'!$I$98=0,0,F931/('0信息维护'!$I$98)*'0信息维护'!$E$37*'0信息维护'!$T$27)+IF('0信息维护'!$I$99=0,0,G931/('0信息维护'!$I$99)*'0信息维护'!$E$37*'0信息维护'!$U$27)+IF('0信息维护'!$I$100=0,0,H931/('0信息维护'!$I$100)*'0信息维护'!$E$37*'0信息维护'!$V$27)+IF('0信息维护'!$I$101=0,0,I931/'0信息维护'!$I$101*'0信息维护'!$I$37)</f>
        <v>0.558823529411765</v>
      </c>
      <c r="K931" s="27"/>
    </row>
    <row r="932" spans="1:11">
      <c r="A932" s="20"/>
      <c r="B932" s="20"/>
      <c r="C932" s="20"/>
      <c r="D932" s="18" t="str">
        <f>'0信息维护'!A$28</f>
        <v>课程目标4</v>
      </c>
      <c r="E932" s="19">
        <f ca="1">OFFSET('1课程考核方式及成绩组成'!$F$10,(ROW(E932)-5)/7,MOD((ROW(E932)-5),7))</f>
        <v>0</v>
      </c>
      <c r="F932" s="19">
        <f ca="1">OFFSET('1课程考核方式及成绩组成'!$N$10,(ROW(F932)-5)/7,MOD((ROW(F932)-5),7))</f>
        <v>82</v>
      </c>
      <c r="G932" s="19">
        <f ca="1">OFFSET('1课程考核方式及成绩组成'!$V$10,(ROW(G932)-5)/7,MOD((ROW(G932)-5),7))</f>
        <v>0</v>
      </c>
      <c r="H932" s="19">
        <f ca="1">OFFSET('1课程考核方式及成绩组成'!$AD$10,(ROW(H932)-5)/7,MOD((ROW(H932)-5),7))</f>
        <v>0</v>
      </c>
      <c r="I932" s="19">
        <f ca="1">OFFSET('1课程考核方式及成绩组成'!$AL$10,(ROW(I932)-5)/7,MOD((ROW(I932)-5),7))</f>
        <v>0</v>
      </c>
      <c r="J932" s="25">
        <f ca="1">IF('0信息维护'!$I$103=0,0,E932/('0信息维护'!$I$103)*'0信息维护'!$E$38*'0信息维护'!$S$28)+IF('0信息维护'!$I$104=0,0,F932/('0信息维护'!$I$104)*'0信息维护'!$E$38*'0信息维护'!$T$28)+IF('0信息维护'!$I$105=0,0,G932/('0信息维护'!$I$105)*'0信息维护'!$E$38*'0信息维护'!$U$28)+IF('0信息维护'!$I$106=0,0,H932/('0信息维护'!$I$106)*'0信息维护'!$E$38*'0信息维护'!$V$28)+IF('0信息维护'!$I$107=0,0,I932/'0信息维护'!$I$107*'0信息维护'!$I$38)</f>
        <v>0.82</v>
      </c>
      <c r="K932" s="27"/>
    </row>
    <row r="933" spans="1:11">
      <c r="A933" s="20"/>
      <c r="B933" s="20"/>
      <c r="C933" s="20"/>
      <c r="D933" s="18" t="str">
        <f>'0信息维护'!A$29</f>
        <v>课程目标5</v>
      </c>
      <c r="E933" s="19">
        <f ca="1">OFFSET('1课程考核方式及成绩组成'!$F$10,(ROW(E933)-5)/7,MOD((ROW(E933)-5),7))</f>
        <v>0</v>
      </c>
      <c r="F933" s="19">
        <f ca="1">OFFSET('1课程考核方式及成绩组成'!$N$10,(ROW(F933)-5)/7,MOD((ROW(F933)-5),7))</f>
        <v>0</v>
      </c>
      <c r="G933" s="19">
        <f ca="1">OFFSET('1课程考核方式及成绩组成'!$V$10,(ROW(G933)-5)/7,MOD((ROW(G933)-5),7))</f>
        <v>0</v>
      </c>
      <c r="H933" s="19">
        <f ca="1">OFFSET('1课程考核方式及成绩组成'!$AD$10,(ROW(H933)-5)/7,MOD((ROW(H933)-5),7))</f>
        <v>0</v>
      </c>
      <c r="I933" s="19">
        <f ca="1">OFFSET('1课程考核方式及成绩组成'!$AL$10,(ROW(I933)-5)/7,MOD((ROW(I933)-5),7))</f>
        <v>0</v>
      </c>
      <c r="J933" s="25">
        <f ca="1">IF('0信息维护'!$I$109=0,0,E933/('0信息维护'!$I$109)*'0信息维护'!$E$39*'0信息维护'!$S$29)+IF('0信息维护'!$I$110=0,0,F933/('0信息维护'!$I$110)*'0信息维护'!$E$39*'0信息维护'!$T$29)+IF('0信息维护'!$I$111=0,0,G933/('0信息维护'!$I$111)*'0信息维护'!$E$39*'0信息维护'!$U$29)+IF('0信息维护'!$I$112=0,0,H933/('0信息维护'!$I$112)*'0信息维护'!$E$39*'0信息维护'!$V$29)+IF('0信息维护'!$I$113=0,0,I933/'0信息维护'!$I$113*'0信息维护'!$I$39)</f>
        <v>0</v>
      </c>
      <c r="K933" s="27"/>
    </row>
    <row r="934" spans="1:11">
      <c r="A934" s="20"/>
      <c r="B934" s="20"/>
      <c r="C934" s="20"/>
      <c r="D934" s="18" t="str">
        <f>'0信息维护'!A$30</f>
        <v>课程目标6</v>
      </c>
      <c r="E934" s="19">
        <f ca="1">OFFSET('1课程考核方式及成绩组成'!$F$10,(ROW(E934)-5)/7,MOD((ROW(E934)-5),7))</f>
        <v>0</v>
      </c>
      <c r="F934" s="19">
        <f ca="1">OFFSET('1课程考核方式及成绩组成'!$N$10,(ROW(F934)-5)/7,MOD((ROW(F934)-5),7))</f>
        <v>0</v>
      </c>
      <c r="G934" s="19">
        <f ca="1">OFFSET('1课程考核方式及成绩组成'!$V$10,(ROW(G934)-5)/7,MOD((ROW(G934)-5),7))</f>
        <v>0</v>
      </c>
      <c r="H934" s="19">
        <f ca="1">OFFSET('1课程考核方式及成绩组成'!$AD$10,(ROW(H934)-5)/7,MOD((ROW(H934)-5),7))</f>
        <v>0</v>
      </c>
      <c r="I934" s="19">
        <f ca="1">OFFSET('1课程考核方式及成绩组成'!$AL$10,(ROW(I934)-5)/7,MOD((ROW(I934)-5),7))</f>
        <v>0</v>
      </c>
      <c r="J934" s="25">
        <f ca="1">IF('0信息维护'!$I$115=0,0,E934/('0信息维护'!$I$115)*'0信息维护'!$E$40*'0信息维护'!$S$30)+IF('0信息维护'!$I$116=0,0,F934/('0信息维护'!$I$116)*'0信息维护'!$E$40*'0信息维护'!$T$30)+IF('0信息维护'!$I$117=0,0,G934/('0信息维护'!$I$117)*'0信息维护'!$E$40*'0信息维护'!$U$30)+IF('0信息维护'!$I$118=0,0,H934/('0信息维护'!$I$118)*'0信息维护'!$E$40*'0信息维护'!$V$30)+IF('0信息维护'!$I$119=0,0,I934/'0信息维护'!$I$119*'0信息维护'!$I$40)</f>
        <v>0</v>
      </c>
      <c r="K934" s="27"/>
    </row>
    <row r="935" spans="1:11">
      <c r="A935" s="21"/>
      <c r="B935" s="21"/>
      <c r="C935" s="21"/>
      <c r="D935" s="18" t="str">
        <f>'0信息维护'!A$31</f>
        <v>课程目标7</v>
      </c>
      <c r="E935" s="19">
        <f ca="1">OFFSET('1课程考核方式及成绩组成'!$F$10,(ROW(E935)-5)/7,MOD((ROW(E935)-5),7))</f>
        <v>0</v>
      </c>
      <c r="F935" s="19">
        <f ca="1">OFFSET('1课程考核方式及成绩组成'!$N$10,(ROW(F935)-5)/7,MOD((ROW(F935)-5),7))</f>
        <v>0</v>
      </c>
      <c r="G935" s="19">
        <f ca="1">OFFSET('1课程考核方式及成绩组成'!$V$10,(ROW(G935)-5)/7,MOD((ROW(G935)-5),7))</f>
        <v>0</v>
      </c>
      <c r="H935" s="19">
        <f ca="1">OFFSET('1课程考核方式及成绩组成'!$AD$10,(ROW(H935)-5)/7,MOD((ROW(H935)-5),7))</f>
        <v>0</v>
      </c>
      <c r="I935" s="19">
        <f ca="1">OFFSET('1课程考核方式及成绩组成'!$AL$10,(ROW(I935)-5)/7,MOD((ROW(I935)-5),7))</f>
        <v>0</v>
      </c>
      <c r="J935" s="25">
        <f ca="1">IF('0信息维护'!$I$121=0,0,E935/('0信息维护'!$I$121)*'0信息维护'!$E$41*'0信息维护'!$S$31)+IF('0信息维护'!$I$122=0,0,F935/('0信息维护'!$I$122)*'0信息维护'!$E$41*'0信息维护'!$T$31)+IF('0信息维护'!$I$123=0,0,G935/('0信息维护'!$I$123)*'0信息维护'!$E$41*'0信息维护'!$U$31)+IF('0信息维护'!$I$124=0,0,H935/('0信息维护'!$I$124)*'0信息维护'!$E$41*'0信息维护'!$T$31)+IF('0信息维护'!$I$125=0,0,I935/'0信息维护'!$I$125*'0信息维护'!$I$41)</f>
        <v>0</v>
      </c>
      <c r="K935" s="30"/>
    </row>
    <row r="936" spans="1:11">
      <c r="A936" s="17">
        <v>134</v>
      </c>
      <c r="B936" s="17" t="str">
        <f ca="1">OFFSET('1课程考核方式及成绩组成'!$D$10,(ROW(B936)-5)/7,)</f>
        <v>220507128</v>
      </c>
      <c r="C936" s="17" t="str">
        <f ca="1">OFFSET('1课程考核方式及成绩组成'!$E$10,(ROW(C936)-5)/7,)</f>
        <v>王莽</v>
      </c>
      <c r="D936" s="18" t="str">
        <f>'0信息维护'!A$25</f>
        <v>课程目标1</v>
      </c>
      <c r="E936" s="19">
        <f ca="1">OFFSET('1课程考核方式及成绩组成'!$F$10,(ROW(E936)-5)/7,MOD((ROW(E936)-5),7))</f>
        <v>28</v>
      </c>
      <c r="F936" s="19">
        <f ca="1">OFFSET('1课程考核方式及成绩组成'!$N$10,(ROW(F936)-5)/7,MOD((ROW(F936)-5),7))</f>
        <v>0</v>
      </c>
      <c r="G936" s="19">
        <f ca="1">OFFSET('1课程考核方式及成绩组成'!$V$10,(ROW(G936)-5)/7,MOD((ROW(G936)-5),7))</f>
        <v>0</v>
      </c>
      <c r="H936" s="19">
        <f ca="1">OFFSET('1课程考核方式及成绩组成'!$AD$10,(ROW(H936)-5)/7,MOD((ROW(H936)-5),7))</f>
        <v>0</v>
      </c>
      <c r="I936" s="19">
        <f ca="1">OFFSET('1课程考核方式及成绩组成'!$AL$10,(ROW(I936)-5)/7,MOD((ROW(I936)-5),7))</f>
        <v>6</v>
      </c>
      <c r="J936" s="25">
        <f ca="1">IF('0信息维护'!$I$85=0,0,E936/('0信息维护'!$I$85)*'0信息维护'!$E$35*'0信息维护'!$S$25)+IF('0信息维护'!$I$86=0,0,F936/('0信息维护'!$I$86)*'0信息维护'!$E$35*'0信息维护'!$T$25)+IF('0信息维护'!$I$87=0,0,G936/('0信息维护'!$I$87)*'0信息维护'!$E$35*'0信息维护'!$U$25)+IF('0信息维护'!$I$88=0,0,H936/('0信息维护'!$I$88)*'0信息维护'!$E$35*'0信息维护'!$V$25)+IF('0信息维护'!$I$89=0,0,I936/'0信息维护'!$I$89*'0信息维护'!$I$35)</f>
        <v>0.433333333333333</v>
      </c>
      <c r="K936" s="26">
        <f ca="1">J936*'0信息维护'!$D$132+J937*'0信息维护'!$D$133+J938*'0信息维护'!$D$134+J939*'0信息维护'!$D$135+J940*'0信息维护'!$D$136+J941*'0信息维护'!$D$137+J942*'0信息维护'!$D$138</f>
        <v>0.488823529411765</v>
      </c>
    </row>
    <row r="937" spans="1:14">
      <c r="A937" s="20"/>
      <c r="B937" s="20"/>
      <c r="C937" s="20"/>
      <c r="D937" s="18" t="str">
        <f>'0信息维护'!A$26</f>
        <v>课程目标2</v>
      </c>
      <c r="E937" s="19">
        <f ca="1">OFFSET('1课程考核方式及成绩组成'!$F$10,(ROW(E937)-5)/7,MOD((ROW(E937)-5),7))</f>
        <v>42</v>
      </c>
      <c r="F937" s="19">
        <f ca="1">OFFSET('1课程考核方式及成绩组成'!$N$10,(ROW(F937)-5)/7,MOD((ROW(F937)-5),7))</f>
        <v>0</v>
      </c>
      <c r="G937" s="19">
        <f ca="1">OFFSET('1课程考核方式及成绩组成'!$V$10,(ROW(G937)-5)/7,MOD((ROW(G937)-5),7))</f>
        <v>0</v>
      </c>
      <c r="H937" s="19">
        <f ca="1">OFFSET('1课程考核方式及成绩组成'!$AD$10,(ROW(H937)-5)/7,MOD((ROW(H937)-5),7))</f>
        <v>0</v>
      </c>
      <c r="I937" s="19">
        <f ca="1">OFFSET('1课程考核方式及成绩组成'!$AL$10,(ROW(I937)-5)/7,MOD((ROW(I937)-5),7))</f>
        <v>7</v>
      </c>
      <c r="J937" s="25">
        <f ca="1">IF('0信息维护'!$I$91=0,0,E937/('0信息维护'!$I$91)*'0信息维护'!$S$26*'0信息维护'!$E$36)+IF('0信息维护'!$I$92=0,0,F937/('0信息维护'!$I$92)*'0信息维护'!$T$26*'0信息维护'!$E$36)+IF('0信息维护'!$I$93=0,0,G937/('0信息维护'!$I$93)*'0信息维护'!$U$26*'0信息维护'!$E$36)+IF('0信息维护'!$I$94=0,0,H937/('0信息维护'!$I$94)*'0信息维护'!$V$26*'0信息维护'!$E$36)+IF('0信息维护'!$I$95=0,0,I937/'0信息维护'!$I$95*'0信息维护'!$I$36)</f>
        <v>0.466666666666667</v>
      </c>
      <c r="K937" s="27"/>
      <c r="N937" s="29"/>
    </row>
    <row r="938" spans="1:11">
      <c r="A938" s="20"/>
      <c r="B938" s="20"/>
      <c r="C938" s="20"/>
      <c r="D938" s="18" t="str">
        <f>'0信息维护'!A$27</f>
        <v>课程目标3</v>
      </c>
      <c r="E938" s="19">
        <f ca="1">OFFSET('1课程考核方式及成绩组成'!$F$10,(ROW(E938)-5)/7,MOD((ROW(E938)-5),7))</f>
        <v>0</v>
      </c>
      <c r="F938" s="19">
        <f ca="1">OFFSET('1课程考核方式及成绩组成'!$N$10,(ROW(F938)-5)/7,MOD((ROW(F938)-5),7))</f>
        <v>0</v>
      </c>
      <c r="G938" s="19">
        <f ca="1">OFFSET('1课程考核方式及成绩组成'!$V$10,(ROW(G938)-5)/7,MOD((ROW(G938)-5),7))</f>
        <v>0</v>
      </c>
      <c r="H938" s="19">
        <f ca="1">OFFSET('1课程考核方式及成绩组成'!$AD$10,(ROW(H938)-5)/7,MOD((ROW(H938)-5),7))</f>
        <v>0</v>
      </c>
      <c r="I938" s="19">
        <f ca="1">OFFSET('1课程考核方式及成绩组成'!$AL$10,(ROW(I938)-5)/7,MOD((ROW(I938)-5),7))</f>
        <v>8</v>
      </c>
      <c r="J938" s="25">
        <f ca="1">IF('0信息维护'!$I$97=0,0,E938/('0信息维护'!$I$97)*'0信息维护'!$E$37*'0信息维护'!$S$27)+IF('0信息维护'!$I$98=0,0,F938/('0信息维护'!$I$98)*'0信息维护'!$E$37*'0信息维护'!$T$27)+IF('0信息维护'!$I$99=0,0,G938/('0信息维护'!$I$99)*'0信息维护'!$E$37*'0信息维护'!$U$27)+IF('0信息维护'!$I$100=0,0,H938/('0信息维护'!$I$100)*'0信息维护'!$E$37*'0信息维护'!$V$27)+IF('0信息维护'!$I$101=0,0,I938/'0信息维护'!$I$101*'0信息维护'!$I$37)</f>
        <v>0.235294117647059</v>
      </c>
      <c r="K938" s="27"/>
    </row>
    <row r="939" spans="1:11">
      <c r="A939" s="20"/>
      <c r="B939" s="20"/>
      <c r="C939" s="20"/>
      <c r="D939" s="18" t="str">
        <f>'0信息维护'!A$28</f>
        <v>课程目标4</v>
      </c>
      <c r="E939" s="19">
        <f ca="1">OFFSET('1课程考核方式及成绩组成'!$F$10,(ROW(E939)-5)/7,MOD((ROW(E939)-5),7))</f>
        <v>0</v>
      </c>
      <c r="F939" s="19">
        <f ca="1">OFFSET('1课程考核方式及成绩组成'!$N$10,(ROW(F939)-5)/7,MOD((ROW(F939)-5),7))</f>
        <v>75</v>
      </c>
      <c r="G939" s="19">
        <f ca="1">OFFSET('1课程考核方式及成绩组成'!$V$10,(ROW(G939)-5)/7,MOD((ROW(G939)-5),7))</f>
        <v>0</v>
      </c>
      <c r="H939" s="19">
        <f ca="1">OFFSET('1课程考核方式及成绩组成'!$AD$10,(ROW(H939)-5)/7,MOD((ROW(H939)-5),7))</f>
        <v>0</v>
      </c>
      <c r="I939" s="19">
        <f ca="1">OFFSET('1课程考核方式及成绩组成'!$AL$10,(ROW(I939)-5)/7,MOD((ROW(I939)-5),7))</f>
        <v>0</v>
      </c>
      <c r="J939" s="25">
        <f ca="1">IF('0信息维护'!$I$103=0,0,E939/('0信息维护'!$I$103)*'0信息维护'!$E$38*'0信息维护'!$S$28)+IF('0信息维护'!$I$104=0,0,F939/('0信息维护'!$I$104)*'0信息维护'!$E$38*'0信息维护'!$T$28)+IF('0信息维护'!$I$105=0,0,G939/('0信息维护'!$I$105)*'0信息维护'!$E$38*'0信息维护'!$U$28)+IF('0信息维护'!$I$106=0,0,H939/('0信息维护'!$I$106)*'0信息维护'!$E$38*'0信息维护'!$V$28)+IF('0信息维护'!$I$107=0,0,I939/'0信息维护'!$I$107*'0信息维护'!$I$38)</f>
        <v>0.75</v>
      </c>
      <c r="K939" s="27"/>
    </row>
    <row r="940" spans="1:11">
      <c r="A940" s="20"/>
      <c r="B940" s="20"/>
      <c r="C940" s="20"/>
      <c r="D940" s="18" t="str">
        <f>'0信息维护'!A$29</f>
        <v>课程目标5</v>
      </c>
      <c r="E940" s="19">
        <f ca="1">OFFSET('1课程考核方式及成绩组成'!$F$10,(ROW(E940)-5)/7,MOD((ROW(E940)-5),7))</f>
        <v>0</v>
      </c>
      <c r="F940" s="19">
        <f ca="1">OFFSET('1课程考核方式及成绩组成'!$N$10,(ROW(F940)-5)/7,MOD((ROW(F940)-5),7))</f>
        <v>0</v>
      </c>
      <c r="G940" s="19">
        <f ca="1">OFFSET('1课程考核方式及成绩组成'!$V$10,(ROW(G940)-5)/7,MOD((ROW(G940)-5),7))</f>
        <v>0</v>
      </c>
      <c r="H940" s="19">
        <f ca="1">OFFSET('1课程考核方式及成绩组成'!$AD$10,(ROW(H940)-5)/7,MOD((ROW(H940)-5),7))</f>
        <v>0</v>
      </c>
      <c r="I940" s="19">
        <f ca="1">OFFSET('1课程考核方式及成绩组成'!$AL$10,(ROW(I940)-5)/7,MOD((ROW(I940)-5),7))</f>
        <v>0</v>
      </c>
      <c r="J940" s="25">
        <f ca="1">IF('0信息维护'!$I$109=0,0,E940/('0信息维护'!$I$109)*'0信息维护'!$E$39*'0信息维护'!$S$29)+IF('0信息维护'!$I$110=0,0,F940/('0信息维护'!$I$110)*'0信息维护'!$E$39*'0信息维护'!$T$29)+IF('0信息维护'!$I$111=0,0,G940/('0信息维护'!$I$111)*'0信息维护'!$E$39*'0信息维护'!$U$29)+IF('0信息维护'!$I$112=0,0,H940/('0信息维护'!$I$112)*'0信息维护'!$E$39*'0信息维护'!$V$29)+IF('0信息维护'!$I$113=0,0,I940/'0信息维护'!$I$113*'0信息维护'!$I$39)</f>
        <v>0</v>
      </c>
      <c r="K940" s="27"/>
    </row>
    <row r="941" spans="1:11">
      <c r="A941" s="20"/>
      <c r="B941" s="20"/>
      <c r="C941" s="20"/>
      <c r="D941" s="18" t="str">
        <f>'0信息维护'!A$30</f>
        <v>课程目标6</v>
      </c>
      <c r="E941" s="19">
        <f ca="1">OFFSET('1课程考核方式及成绩组成'!$F$10,(ROW(E941)-5)/7,MOD((ROW(E941)-5),7))</f>
        <v>0</v>
      </c>
      <c r="F941" s="19">
        <f ca="1">OFFSET('1课程考核方式及成绩组成'!$N$10,(ROW(F941)-5)/7,MOD((ROW(F941)-5),7))</f>
        <v>0</v>
      </c>
      <c r="G941" s="19">
        <f ca="1">OFFSET('1课程考核方式及成绩组成'!$V$10,(ROW(G941)-5)/7,MOD((ROW(G941)-5),7))</f>
        <v>0</v>
      </c>
      <c r="H941" s="19">
        <f ca="1">OFFSET('1课程考核方式及成绩组成'!$AD$10,(ROW(H941)-5)/7,MOD((ROW(H941)-5),7))</f>
        <v>0</v>
      </c>
      <c r="I941" s="19">
        <f ca="1">OFFSET('1课程考核方式及成绩组成'!$AL$10,(ROW(I941)-5)/7,MOD((ROW(I941)-5),7))</f>
        <v>0</v>
      </c>
      <c r="J941" s="25">
        <f ca="1">IF('0信息维护'!$I$115=0,0,E941/('0信息维护'!$I$115)*'0信息维护'!$E$40*'0信息维护'!$S$30)+IF('0信息维护'!$I$116=0,0,F941/('0信息维护'!$I$116)*'0信息维护'!$E$40*'0信息维护'!$T$30)+IF('0信息维护'!$I$117=0,0,G941/('0信息维护'!$I$117)*'0信息维护'!$E$40*'0信息维护'!$U$30)+IF('0信息维护'!$I$118=0,0,H941/('0信息维护'!$I$118)*'0信息维护'!$E$40*'0信息维护'!$V$30)+IF('0信息维护'!$I$119=0,0,I941/'0信息维护'!$I$119*'0信息维护'!$I$40)</f>
        <v>0</v>
      </c>
      <c r="K941" s="27"/>
    </row>
    <row r="942" spans="1:11">
      <c r="A942" s="21"/>
      <c r="B942" s="21"/>
      <c r="C942" s="21"/>
      <c r="D942" s="18" t="str">
        <f>'0信息维护'!A$31</f>
        <v>课程目标7</v>
      </c>
      <c r="E942" s="19">
        <f ca="1">OFFSET('1课程考核方式及成绩组成'!$F$10,(ROW(E942)-5)/7,MOD((ROW(E942)-5),7))</f>
        <v>0</v>
      </c>
      <c r="F942" s="19">
        <f ca="1">OFFSET('1课程考核方式及成绩组成'!$N$10,(ROW(F942)-5)/7,MOD((ROW(F942)-5),7))</f>
        <v>0</v>
      </c>
      <c r="G942" s="19">
        <f ca="1">OFFSET('1课程考核方式及成绩组成'!$V$10,(ROW(G942)-5)/7,MOD((ROW(G942)-5),7))</f>
        <v>0</v>
      </c>
      <c r="H942" s="19">
        <f ca="1">OFFSET('1课程考核方式及成绩组成'!$AD$10,(ROW(H942)-5)/7,MOD((ROW(H942)-5),7))</f>
        <v>0</v>
      </c>
      <c r="I942" s="19">
        <f ca="1">OFFSET('1课程考核方式及成绩组成'!$AL$10,(ROW(I942)-5)/7,MOD((ROW(I942)-5),7))</f>
        <v>0</v>
      </c>
      <c r="J942" s="25">
        <f ca="1">IF('0信息维护'!$I$121=0,0,E942/('0信息维护'!$I$121)*'0信息维护'!$E$41*'0信息维护'!$S$31)+IF('0信息维护'!$I$122=0,0,F942/('0信息维护'!$I$122)*'0信息维护'!$E$41*'0信息维护'!$T$31)+IF('0信息维护'!$I$123=0,0,G942/('0信息维护'!$I$123)*'0信息维护'!$E$41*'0信息维护'!$U$31)+IF('0信息维护'!$I$124=0,0,H942/('0信息维护'!$I$124)*'0信息维护'!$E$41*'0信息维护'!$T$31)+IF('0信息维护'!$I$125=0,0,I942/'0信息维护'!$I$125*'0信息维护'!$I$41)</f>
        <v>0</v>
      </c>
      <c r="K942" s="30"/>
    </row>
    <row r="943" spans="1:11">
      <c r="A943" s="17">
        <v>135</v>
      </c>
      <c r="B943" s="17" t="str">
        <f ca="1">OFFSET('1课程考核方式及成绩组成'!$D$10,(ROW(B943)-5)/7,)</f>
        <v>220515126</v>
      </c>
      <c r="C943" s="17" t="str">
        <f ca="1">OFFSET('1课程考核方式及成绩组成'!$E$10,(ROW(C943)-5)/7,)</f>
        <v>欧向坤</v>
      </c>
      <c r="D943" s="18" t="str">
        <f>'0信息维护'!A$25</f>
        <v>课程目标1</v>
      </c>
      <c r="E943" s="19">
        <f ca="1">OFFSET('1课程考核方式及成绩组成'!$F$10,(ROW(E943)-5)/7,MOD((ROW(E943)-5),7))</f>
        <v>34</v>
      </c>
      <c r="F943" s="19">
        <f ca="1">OFFSET('1课程考核方式及成绩组成'!$N$10,(ROW(F943)-5)/7,MOD((ROW(F943)-5),7))</f>
        <v>0</v>
      </c>
      <c r="G943" s="19">
        <f ca="1">OFFSET('1课程考核方式及成绩组成'!$V$10,(ROW(G943)-5)/7,MOD((ROW(G943)-5),7))</f>
        <v>0</v>
      </c>
      <c r="H943" s="19">
        <f ca="1">OFFSET('1课程考核方式及成绩组成'!$AD$10,(ROW(H943)-5)/7,MOD((ROW(H943)-5),7))</f>
        <v>0</v>
      </c>
      <c r="I943" s="19">
        <f ca="1">OFFSET('1课程考核方式及成绩组成'!$AL$10,(ROW(I943)-5)/7,MOD((ROW(I943)-5),7))</f>
        <v>25</v>
      </c>
      <c r="J943" s="25">
        <f ca="1">IF('0信息维护'!$I$85=0,0,E943/('0信息维护'!$I$85)*'0信息维护'!$E$35*'0信息维护'!$S$25)+IF('0信息维护'!$I$86=0,0,F943/('0信息维护'!$I$86)*'0信息维护'!$E$35*'0信息维护'!$T$25)+IF('0信息维护'!$I$87=0,0,G943/('0信息维护'!$I$87)*'0信息维护'!$E$35*'0信息维护'!$U$25)+IF('0信息维护'!$I$88=0,0,H943/('0信息维护'!$I$88)*'0信息维护'!$E$35*'0信息维护'!$V$25)+IF('0信息维护'!$I$89=0,0,I943/'0信息维护'!$I$89*'0信息维护'!$I$35)</f>
        <v>0.772222222222222</v>
      </c>
      <c r="K943" s="26">
        <f ca="1">J943*'0信息维护'!$D$132+J944*'0信息维护'!$D$133+J945*'0信息维护'!$D$134+J946*'0信息维护'!$D$135+J947*'0信息维护'!$D$136+J948*'0信息维护'!$D$137+J949*'0信息维护'!$D$138</f>
        <v>0.769450980392157</v>
      </c>
    </row>
    <row r="944" spans="1:14">
      <c r="A944" s="20"/>
      <c r="B944" s="20"/>
      <c r="C944" s="20"/>
      <c r="D944" s="18" t="str">
        <f>'0信息维护'!A$26</f>
        <v>课程目标2</v>
      </c>
      <c r="E944" s="19">
        <f ca="1">OFFSET('1课程考核方式及成绩组成'!$F$10,(ROW(E944)-5)/7,MOD((ROW(E944)-5),7))</f>
        <v>51</v>
      </c>
      <c r="F944" s="19">
        <f ca="1">OFFSET('1课程考核方式及成绩组成'!$N$10,(ROW(F944)-5)/7,MOD((ROW(F944)-5),7))</f>
        <v>0</v>
      </c>
      <c r="G944" s="19">
        <f ca="1">OFFSET('1课程考核方式及成绩组成'!$V$10,(ROW(G944)-5)/7,MOD((ROW(G944)-5),7))</f>
        <v>0</v>
      </c>
      <c r="H944" s="19">
        <f ca="1">OFFSET('1课程考核方式及成绩组成'!$AD$10,(ROW(H944)-5)/7,MOD((ROW(H944)-5),7))</f>
        <v>0</v>
      </c>
      <c r="I944" s="19">
        <f ca="1">OFFSET('1课程考核方式及成绩组成'!$AL$10,(ROW(I944)-5)/7,MOD((ROW(I944)-5),7))</f>
        <v>24</v>
      </c>
      <c r="J944" s="25">
        <f ca="1">IF('0信息维护'!$I$91=0,0,E944/('0信息维护'!$I$91)*'0信息维护'!$S$26*'0信息维护'!$E$36)+IF('0信息维护'!$I$92=0,0,F944/('0信息维护'!$I$92)*'0信息维护'!$T$26*'0信息维护'!$E$36)+IF('0信息维护'!$I$93=0,0,G944/('0信息维护'!$I$93)*'0信息维护'!$U$26*'0信息维护'!$E$36)+IF('0信息维护'!$I$94=0,0,H944/('0信息维护'!$I$94)*'0信息维护'!$V$26*'0信息维护'!$E$36)+IF('0信息维护'!$I$95=0,0,I944/'0信息维护'!$I$95*'0信息维护'!$I$36)</f>
        <v>0.825</v>
      </c>
      <c r="K944" s="27"/>
      <c r="N944" s="29"/>
    </row>
    <row r="945" spans="1:11">
      <c r="A945" s="20"/>
      <c r="B945" s="20"/>
      <c r="C945" s="20"/>
      <c r="D945" s="18" t="str">
        <f>'0信息维护'!A$27</f>
        <v>课程目标3</v>
      </c>
      <c r="E945" s="19">
        <f ca="1">OFFSET('1课程考核方式及成绩组成'!$F$10,(ROW(E945)-5)/7,MOD((ROW(E945)-5),7))</f>
        <v>0</v>
      </c>
      <c r="F945" s="19">
        <f ca="1">OFFSET('1课程考核方式及成绩组成'!$N$10,(ROW(F945)-5)/7,MOD((ROW(F945)-5),7))</f>
        <v>0</v>
      </c>
      <c r="G945" s="19">
        <f ca="1">OFFSET('1课程考核方式及成绩组成'!$V$10,(ROW(G945)-5)/7,MOD((ROW(G945)-5),7))</f>
        <v>0</v>
      </c>
      <c r="H945" s="19">
        <f ca="1">OFFSET('1课程考核方式及成绩组成'!$AD$10,(ROW(H945)-5)/7,MOD((ROW(H945)-5),7))</f>
        <v>0</v>
      </c>
      <c r="I945" s="19">
        <f ca="1">OFFSET('1课程考核方式及成绩组成'!$AL$10,(ROW(I945)-5)/7,MOD((ROW(I945)-5),7))</f>
        <v>23</v>
      </c>
      <c r="J945" s="25">
        <f ca="1">IF('0信息维护'!$I$97=0,0,E945/('0信息维护'!$I$97)*'0信息维护'!$E$37*'0信息维护'!$S$27)+IF('0信息维护'!$I$98=0,0,F945/('0信息维护'!$I$98)*'0信息维护'!$E$37*'0信息维护'!$T$27)+IF('0信息维护'!$I$99=0,0,G945/('0信息维护'!$I$99)*'0信息维护'!$E$37*'0信息维护'!$U$27)+IF('0信息维护'!$I$100=0,0,H945/('0信息维护'!$I$100)*'0信息维护'!$E$37*'0信息维护'!$V$27)+IF('0信息维护'!$I$101=0,0,I945/'0信息维护'!$I$101*'0信息维护'!$I$37)</f>
        <v>0.676470588235294</v>
      </c>
      <c r="K945" s="27"/>
    </row>
    <row r="946" spans="1:11">
      <c r="A946" s="20"/>
      <c r="B946" s="20"/>
      <c r="C946" s="20"/>
      <c r="D946" s="18" t="str">
        <f>'0信息维护'!A$28</f>
        <v>课程目标4</v>
      </c>
      <c r="E946" s="19">
        <f ca="1">OFFSET('1课程考核方式及成绩组成'!$F$10,(ROW(E946)-5)/7,MOD((ROW(E946)-5),7))</f>
        <v>0</v>
      </c>
      <c r="F946" s="19">
        <f ca="1">OFFSET('1课程考核方式及成绩组成'!$N$10,(ROW(F946)-5)/7,MOD((ROW(F946)-5),7))</f>
        <v>79</v>
      </c>
      <c r="G946" s="19">
        <f ca="1">OFFSET('1课程考核方式及成绩组成'!$V$10,(ROW(G946)-5)/7,MOD((ROW(G946)-5),7))</f>
        <v>0</v>
      </c>
      <c r="H946" s="19">
        <f ca="1">OFFSET('1课程考核方式及成绩组成'!$AD$10,(ROW(H946)-5)/7,MOD((ROW(H946)-5),7))</f>
        <v>0</v>
      </c>
      <c r="I946" s="19">
        <f ca="1">OFFSET('1课程考核方式及成绩组成'!$AL$10,(ROW(I946)-5)/7,MOD((ROW(I946)-5),7))</f>
        <v>0</v>
      </c>
      <c r="J946" s="25">
        <f ca="1">IF('0信息维护'!$I$103=0,0,E946/('0信息维护'!$I$103)*'0信息维护'!$E$38*'0信息维护'!$S$28)+IF('0信息维护'!$I$104=0,0,F946/('0信息维护'!$I$104)*'0信息维护'!$E$38*'0信息维护'!$T$28)+IF('0信息维护'!$I$105=0,0,G946/('0信息维护'!$I$105)*'0信息维护'!$E$38*'0信息维护'!$U$28)+IF('0信息维护'!$I$106=0,0,H946/('0信息维护'!$I$106)*'0信息维护'!$E$38*'0信息维护'!$V$28)+IF('0信息维护'!$I$107=0,0,I946/'0信息维护'!$I$107*'0信息维护'!$I$38)</f>
        <v>0.79</v>
      </c>
      <c r="K946" s="27"/>
    </row>
    <row r="947" spans="1:11">
      <c r="A947" s="20"/>
      <c r="B947" s="20"/>
      <c r="C947" s="20"/>
      <c r="D947" s="18" t="str">
        <f>'0信息维护'!A$29</f>
        <v>课程目标5</v>
      </c>
      <c r="E947" s="19">
        <f ca="1">OFFSET('1课程考核方式及成绩组成'!$F$10,(ROW(E947)-5)/7,MOD((ROW(E947)-5),7))</f>
        <v>0</v>
      </c>
      <c r="F947" s="19">
        <f ca="1">OFFSET('1课程考核方式及成绩组成'!$N$10,(ROW(F947)-5)/7,MOD((ROW(F947)-5),7))</f>
        <v>0</v>
      </c>
      <c r="G947" s="19">
        <f ca="1">OFFSET('1课程考核方式及成绩组成'!$V$10,(ROW(G947)-5)/7,MOD((ROW(G947)-5),7))</f>
        <v>0</v>
      </c>
      <c r="H947" s="19">
        <f ca="1">OFFSET('1课程考核方式及成绩组成'!$AD$10,(ROW(H947)-5)/7,MOD((ROW(H947)-5),7))</f>
        <v>0</v>
      </c>
      <c r="I947" s="19">
        <f ca="1">OFFSET('1课程考核方式及成绩组成'!$AL$10,(ROW(I947)-5)/7,MOD((ROW(I947)-5),7))</f>
        <v>0</v>
      </c>
      <c r="J947" s="25">
        <f ca="1">IF('0信息维护'!$I$109=0,0,E947/('0信息维护'!$I$109)*'0信息维护'!$E$39*'0信息维护'!$S$29)+IF('0信息维护'!$I$110=0,0,F947/('0信息维护'!$I$110)*'0信息维护'!$E$39*'0信息维护'!$T$29)+IF('0信息维护'!$I$111=0,0,G947/('0信息维护'!$I$111)*'0信息维护'!$E$39*'0信息维护'!$U$29)+IF('0信息维护'!$I$112=0,0,H947/('0信息维护'!$I$112)*'0信息维护'!$E$39*'0信息维护'!$V$29)+IF('0信息维护'!$I$113=0,0,I947/'0信息维护'!$I$113*'0信息维护'!$I$39)</f>
        <v>0</v>
      </c>
      <c r="K947" s="27"/>
    </row>
    <row r="948" spans="1:11">
      <c r="A948" s="20"/>
      <c r="B948" s="20"/>
      <c r="C948" s="20"/>
      <c r="D948" s="18" t="str">
        <f>'0信息维护'!A$30</f>
        <v>课程目标6</v>
      </c>
      <c r="E948" s="19">
        <f ca="1">OFFSET('1课程考核方式及成绩组成'!$F$10,(ROW(E948)-5)/7,MOD((ROW(E948)-5),7))</f>
        <v>0</v>
      </c>
      <c r="F948" s="19">
        <f ca="1">OFFSET('1课程考核方式及成绩组成'!$N$10,(ROW(F948)-5)/7,MOD((ROW(F948)-5),7))</f>
        <v>0</v>
      </c>
      <c r="G948" s="19">
        <f ca="1">OFFSET('1课程考核方式及成绩组成'!$V$10,(ROW(G948)-5)/7,MOD((ROW(G948)-5),7))</f>
        <v>0</v>
      </c>
      <c r="H948" s="19">
        <f ca="1">OFFSET('1课程考核方式及成绩组成'!$AD$10,(ROW(H948)-5)/7,MOD((ROW(H948)-5),7))</f>
        <v>0</v>
      </c>
      <c r="I948" s="19">
        <f ca="1">OFFSET('1课程考核方式及成绩组成'!$AL$10,(ROW(I948)-5)/7,MOD((ROW(I948)-5),7))</f>
        <v>0</v>
      </c>
      <c r="J948" s="25">
        <f ca="1">IF('0信息维护'!$I$115=0,0,E948/('0信息维护'!$I$115)*'0信息维护'!$E$40*'0信息维护'!$S$30)+IF('0信息维护'!$I$116=0,0,F948/('0信息维护'!$I$116)*'0信息维护'!$E$40*'0信息维护'!$T$30)+IF('0信息维护'!$I$117=0,0,G948/('0信息维护'!$I$117)*'0信息维护'!$E$40*'0信息维护'!$U$30)+IF('0信息维护'!$I$118=0,0,H948/('0信息维护'!$I$118)*'0信息维护'!$E$40*'0信息维护'!$V$30)+IF('0信息维护'!$I$119=0,0,I948/'0信息维护'!$I$119*'0信息维护'!$I$40)</f>
        <v>0</v>
      </c>
      <c r="K948" s="27"/>
    </row>
    <row r="949" spans="1:11">
      <c r="A949" s="21"/>
      <c r="B949" s="21"/>
      <c r="C949" s="21"/>
      <c r="D949" s="18" t="str">
        <f>'0信息维护'!A$31</f>
        <v>课程目标7</v>
      </c>
      <c r="E949" s="19">
        <f ca="1">OFFSET('1课程考核方式及成绩组成'!$F$10,(ROW(E949)-5)/7,MOD((ROW(E949)-5),7))</f>
        <v>0</v>
      </c>
      <c r="F949" s="19">
        <f ca="1">OFFSET('1课程考核方式及成绩组成'!$N$10,(ROW(F949)-5)/7,MOD((ROW(F949)-5),7))</f>
        <v>0</v>
      </c>
      <c r="G949" s="19">
        <f ca="1">OFFSET('1课程考核方式及成绩组成'!$V$10,(ROW(G949)-5)/7,MOD((ROW(G949)-5),7))</f>
        <v>0</v>
      </c>
      <c r="H949" s="19">
        <f ca="1">OFFSET('1课程考核方式及成绩组成'!$AD$10,(ROW(H949)-5)/7,MOD((ROW(H949)-5),7))</f>
        <v>0</v>
      </c>
      <c r="I949" s="19">
        <f ca="1">OFFSET('1课程考核方式及成绩组成'!$AL$10,(ROW(I949)-5)/7,MOD((ROW(I949)-5),7))</f>
        <v>0</v>
      </c>
      <c r="J949" s="25">
        <f ca="1">IF('0信息维护'!$I$121=0,0,E949/('0信息维护'!$I$121)*'0信息维护'!$E$41*'0信息维护'!$S$31)+IF('0信息维护'!$I$122=0,0,F949/('0信息维护'!$I$122)*'0信息维护'!$E$41*'0信息维护'!$T$31)+IF('0信息维护'!$I$123=0,0,G949/('0信息维护'!$I$123)*'0信息维护'!$E$41*'0信息维护'!$U$31)+IF('0信息维护'!$I$124=0,0,H949/('0信息维护'!$I$124)*'0信息维护'!$E$41*'0信息维护'!$T$31)+IF('0信息维护'!$I$125=0,0,I949/'0信息维护'!$I$125*'0信息维护'!$I$41)</f>
        <v>0</v>
      </c>
      <c r="K949" s="30"/>
    </row>
    <row r="950" spans="1:11">
      <c r="A950" s="17">
        <v>136</v>
      </c>
      <c r="B950" s="17" t="str">
        <f ca="1">OFFSET('1课程考核方式及成绩组成'!$D$10,(ROW(B950)-5)/7,)</f>
        <v>220701112</v>
      </c>
      <c r="C950" s="17" t="str">
        <f ca="1">OFFSET('1课程考核方式及成绩组成'!$E$10,(ROW(C950)-5)/7,)</f>
        <v>邓林</v>
      </c>
      <c r="D950" s="18" t="str">
        <f>'0信息维护'!A$25</f>
        <v>课程目标1</v>
      </c>
      <c r="E950" s="19">
        <f ca="1">OFFSET('1课程考核方式及成绩组成'!$F$10,(ROW(E950)-5)/7,MOD((ROW(E950)-5),7))</f>
        <v>33</v>
      </c>
      <c r="F950" s="19">
        <f ca="1">OFFSET('1课程考核方式及成绩组成'!$N$10,(ROW(F950)-5)/7,MOD((ROW(F950)-5),7))</f>
        <v>0</v>
      </c>
      <c r="G950" s="19">
        <f ca="1">OFFSET('1课程考核方式及成绩组成'!$V$10,(ROW(G950)-5)/7,MOD((ROW(G950)-5),7))</f>
        <v>0</v>
      </c>
      <c r="H950" s="19">
        <f ca="1">OFFSET('1课程考核方式及成绩组成'!$AD$10,(ROW(H950)-5)/7,MOD((ROW(H950)-5),7))</f>
        <v>0</v>
      </c>
      <c r="I950" s="19">
        <f ca="1">OFFSET('1课程考核方式及成绩组成'!$AL$10,(ROW(I950)-5)/7,MOD((ROW(I950)-5),7))</f>
        <v>22</v>
      </c>
      <c r="J950" s="25">
        <f ca="1">IF('0信息维护'!$I$85=0,0,E950/('0信息维护'!$I$85)*'0信息维护'!$E$35*'0信息维护'!$S$25)+IF('0信息维护'!$I$86=0,0,F950/('0信息维护'!$I$86)*'0信息维护'!$E$35*'0信息维护'!$T$25)+IF('0信息维护'!$I$87=0,0,G950/('0信息维护'!$I$87)*'0信息维护'!$E$35*'0信息维护'!$U$25)+IF('0信息维护'!$I$88=0,0,H950/('0信息维护'!$I$88)*'0信息维护'!$E$35*'0信息维护'!$V$25)+IF('0信息维护'!$I$89=0,0,I950/'0信息维护'!$I$89*'0信息维护'!$I$35)</f>
        <v>0.718055555555556</v>
      </c>
      <c r="K950" s="26">
        <f ca="1">J950*'0信息维护'!$D$132+J951*'0信息维护'!$D$133+J952*'0信息维护'!$D$134+J953*'0信息维护'!$D$135+J954*'0信息维护'!$D$136+J955*'0信息维护'!$D$137+J956*'0信息维护'!$D$138</f>
        <v>0.676502450980392</v>
      </c>
    </row>
    <row r="951" spans="1:14">
      <c r="A951" s="20"/>
      <c r="B951" s="20"/>
      <c r="C951" s="20"/>
      <c r="D951" s="18" t="str">
        <f>'0信息维护'!A$26</f>
        <v>课程目标2</v>
      </c>
      <c r="E951" s="19">
        <f ca="1">OFFSET('1课程考核方式及成绩组成'!$F$10,(ROW(E951)-5)/7,MOD((ROW(E951)-5),7))</f>
        <v>51</v>
      </c>
      <c r="F951" s="19">
        <f ca="1">OFFSET('1课程考核方式及成绩组成'!$N$10,(ROW(F951)-5)/7,MOD((ROW(F951)-5),7))</f>
        <v>0</v>
      </c>
      <c r="G951" s="19">
        <f ca="1">OFFSET('1课程考核方式及成绩组成'!$V$10,(ROW(G951)-5)/7,MOD((ROW(G951)-5),7))</f>
        <v>0</v>
      </c>
      <c r="H951" s="19">
        <f ca="1">OFFSET('1课程考核方式及成绩组成'!$AD$10,(ROW(H951)-5)/7,MOD((ROW(H951)-5),7))</f>
        <v>0</v>
      </c>
      <c r="I951" s="19">
        <f ca="1">OFFSET('1课程考核方式及成绩组成'!$AL$10,(ROW(I951)-5)/7,MOD((ROW(I951)-5),7))</f>
        <v>20</v>
      </c>
      <c r="J951" s="25">
        <f ca="1">IF('0信息维护'!$I$91=0,0,E951/('0信息维护'!$I$91)*'0信息维护'!$S$26*'0信息维护'!$E$36)+IF('0信息维护'!$I$92=0,0,F951/('0信息维护'!$I$92)*'0信息维护'!$T$26*'0信息维护'!$E$36)+IF('0信息维护'!$I$93=0,0,G951/('0信息维护'!$I$93)*'0信息维护'!$U$26*'0信息维护'!$E$36)+IF('0信息维护'!$I$94=0,0,H951/('0信息维护'!$I$94)*'0信息维护'!$V$26*'0信息维护'!$E$36)+IF('0信息维护'!$I$95=0,0,I951/'0信息维护'!$I$95*'0信息维护'!$I$36)</f>
        <v>0.758333333333333</v>
      </c>
      <c r="K951" s="27"/>
      <c r="N951" s="29"/>
    </row>
    <row r="952" spans="1:11">
      <c r="A952" s="20"/>
      <c r="B952" s="20"/>
      <c r="C952" s="20"/>
      <c r="D952" s="18" t="str">
        <f>'0信息维护'!A$27</f>
        <v>课程目标3</v>
      </c>
      <c r="E952" s="19">
        <f ca="1">OFFSET('1课程考核方式及成绩组成'!$F$10,(ROW(E952)-5)/7,MOD((ROW(E952)-5),7))</f>
        <v>0</v>
      </c>
      <c r="F952" s="19">
        <f ca="1">OFFSET('1课程考核方式及成绩组成'!$N$10,(ROW(F952)-5)/7,MOD((ROW(F952)-5),7))</f>
        <v>0</v>
      </c>
      <c r="G952" s="19">
        <f ca="1">OFFSET('1课程考核方式及成绩组成'!$V$10,(ROW(G952)-5)/7,MOD((ROW(G952)-5),7))</f>
        <v>0</v>
      </c>
      <c r="H952" s="19">
        <f ca="1">OFFSET('1课程考核方式及成绩组成'!$AD$10,(ROW(H952)-5)/7,MOD((ROW(H952)-5),7))</f>
        <v>0</v>
      </c>
      <c r="I952" s="19">
        <f ca="1">OFFSET('1课程考核方式及成绩组成'!$AL$10,(ROW(I952)-5)/7,MOD((ROW(I952)-5),7))</f>
        <v>15</v>
      </c>
      <c r="J952" s="25">
        <f ca="1">IF('0信息维护'!$I$97=0,0,E952/('0信息维护'!$I$97)*'0信息维护'!$E$37*'0信息维护'!$S$27)+IF('0信息维护'!$I$98=0,0,F952/('0信息维护'!$I$98)*'0信息维护'!$E$37*'0信息维护'!$T$27)+IF('0信息维护'!$I$99=0,0,G952/('0信息维护'!$I$99)*'0信息维护'!$E$37*'0信息维护'!$U$27)+IF('0信息维护'!$I$100=0,0,H952/('0信息维护'!$I$100)*'0信息维护'!$E$37*'0信息维护'!$V$27)+IF('0信息维护'!$I$101=0,0,I952/'0信息维护'!$I$101*'0信息维护'!$I$37)</f>
        <v>0.441176470588235</v>
      </c>
      <c r="K952" s="27"/>
    </row>
    <row r="953" spans="1:11">
      <c r="A953" s="20"/>
      <c r="B953" s="20"/>
      <c r="C953" s="20"/>
      <c r="D953" s="18" t="str">
        <f>'0信息维护'!A$28</f>
        <v>课程目标4</v>
      </c>
      <c r="E953" s="19">
        <f ca="1">OFFSET('1课程考核方式及成绩组成'!$F$10,(ROW(E953)-5)/7,MOD((ROW(E953)-5),7))</f>
        <v>0</v>
      </c>
      <c r="F953" s="19">
        <f ca="1">OFFSET('1课程考核方式及成绩组成'!$N$10,(ROW(F953)-5)/7,MOD((ROW(F953)-5),7))</f>
        <v>77</v>
      </c>
      <c r="G953" s="19">
        <f ca="1">OFFSET('1课程考核方式及成绩组成'!$V$10,(ROW(G953)-5)/7,MOD((ROW(G953)-5),7))</f>
        <v>0</v>
      </c>
      <c r="H953" s="19">
        <f ca="1">OFFSET('1课程考核方式及成绩组成'!$AD$10,(ROW(H953)-5)/7,MOD((ROW(H953)-5),7))</f>
        <v>0</v>
      </c>
      <c r="I953" s="19">
        <f ca="1">OFFSET('1课程考核方式及成绩组成'!$AL$10,(ROW(I953)-5)/7,MOD((ROW(I953)-5),7))</f>
        <v>0</v>
      </c>
      <c r="J953" s="25">
        <f ca="1">IF('0信息维护'!$I$103=0,0,E953/('0信息维护'!$I$103)*'0信息维护'!$E$38*'0信息维护'!$S$28)+IF('0信息维护'!$I$104=0,0,F953/('0信息维护'!$I$104)*'0信息维护'!$E$38*'0信息维护'!$T$28)+IF('0信息维护'!$I$105=0,0,G953/('0信息维护'!$I$105)*'0信息维护'!$E$38*'0信息维护'!$U$28)+IF('0信息维护'!$I$106=0,0,H953/('0信息维护'!$I$106)*'0信息维护'!$E$38*'0信息维护'!$V$28)+IF('0信息维护'!$I$107=0,0,I953/'0信息维护'!$I$107*'0信息维护'!$I$38)</f>
        <v>0.77</v>
      </c>
      <c r="K953" s="27"/>
    </row>
    <row r="954" spans="1:11">
      <c r="A954" s="20"/>
      <c r="B954" s="20"/>
      <c r="C954" s="20"/>
      <c r="D954" s="18" t="str">
        <f>'0信息维护'!A$29</f>
        <v>课程目标5</v>
      </c>
      <c r="E954" s="19">
        <f ca="1">OFFSET('1课程考核方式及成绩组成'!$F$10,(ROW(E954)-5)/7,MOD((ROW(E954)-5),7))</f>
        <v>0</v>
      </c>
      <c r="F954" s="19">
        <f ca="1">OFFSET('1课程考核方式及成绩组成'!$N$10,(ROW(F954)-5)/7,MOD((ROW(F954)-5),7))</f>
        <v>0</v>
      </c>
      <c r="G954" s="19">
        <f ca="1">OFFSET('1课程考核方式及成绩组成'!$V$10,(ROW(G954)-5)/7,MOD((ROW(G954)-5),7))</f>
        <v>0</v>
      </c>
      <c r="H954" s="19">
        <f ca="1">OFFSET('1课程考核方式及成绩组成'!$AD$10,(ROW(H954)-5)/7,MOD((ROW(H954)-5),7))</f>
        <v>0</v>
      </c>
      <c r="I954" s="19">
        <f ca="1">OFFSET('1课程考核方式及成绩组成'!$AL$10,(ROW(I954)-5)/7,MOD((ROW(I954)-5),7))</f>
        <v>0</v>
      </c>
      <c r="J954" s="25">
        <f ca="1">IF('0信息维护'!$I$109=0,0,E954/('0信息维护'!$I$109)*'0信息维护'!$E$39*'0信息维护'!$S$29)+IF('0信息维护'!$I$110=0,0,F954/('0信息维护'!$I$110)*'0信息维护'!$E$39*'0信息维护'!$T$29)+IF('0信息维护'!$I$111=0,0,G954/('0信息维护'!$I$111)*'0信息维护'!$E$39*'0信息维护'!$U$29)+IF('0信息维护'!$I$112=0,0,H954/('0信息维护'!$I$112)*'0信息维护'!$E$39*'0信息维护'!$V$29)+IF('0信息维护'!$I$113=0,0,I954/'0信息维护'!$I$113*'0信息维护'!$I$39)</f>
        <v>0</v>
      </c>
      <c r="K954" s="27"/>
    </row>
    <row r="955" spans="1:11">
      <c r="A955" s="20"/>
      <c r="B955" s="20"/>
      <c r="C955" s="20"/>
      <c r="D955" s="18" t="str">
        <f>'0信息维护'!A$30</f>
        <v>课程目标6</v>
      </c>
      <c r="E955" s="19">
        <f ca="1">OFFSET('1课程考核方式及成绩组成'!$F$10,(ROW(E955)-5)/7,MOD((ROW(E955)-5),7))</f>
        <v>0</v>
      </c>
      <c r="F955" s="19">
        <f ca="1">OFFSET('1课程考核方式及成绩组成'!$N$10,(ROW(F955)-5)/7,MOD((ROW(F955)-5),7))</f>
        <v>0</v>
      </c>
      <c r="G955" s="19">
        <f ca="1">OFFSET('1课程考核方式及成绩组成'!$V$10,(ROW(G955)-5)/7,MOD((ROW(G955)-5),7))</f>
        <v>0</v>
      </c>
      <c r="H955" s="19">
        <f ca="1">OFFSET('1课程考核方式及成绩组成'!$AD$10,(ROW(H955)-5)/7,MOD((ROW(H955)-5),7))</f>
        <v>0</v>
      </c>
      <c r="I955" s="19">
        <f ca="1">OFFSET('1课程考核方式及成绩组成'!$AL$10,(ROW(I955)-5)/7,MOD((ROW(I955)-5),7))</f>
        <v>0</v>
      </c>
      <c r="J955" s="25">
        <f ca="1">IF('0信息维护'!$I$115=0,0,E955/('0信息维护'!$I$115)*'0信息维护'!$E$40*'0信息维护'!$S$30)+IF('0信息维护'!$I$116=0,0,F955/('0信息维护'!$I$116)*'0信息维护'!$E$40*'0信息维护'!$T$30)+IF('0信息维护'!$I$117=0,0,G955/('0信息维护'!$I$117)*'0信息维护'!$E$40*'0信息维护'!$U$30)+IF('0信息维护'!$I$118=0,0,H955/('0信息维护'!$I$118)*'0信息维护'!$E$40*'0信息维护'!$V$30)+IF('0信息维护'!$I$119=0,0,I955/'0信息维护'!$I$119*'0信息维护'!$I$40)</f>
        <v>0</v>
      </c>
      <c r="K955" s="27"/>
    </row>
    <row r="956" spans="1:11">
      <c r="A956" s="21"/>
      <c r="B956" s="21"/>
      <c r="C956" s="21"/>
      <c r="D956" s="18" t="str">
        <f>'0信息维护'!A$31</f>
        <v>课程目标7</v>
      </c>
      <c r="E956" s="19">
        <f ca="1">OFFSET('1课程考核方式及成绩组成'!$F$10,(ROW(E956)-5)/7,MOD((ROW(E956)-5),7))</f>
        <v>0</v>
      </c>
      <c r="F956" s="19">
        <f ca="1">OFFSET('1课程考核方式及成绩组成'!$N$10,(ROW(F956)-5)/7,MOD((ROW(F956)-5),7))</f>
        <v>0</v>
      </c>
      <c r="G956" s="19">
        <f ca="1">OFFSET('1课程考核方式及成绩组成'!$V$10,(ROW(G956)-5)/7,MOD((ROW(G956)-5),7))</f>
        <v>0</v>
      </c>
      <c r="H956" s="19">
        <f ca="1">OFFSET('1课程考核方式及成绩组成'!$AD$10,(ROW(H956)-5)/7,MOD((ROW(H956)-5),7))</f>
        <v>0</v>
      </c>
      <c r="I956" s="19">
        <f ca="1">OFFSET('1课程考核方式及成绩组成'!$AL$10,(ROW(I956)-5)/7,MOD((ROW(I956)-5),7))</f>
        <v>0</v>
      </c>
      <c r="J956" s="25">
        <f ca="1">IF('0信息维护'!$I$121=0,0,E956/('0信息维护'!$I$121)*'0信息维护'!$E$41*'0信息维护'!$S$31)+IF('0信息维护'!$I$122=0,0,F956/('0信息维护'!$I$122)*'0信息维护'!$E$41*'0信息维护'!$T$31)+IF('0信息维护'!$I$123=0,0,G956/('0信息维护'!$I$123)*'0信息维护'!$E$41*'0信息维护'!$U$31)+IF('0信息维护'!$I$124=0,0,H956/('0信息维护'!$I$124)*'0信息维护'!$E$41*'0信息维护'!$T$31)+IF('0信息维护'!$I$125=0,0,I956/'0信息维护'!$I$125*'0信息维护'!$I$41)</f>
        <v>0</v>
      </c>
      <c r="K956" s="30"/>
    </row>
    <row r="957" spans="1:11">
      <c r="A957" s="17">
        <v>137</v>
      </c>
      <c r="B957" s="17" t="str">
        <f ca="1">OFFSET('1课程考核方式及成绩组成'!$D$10,(ROW(B957)-5)/7,)</f>
        <v>220706117</v>
      </c>
      <c r="C957" s="17" t="str">
        <f ca="1">OFFSET('1课程考核方式及成绩组成'!$E$10,(ROW(C957)-5)/7,)</f>
        <v>叶瀚枫</v>
      </c>
      <c r="D957" s="18" t="str">
        <f>'0信息维护'!A$25</f>
        <v>课程目标1</v>
      </c>
      <c r="E957" s="19">
        <f ca="1">OFFSET('1课程考核方式及成绩组成'!$F$10,(ROW(E957)-5)/7,MOD((ROW(E957)-5),7))</f>
        <v>32</v>
      </c>
      <c r="F957" s="19">
        <f ca="1">OFFSET('1课程考核方式及成绩组成'!$N$10,(ROW(F957)-5)/7,MOD((ROW(F957)-5),7))</f>
        <v>0</v>
      </c>
      <c r="G957" s="19">
        <f ca="1">OFFSET('1课程考核方式及成绩组成'!$V$10,(ROW(G957)-5)/7,MOD((ROW(G957)-5),7))</f>
        <v>0</v>
      </c>
      <c r="H957" s="19">
        <f ca="1">OFFSET('1课程考核方式及成绩组成'!$AD$10,(ROW(H957)-5)/7,MOD((ROW(H957)-5),7))</f>
        <v>0</v>
      </c>
      <c r="I957" s="19">
        <f ca="1">OFFSET('1课程考核方式及成绩组成'!$AL$10,(ROW(I957)-5)/7,MOD((ROW(I957)-5),7))</f>
        <v>24</v>
      </c>
      <c r="J957" s="25">
        <f ca="1">IF('0信息维护'!$I$85=0,0,E957/('0信息维护'!$I$85)*'0信息维护'!$E$35*'0信息维护'!$S$25)+IF('0信息维护'!$I$86=0,0,F957/('0信息维护'!$I$86)*'0信息维护'!$E$35*'0信息维护'!$T$25)+IF('0信息维护'!$I$87=0,0,G957/('0信息维护'!$I$87)*'0信息维护'!$E$35*'0信息维护'!$U$25)+IF('0信息维护'!$I$88=0,0,H957/('0信息维护'!$I$88)*'0信息维护'!$E$35*'0信息维护'!$V$25)+IF('0信息维护'!$I$89=0,0,I957/'0信息维护'!$I$89*'0信息维护'!$I$35)</f>
        <v>0.733333333333333</v>
      </c>
      <c r="K957" s="26">
        <f ca="1">J957*'0信息维护'!$D$132+J958*'0信息维护'!$D$133+J959*'0信息维护'!$D$134+J960*'0信息维护'!$D$135+J961*'0信息维护'!$D$136+J962*'0信息维护'!$D$137+J963*'0信息维护'!$D$138</f>
        <v>0.667058823529412</v>
      </c>
    </row>
    <row r="958" spans="1:14">
      <c r="A958" s="20"/>
      <c r="B958" s="20"/>
      <c r="C958" s="20"/>
      <c r="D958" s="18" t="str">
        <f>'0信息维护'!A$26</f>
        <v>课程目标2</v>
      </c>
      <c r="E958" s="19">
        <f ca="1">OFFSET('1课程考核方式及成绩组成'!$F$10,(ROW(E958)-5)/7,MOD((ROW(E958)-5),7))</f>
        <v>48</v>
      </c>
      <c r="F958" s="19">
        <f ca="1">OFFSET('1课程考核方式及成绩组成'!$N$10,(ROW(F958)-5)/7,MOD((ROW(F958)-5),7))</f>
        <v>0</v>
      </c>
      <c r="G958" s="19">
        <f ca="1">OFFSET('1课程考核方式及成绩组成'!$V$10,(ROW(G958)-5)/7,MOD((ROW(G958)-5),7))</f>
        <v>0</v>
      </c>
      <c r="H958" s="19">
        <f ca="1">OFFSET('1课程考核方式及成绩组成'!$AD$10,(ROW(H958)-5)/7,MOD((ROW(H958)-5),7))</f>
        <v>0</v>
      </c>
      <c r="I958" s="19">
        <f ca="1">OFFSET('1课程考核方式及成绩组成'!$AL$10,(ROW(I958)-5)/7,MOD((ROW(I958)-5),7))</f>
        <v>13</v>
      </c>
      <c r="J958" s="25">
        <f ca="1">IF('0信息维护'!$I$91=0,0,E958/('0信息维护'!$I$91)*'0信息维护'!$S$26*'0信息维护'!$E$36)+IF('0信息维护'!$I$92=0,0,F958/('0信息维护'!$I$92)*'0信息维护'!$T$26*'0信息维护'!$E$36)+IF('0信息维护'!$I$93=0,0,G958/('0信息维护'!$I$93)*'0信息维护'!$U$26*'0信息维护'!$E$36)+IF('0信息维护'!$I$94=0,0,H958/('0信息维护'!$I$94)*'0信息维护'!$V$26*'0信息维护'!$E$36)+IF('0信息维护'!$I$95=0,0,I958/'0信息维护'!$I$95*'0信息维护'!$I$36)</f>
        <v>0.616666666666667</v>
      </c>
      <c r="K958" s="27"/>
      <c r="N958" s="29"/>
    </row>
    <row r="959" spans="1:11">
      <c r="A959" s="20"/>
      <c r="B959" s="20"/>
      <c r="C959" s="20"/>
      <c r="D959" s="18" t="str">
        <f>'0信息维护'!A$27</f>
        <v>课程目标3</v>
      </c>
      <c r="E959" s="19">
        <f ca="1">OFFSET('1课程考核方式及成绩组成'!$F$10,(ROW(E959)-5)/7,MOD((ROW(E959)-5),7))</f>
        <v>0</v>
      </c>
      <c r="F959" s="19">
        <f ca="1">OFFSET('1课程考核方式及成绩组成'!$N$10,(ROW(F959)-5)/7,MOD((ROW(F959)-5),7))</f>
        <v>0</v>
      </c>
      <c r="G959" s="19">
        <f ca="1">OFFSET('1课程考核方式及成绩组成'!$V$10,(ROW(G959)-5)/7,MOD((ROW(G959)-5),7))</f>
        <v>0</v>
      </c>
      <c r="H959" s="19">
        <f ca="1">OFFSET('1课程考核方式及成绩组成'!$AD$10,(ROW(H959)-5)/7,MOD((ROW(H959)-5),7))</f>
        <v>0</v>
      </c>
      <c r="I959" s="19">
        <f ca="1">OFFSET('1课程考核方式及成绩组成'!$AL$10,(ROW(I959)-5)/7,MOD((ROW(I959)-5),7))</f>
        <v>20</v>
      </c>
      <c r="J959" s="25">
        <f ca="1">IF('0信息维护'!$I$97=0,0,E959/('0信息维护'!$I$97)*'0信息维护'!$E$37*'0信息维护'!$S$27)+IF('0信息维护'!$I$98=0,0,F959/('0信息维护'!$I$98)*'0信息维护'!$E$37*'0信息维护'!$T$27)+IF('0信息维护'!$I$99=0,0,G959/('0信息维护'!$I$99)*'0信息维护'!$E$37*'0信息维护'!$U$27)+IF('0信息维护'!$I$100=0,0,H959/('0信息维护'!$I$100)*'0信息维护'!$E$37*'0信息维护'!$V$27)+IF('0信息维护'!$I$101=0,0,I959/'0信息维护'!$I$101*'0信息维护'!$I$37)</f>
        <v>0.588235294117647</v>
      </c>
      <c r="K959" s="27"/>
    </row>
    <row r="960" spans="1:11">
      <c r="A960" s="20"/>
      <c r="B960" s="20"/>
      <c r="C960" s="20"/>
      <c r="D960" s="18" t="str">
        <f>'0信息维护'!A$28</f>
        <v>课程目标4</v>
      </c>
      <c r="E960" s="19">
        <f ca="1">OFFSET('1课程考核方式及成绩组成'!$F$10,(ROW(E960)-5)/7,MOD((ROW(E960)-5),7))</f>
        <v>0</v>
      </c>
      <c r="F960" s="19">
        <f ca="1">OFFSET('1课程考核方式及成绩组成'!$N$10,(ROW(F960)-5)/7,MOD((ROW(F960)-5),7))</f>
        <v>75</v>
      </c>
      <c r="G960" s="19">
        <f ca="1">OFFSET('1课程考核方式及成绩组成'!$V$10,(ROW(G960)-5)/7,MOD((ROW(G960)-5),7))</f>
        <v>0</v>
      </c>
      <c r="H960" s="19">
        <f ca="1">OFFSET('1课程考核方式及成绩组成'!$AD$10,(ROW(H960)-5)/7,MOD((ROW(H960)-5),7))</f>
        <v>0</v>
      </c>
      <c r="I960" s="19">
        <f ca="1">OFFSET('1课程考核方式及成绩组成'!$AL$10,(ROW(I960)-5)/7,MOD((ROW(I960)-5),7))</f>
        <v>0</v>
      </c>
      <c r="J960" s="25">
        <f ca="1">IF('0信息维护'!$I$103=0,0,E960/('0信息维护'!$I$103)*'0信息维护'!$E$38*'0信息维护'!$S$28)+IF('0信息维护'!$I$104=0,0,F960/('0信息维护'!$I$104)*'0信息维护'!$E$38*'0信息维护'!$T$28)+IF('0信息维护'!$I$105=0,0,G960/('0信息维护'!$I$105)*'0信息维护'!$E$38*'0信息维护'!$U$28)+IF('0信息维护'!$I$106=0,0,H960/('0信息维护'!$I$106)*'0信息维护'!$E$38*'0信息维护'!$V$28)+IF('0信息维护'!$I$107=0,0,I960/'0信息维护'!$I$107*'0信息维护'!$I$38)</f>
        <v>0.75</v>
      </c>
      <c r="K960" s="27"/>
    </row>
    <row r="961" spans="1:11">
      <c r="A961" s="20"/>
      <c r="B961" s="20"/>
      <c r="C961" s="20"/>
      <c r="D961" s="18" t="str">
        <f>'0信息维护'!A$29</f>
        <v>课程目标5</v>
      </c>
      <c r="E961" s="19">
        <f ca="1">OFFSET('1课程考核方式及成绩组成'!$F$10,(ROW(E961)-5)/7,MOD((ROW(E961)-5),7))</f>
        <v>0</v>
      </c>
      <c r="F961" s="19">
        <f ca="1">OFFSET('1课程考核方式及成绩组成'!$N$10,(ROW(F961)-5)/7,MOD((ROW(F961)-5),7))</f>
        <v>0</v>
      </c>
      <c r="G961" s="19">
        <f ca="1">OFFSET('1课程考核方式及成绩组成'!$V$10,(ROW(G961)-5)/7,MOD((ROW(G961)-5),7))</f>
        <v>0</v>
      </c>
      <c r="H961" s="19">
        <f ca="1">OFFSET('1课程考核方式及成绩组成'!$AD$10,(ROW(H961)-5)/7,MOD((ROW(H961)-5),7))</f>
        <v>0</v>
      </c>
      <c r="I961" s="19">
        <f ca="1">OFFSET('1课程考核方式及成绩组成'!$AL$10,(ROW(I961)-5)/7,MOD((ROW(I961)-5),7))</f>
        <v>0</v>
      </c>
      <c r="J961" s="25">
        <f ca="1">IF('0信息维护'!$I$109=0,0,E961/('0信息维护'!$I$109)*'0信息维护'!$E$39*'0信息维护'!$S$29)+IF('0信息维护'!$I$110=0,0,F961/('0信息维护'!$I$110)*'0信息维护'!$E$39*'0信息维护'!$T$29)+IF('0信息维护'!$I$111=0,0,G961/('0信息维护'!$I$111)*'0信息维护'!$E$39*'0信息维护'!$U$29)+IF('0信息维护'!$I$112=0,0,H961/('0信息维护'!$I$112)*'0信息维护'!$E$39*'0信息维护'!$V$29)+IF('0信息维护'!$I$113=0,0,I961/'0信息维护'!$I$113*'0信息维护'!$I$39)</f>
        <v>0</v>
      </c>
      <c r="K961" s="27"/>
    </row>
    <row r="962" spans="1:11">
      <c r="A962" s="20"/>
      <c r="B962" s="20"/>
      <c r="C962" s="20"/>
      <c r="D962" s="18" t="str">
        <f>'0信息维护'!A$30</f>
        <v>课程目标6</v>
      </c>
      <c r="E962" s="19">
        <f ca="1">OFFSET('1课程考核方式及成绩组成'!$F$10,(ROW(E962)-5)/7,MOD((ROW(E962)-5),7))</f>
        <v>0</v>
      </c>
      <c r="F962" s="19">
        <f ca="1">OFFSET('1课程考核方式及成绩组成'!$N$10,(ROW(F962)-5)/7,MOD((ROW(F962)-5),7))</f>
        <v>0</v>
      </c>
      <c r="G962" s="19">
        <f ca="1">OFFSET('1课程考核方式及成绩组成'!$V$10,(ROW(G962)-5)/7,MOD((ROW(G962)-5),7))</f>
        <v>0</v>
      </c>
      <c r="H962" s="19">
        <f ca="1">OFFSET('1课程考核方式及成绩组成'!$AD$10,(ROW(H962)-5)/7,MOD((ROW(H962)-5),7))</f>
        <v>0</v>
      </c>
      <c r="I962" s="19">
        <f ca="1">OFFSET('1课程考核方式及成绩组成'!$AL$10,(ROW(I962)-5)/7,MOD((ROW(I962)-5),7))</f>
        <v>0</v>
      </c>
      <c r="J962" s="25">
        <f ca="1">IF('0信息维护'!$I$115=0,0,E962/('0信息维护'!$I$115)*'0信息维护'!$E$40*'0信息维护'!$S$30)+IF('0信息维护'!$I$116=0,0,F962/('0信息维护'!$I$116)*'0信息维护'!$E$40*'0信息维护'!$T$30)+IF('0信息维护'!$I$117=0,0,G962/('0信息维护'!$I$117)*'0信息维护'!$E$40*'0信息维护'!$U$30)+IF('0信息维护'!$I$118=0,0,H962/('0信息维护'!$I$118)*'0信息维护'!$E$40*'0信息维护'!$V$30)+IF('0信息维护'!$I$119=0,0,I962/'0信息维护'!$I$119*'0信息维护'!$I$40)</f>
        <v>0</v>
      </c>
      <c r="K962" s="27"/>
    </row>
    <row r="963" spans="1:11">
      <c r="A963" s="21"/>
      <c r="B963" s="21"/>
      <c r="C963" s="21"/>
      <c r="D963" s="18" t="str">
        <f>'0信息维护'!A$31</f>
        <v>课程目标7</v>
      </c>
      <c r="E963" s="19">
        <f ca="1">OFFSET('1课程考核方式及成绩组成'!$F$10,(ROW(E963)-5)/7,MOD((ROW(E963)-5),7))</f>
        <v>0</v>
      </c>
      <c r="F963" s="19">
        <f ca="1">OFFSET('1课程考核方式及成绩组成'!$N$10,(ROW(F963)-5)/7,MOD((ROW(F963)-5),7))</f>
        <v>0</v>
      </c>
      <c r="G963" s="19">
        <f ca="1">OFFSET('1课程考核方式及成绩组成'!$V$10,(ROW(G963)-5)/7,MOD((ROW(G963)-5),7))</f>
        <v>0</v>
      </c>
      <c r="H963" s="19">
        <f ca="1">OFFSET('1课程考核方式及成绩组成'!$AD$10,(ROW(H963)-5)/7,MOD((ROW(H963)-5),7))</f>
        <v>0</v>
      </c>
      <c r="I963" s="19">
        <f ca="1">OFFSET('1课程考核方式及成绩组成'!$AL$10,(ROW(I963)-5)/7,MOD((ROW(I963)-5),7))</f>
        <v>0</v>
      </c>
      <c r="J963" s="25">
        <f ca="1">IF('0信息维护'!$I$121=0,0,E963/('0信息维护'!$I$121)*'0信息维护'!$E$41*'0信息维护'!$S$31)+IF('0信息维护'!$I$122=0,0,F963/('0信息维护'!$I$122)*'0信息维护'!$E$41*'0信息维护'!$T$31)+IF('0信息维护'!$I$123=0,0,G963/('0信息维护'!$I$123)*'0信息维护'!$E$41*'0信息维护'!$U$31)+IF('0信息维护'!$I$124=0,0,H963/('0信息维护'!$I$124)*'0信息维护'!$E$41*'0信息维护'!$T$31)+IF('0信息维护'!$I$125=0,0,I963/'0信息维护'!$I$125*'0信息维护'!$I$41)</f>
        <v>0</v>
      </c>
      <c r="K963" s="30"/>
    </row>
    <row r="964" spans="1:11">
      <c r="A964" s="17">
        <v>138</v>
      </c>
      <c r="B964" s="17" t="str">
        <f ca="1">OFFSET('1课程考核方式及成绩组成'!$D$10,(ROW(B964)-5)/7,)</f>
        <v>220706138</v>
      </c>
      <c r="C964" s="17" t="str">
        <f ca="1">OFFSET('1课程考核方式及成绩组成'!$E$10,(ROW(C964)-5)/7,)</f>
        <v>王丽佳</v>
      </c>
      <c r="D964" s="18" t="str">
        <f>'0信息维护'!A$25</f>
        <v>课程目标1</v>
      </c>
      <c r="E964" s="19">
        <f ca="1">OFFSET('1课程考核方式及成绩组成'!$F$10,(ROW(E964)-5)/7,MOD((ROW(E964)-5),7))</f>
        <v>32</v>
      </c>
      <c r="F964" s="19">
        <f ca="1">OFFSET('1课程考核方式及成绩组成'!$N$10,(ROW(F964)-5)/7,MOD((ROW(F964)-5),7))</f>
        <v>0</v>
      </c>
      <c r="G964" s="19">
        <f ca="1">OFFSET('1课程考核方式及成绩组成'!$V$10,(ROW(G964)-5)/7,MOD((ROW(G964)-5),7))</f>
        <v>0</v>
      </c>
      <c r="H964" s="19">
        <f ca="1">OFFSET('1课程考核方式及成绩组成'!$AD$10,(ROW(H964)-5)/7,MOD((ROW(H964)-5),7))</f>
        <v>0</v>
      </c>
      <c r="I964" s="19">
        <f ca="1">OFFSET('1课程考核方式及成绩组成'!$AL$10,(ROW(I964)-5)/7,MOD((ROW(I964)-5),7))</f>
        <v>32</v>
      </c>
      <c r="J964" s="25">
        <f ca="1">IF('0信息维护'!$I$85=0,0,E964/('0信息维护'!$I$85)*'0信息维护'!$E$35*'0信息维护'!$S$25)+IF('0信息维护'!$I$86=0,0,F964/('0信息维护'!$I$86)*'0信息维护'!$E$35*'0信息维护'!$T$25)+IF('0信息维护'!$I$87=0,0,G964/('0信息维护'!$I$87)*'0信息维护'!$E$35*'0信息维护'!$U$25)+IF('0信息维护'!$I$88=0,0,H964/('0信息维护'!$I$88)*'0信息维护'!$E$35*'0信息维护'!$V$25)+IF('0信息维护'!$I$89=0,0,I964/'0信息维护'!$I$89*'0信息维护'!$I$35)</f>
        <v>0.844444444444444</v>
      </c>
      <c r="K964" s="26">
        <f ca="1">J964*'0信息维护'!$D$132+J965*'0信息维护'!$D$133+J966*'0信息维护'!$D$134+J967*'0信息维护'!$D$135+J968*'0信息维护'!$D$136+J969*'0信息维护'!$D$137+J970*'0信息维护'!$D$138</f>
        <v>0.730372549019608</v>
      </c>
    </row>
    <row r="965" spans="1:14">
      <c r="A965" s="20"/>
      <c r="B965" s="20"/>
      <c r="C965" s="20"/>
      <c r="D965" s="18" t="str">
        <f>'0信息维护'!A$26</f>
        <v>课程目标2</v>
      </c>
      <c r="E965" s="19">
        <f ca="1">OFFSET('1课程考核方式及成绩组成'!$F$10,(ROW(E965)-5)/7,MOD((ROW(E965)-5),7))</f>
        <v>48</v>
      </c>
      <c r="F965" s="19">
        <f ca="1">OFFSET('1课程考核方式及成绩组成'!$N$10,(ROW(F965)-5)/7,MOD((ROW(F965)-5),7))</f>
        <v>0</v>
      </c>
      <c r="G965" s="19">
        <f ca="1">OFFSET('1课程考核方式及成绩组成'!$V$10,(ROW(G965)-5)/7,MOD((ROW(G965)-5),7))</f>
        <v>0</v>
      </c>
      <c r="H965" s="19">
        <f ca="1">OFFSET('1课程考核方式及成绩组成'!$AD$10,(ROW(H965)-5)/7,MOD((ROW(H965)-5),7))</f>
        <v>0</v>
      </c>
      <c r="I965" s="19">
        <f ca="1">OFFSET('1课程考核方式及成绩组成'!$AL$10,(ROW(I965)-5)/7,MOD((ROW(I965)-5),7))</f>
        <v>19</v>
      </c>
      <c r="J965" s="25">
        <f ca="1">IF('0信息维护'!$I$91=0,0,E965/('0信息维护'!$I$91)*'0信息维护'!$S$26*'0信息维护'!$E$36)+IF('0信息维护'!$I$92=0,0,F965/('0信息维护'!$I$92)*'0信息维护'!$T$26*'0信息维护'!$E$36)+IF('0信息维护'!$I$93=0,0,G965/('0信息维护'!$I$93)*'0信息维护'!$U$26*'0信息维护'!$E$36)+IF('0信息维护'!$I$94=0,0,H965/('0信息维护'!$I$94)*'0信息维护'!$V$26*'0信息维护'!$E$36)+IF('0信息维护'!$I$95=0,0,I965/'0信息维护'!$I$95*'0信息维护'!$I$36)</f>
        <v>0.716666666666667</v>
      </c>
      <c r="K965" s="27"/>
      <c r="N965" s="29"/>
    </row>
    <row r="966" spans="1:11">
      <c r="A966" s="20"/>
      <c r="B966" s="20"/>
      <c r="C966" s="20"/>
      <c r="D966" s="18" t="str">
        <f>'0信息维护'!A$27</f>
        <v>课程目标3</v>
      </c>
      <c r="E966" s="19">
        <f ca="1">OFFSET('1课程考核方式及成绩组成'!$F$10,(ROW(E966)-5)/7,MOD((ROW(E966)-5),7))</f>
        <v>0</v>
      </c>
      <c r="F966" s="19">
        <f ca="1">OFFSET('1课程考核方式及成绩组成'!$N$10,(ROW(F966)-5)/7,MOD((ROW(F966)-5),7))</f>
        <v>0</v>
      </c>
      <c r="G966" s="19">
        <f ca="1">OFFSET('1课程考核方式及成绩组成'!$V$10,(ROW(G966)-5)/7,MOD((ROW(G966)-5),7))</f>
        <v>0</v>
      </c>
      <c r="H966" s="19">
        <f ca="1">OFFSET('1课程考核方式及成绩组成'!$AD$10,(ROW(H966)-5)/7,MOD((ROW(H966)-5),7))</f>
        <v>0</v>
      </c>
      <c r="I966" s="19">
        <f ca="1">OFFSET('1课程考核方式及成绩组成'!$AL$10,(ROW(I966)-5)/7,MOD((ROW(I966)-5),7))</f>
        <v>19</v>
      </c>
      <c r="J966" s="25">
        <f ca="1">IF('0信息维护'!$I$97=0,0,E966/('0信息维护'!$I$97)*'0信息维护'!$E$37*'0信息维护'!$S$27)+IF('0信息维护'!$I$98=0,0,F966/('0信息维护'!$I$98)*'0信息维护'!$E$37*'0信息维护'!$T$27)+IF('0信息维护'!$I$99=0,0,G966/('0信息维护'!$I$99)*'0信息维护'!$E$37*'0信息维护'!$U$27)+IF('0信息维护'!$I$100=0,0,H966/('0信息维护'!$I$100)*'0信息维护'!$E$37*'0信息维护'!$V$27)+IF('0信息维护'!$I$101=0,0,I966/'0信息维护'!$I$101*'0信息维护'!$I$37)</f>
        <v>0.558823529411765</v>
      </c>
      <c r="K966" s="27"/>
    </row>
    <row r="967" spans="1:11">
      <c r="A967" s="20"/>
      <c r="B967" s="20"/>
      <c r="C967" s="20"/>
      <c r="D967" s="18" t="str">
        <f>'0信息维护'!A$28</f>
        <v>课程目标4</v>
      </c>
      <c r="E967" s="19">
        <f ca="1">OFFSET('1课程考核方式及成绩组成'!$F$10,(ROW(E967)-5)/7,MOD((ROW(E967)-5),7))</f>
        <v>0</v>
      </c>
      <c r="F967" s="19">
        <f ca="1">OFFSET('1课程考核方式及成绩组成'!$N$10,(ROW(F967)-5)/7,MOD((ROW(F967)-5),7))</f>
        <v>83</v>
      </c>
      <c r="G967" s="19">
        <f ca="1">OFFSET('1课程考核方式及成绩组成'!$V$10,(ROW(G967)-5)/7,MOD((ROW(G967)-5),7))</f>
        <v>0</v>
      </c>
      <c r="H967" s="19">
        <f ca="1">OFFSET('1课程考核方式及成绩组成'!$AD$10,(ROW(H967)-5)/7,MOD((ROW(H967)-5),7))</f>
        <v>0</v>
      </c>
      <c r="I967" s="19">
        <f ca="1">OFFSET('1课程考核方式及成绩组成'!$AL$10,(ROW(I967)-5)/7,MOD((ROW(I967)-5),7))</f>
        <v>0</v>
      </c>
      <c r="J967" s="25">
        <f ca="1">IF('0信息维护'!$I$103=0,0,E967/('0信息维护'!$I$103)*'0信息维护'!$E$38*'0信息维护'!$S$28)+IF('0信息维护'!$I$104=0,0,F967/('0信息维护'!$I$104)*'0信息维护'!$E$38*'0信息维护'!$T$28)+IF('0信息维护'!$I$105=0,0,G967/('0信息维护'!$I$105)*'0信息维护'!$E$38*'0信息维护'!$U$28)+IF('0信息维护'!$I$106=0,0,H967/('0信息维护'!$I$106)*'0信息维护'!$E$38*'0信息维护'!$V$28)+IF('0信息维护'!$I$107=0,0,I967/'0信息维护'!$I$107*'0信息维护'!$I$38)</f>
        <v>0.83</v>
      </c>
      <c r="K967" s="27"/>
    </row>
    <row r="968" spans="1:11">
      <c r="A968" s="20"/>
      <c r="B968" s="20"/>
      <c r="C968" s="20"/>
      <c r="D968" s="18" t="str">
        <f>'0信息维护'!A$29</f>
        <v>课程目标5</v>
      </c>
      <c r="E968" s="19">
        <f ca="1">OFFSET('1课程考核方式及成绩组成'!$F$10,(ROW(E968)-5)/7,MOD((ROW(E968)-5),7))</f>
        <v>0</v>
      </c>
      <c r="F968" s="19">
        <f ca="1">OFFSET('1课程考核方式及成绩组成'!$N$10,(ROW(F968)-5)/7,MOD((ROW(F968)-5),7))</f>
        <v>0</v>
      </c>
      <c r="G968" s="19">
        <f ca="1">OFFSET('1课程考核方式及成绩组成'!$V$10,(ROW(G968)-5)/7,MOD((ROW(G968)-5),7))</f>
        <v>0</v>
      </c>
      <c r="H968" s="19">
        <f ca="1">OFFSET('1课程考核方式及成绩组成'!$AD$10,(ROW(H968)-5)/7,MOD((ROW(H968)-5),7))</f>
        <v>0</v>
      </c>
      <c r="I968" s="19">
        <f ca="1">OFFSET('1课程考核方式及成绩组成'!$AL$10,(ROW(I968)-5)/7,MOD((ROW(I968)-5),7))</f>
        <v>0</v>
      </c>
      <c r="J968" s="25">
        <f ca="1">IF('0信息维护'!$I$109=0,0,E968/('0信息维护'!$I$109)*'0信息维护'!$E$39*'0信息维护'!$S$29)+IF('0信息维护'!$I$110=0,0,F968/('0信息维护'!$I$110)*'0信息维护'!$E$39*'0信息维护'!$T$29)+IF('0信息维护'!$I$111=0,0,G968/('0信息维护'!$I$111)*'0信息维护'!$E$39*'0信息维护'!$U$29)+IF('0信息维护'!$I$112=0,0,H968/('0信息维护'!$I$112)*'0信息维护'!$E$39*'0信息维护'!$V$29)+IF('0信息维护'!$I$113=0,0,I968/'0信息维护'!$I$113*'0信息维护'!$I$39)</f>
        <v>0</v>
      </c>
      <c r="K968" s="27"/>
    </row>
    <row r="969" spans="1:11">
      <c r="A969" s="20"/>
      <c r="B969" s="20"/>
      <c r="C969" s="20"/>
      <c r="D969" s="18" t="str">
        <f>'0信息维护'!A$30</f>
        <v>课程目标6</v>
      </c>
      <c r="E969" s="19">
        <f ca="1">OFFSET('1课程考核方式及成绩组成'!$F$10,(ROW(E969)-5)/7,MOD((ROW(E969)-5),7))</f>
        <v>0</v>
      </c>
      <c r="F969" s="19">
        <f ca="1">OFFSET('1课程考核方式及成绩组成'!$N$10,(ROW(F969)-5)/7,MOD((ROW(F969)-5),7))</f>
        <v>0</v>
      </c>
      <c r="G969" s="19">
        <f ca="1">OFFSET('1课程考核方式及成绩组成'!$V$10,(ROW(G969)-5)/7,MOD((ROW(G969)-5),7))</f>
        <v>0</v>
      </c>
      <c r="H969" s="19">
        <f ca="1">OFFSET('1课程考核方式及成绩组成'!$AD$10,(ROW(H969)-5)/7,MOD((ROW(H969)-5),7))</f>
        <v>0</v>
      </c>
      <c r="I969" s="19">
        <f ca="1">OFFSET('1课程考核方式及成绩组成'!$AL$10,(ROW(I969)-5)/7,MOD((ROW(I969)-5),7))</f>
        <v>0</v>
      </c>
      <c r="J969" s="25">
        <f ca="1">IF('0信息维护'!$I$115=0,0,E969/('0信息维护'!$I$115)*'0信息维护'!$E$40*'0信息维护'!$S$30)+IF('0信息维护'!$I$116=0,0,F969/('0信息维护'!$I$116)*'0信息维护'!$E$40*'0信息维护'!$T$30)+IF('0信息维护'!$I$117=0,0,G969/('0信息维护'!$I$117)*'0信息维护'!$E$40*'0信息维护'!$U$30)+IF('0信息维护'!$I$118=0,0,H969/('0信息维护'!$I$118)*'0信息维护'!$E$40*'0信息维护'!$V$30)+IF('0信息维护'!$I$119=0,0,I969/'0信息维护'!$I$119*'0信息维护'!$I$40)</f>
        <v>0</v>
      </c>
      <c r="K969" s="27"/>
    </row>
    <row r="970" spans="1:11">
      <c r="A970" s="21"/>
      <c r="B970" s="21"/>
      <c r="C970" s="21"/>
      <c r="D970" s="18" t="str">
        <f>'0信息维护'!A$31</f>
        <v>课程目标7</v>
      </c>
      <c r="E970" s="19">
        <f ca="1">OFFSET('1课程考核方式及成绩组成'!$F$10,(ROW(E970)-5)/7,MOD((ROW(E970)-5),7))</f>
        <v>0</v>
      </c>
      <c r="F970" s="19">
        <f ca="1">OFFSET('1课程考核方式及成绩组成'!$N$10,(ROW(F970)-5)/7,MOD((ROW(F970)-5),7))</f>
        <v>0</v>
      </c>
      <c r="G970" s="19">
        <f ca="1">OFFSET('1课程考核方式及成绩组成'!$V$10,(ROW(G970)-5)/7,MOD((ROW(G970)-5),7))</f>
        <v>0</v>
      </c>
      <c r="H970" s="19">
        <f ca="1">OFFSET('1课程考核方式及成绩组成'!$AD$10,(ROW(H970)-5)/7,MOD((ROW(H970)-5),7))</f>
        <v>0</v>
      </c>
      <c r="I970" s="19">
        <f ca="1">OFFSET('1课程考核方式及成绩组成'!$AL$10,(ROW(I970)-5)/7,MOD((ROW(I970)-5),7))</f>
        <v>0</v>
      </c>
      <c r="J970" s="25">
        <f ca="1">IF('0信息维护'!$I$121=0,0,E970/('0信息维护'!$I$121)*'0信息维护'!$E$41*'0信息维护'!$S$31)+IF('0信息维护'!$I$122=0,0,F970/('0信息维护'!$I$122)*'0信息维护'!$E$41*'0信息维护'!$T$31)+IF('0信息维护'!$I$123=0,0,G970/('0信息维护'!$I$123)*'0信息维护'!$E$41*'0信息维护'!$U$31)+IF('0信息维护'!$I$124=0,0,H970/('0信息维护'!$I$124)*'0信息维护'!$E$41*'0信息维护'!$T$31)+IF('0信息维护'!$I$125=0,0,I970/'0信息维护'!$I$125*'0信息维护'!$I$41)</f>
        <v>0</v>
      </c>
      <c r="K970" s="30"/>
    </row>
    <row r="971" spans="1:11">
      <c r="A971" s="17">
        <v>139</v>
      </c>
      <c r="B971" s="17" t="str">
        <f ca="1">OFFSET('1课程考核方式及成绩组成'!$D$10,(ROW(B971)-5)/7,)</f>
        <v>220910127</v>
      </c>
      <c r="C971" s="17" t="str">
        <f ca="1">OFFSET('1课程考核方式及成绩组成'!$E$10,(ROW(C971)-5)/7,)</f>
        <v>罗章成</v>
      </c>
      <c r="D971" s="18" t="str">
        <f>'0信息维护'!A$25</f>
        <v>课程目标1</v>
      </c>
      <c r="E971" s="19">
        <f ca="1">OFFSET('1课程考核方式及成绩组成'!$F$10,(ROW(E971)-5)/7,MOD((ROW(E971)-5),7))</f>
        <v>34</v>
      </c>
      <c r="F971" s="19">
        <f ca="1">OFFSET('1课程考核方式及成绩组成'!$N$10,(ROW(F971)-5)/7,MOD((ROW(F971)-5),7))</f>
        <v>0</v>
      </c>
      <c r="G971" s="19">
        <f ca="1">OFFSET('1课程考核方式及成绩组成'!$V$10,(ROW(G971)-5)/7,MOD((ROW(G971)-5),7))</f>
        <v>0</v>
      </c>
      <c r="H971" s="19">
        <f ca="1">OFFSET('1课程考核方式及成绩组成'!$AD$10,(ROW(H971)-5)/7,MOD((ROW(H971)-5),7))</f>
        <v>0</v>
      </c>
      <c r="I971" s="19">
        <f ca="1">OFFSET('1课程考核方式及成绩组成'!$AL$10,(ROW(I971)-5)/7,MOD((ROW(I971)-5),7))</f>
        <v>24</v>
      </c>
      <c r="J971" s="25">
        <f ca="1">IF('0信息维护'!$I$85=0,0,E971/('0信息维护'!$I$85)*'0信息维护'!$E$35*'0信息维护'!$S$25)+IF('0信息维护'!$I$86=0,0,F971/('0信息维护'!$I$86)*'0信息维护'!$E$35*'0信息维护'!$T$25)+IF('0信息维护'!$I$87=0,0,G971/('0信息维护'!$I$87)*'0信息维护'!$E$35*'0信息维护'!$U$25)+IF('0信息维护'!$I$88=0,0,H971/('0信息维护'!$I$88)*'0信息维护'!$E$35*'0信息维护'!$V$25)+IF('0信息维护'!$I$89=0,0,I971/'0信息维护'!$I$89*'0信息维护'!$I$35)</f>
        <v>0.758333333333333</v>
      </c>
      <c r="K971" s="26">
        <f ca="1">J971*'0信息维护'!$D$132+J972*'0信息维护'!$D$133+J973*'0信息维护'!$D$134+J974*'0信息维护'!$D$135+J975*'0信息维护'!$D$136+J976*'0信息维护'!$D$137+J977*'0信息维护'!$D$138</f>
        <v>0.673191176470588</v>
      </c>
    </row>
    <row r="972" spans="1:14">
      <c r="A972" s="20"/>
      <c r="B972" s="20"/>
      <c r="C972" s="20"/>
      <c r="D972" s="18" t="str">
        <f>'0信息维护'!A$26</f>
        <v>课程目标2</v>
      </c>
      <c r="E972" s="19">
        <f ca="1">OFFSET('1课程考核方式及成绩组成'!$F$10,(ROW(E972)-5)/7,MOD((ROW(E972)-5),7))</f>
        <v>51</v>
      </c>
      <c r="F972" s="19">
        <f ca="1">OFFSET('1课程考核方式及成绩组成'!$N$10,(ROW(F972)-5)/7,MOD((ROW(F972)-5),7))</f>
        <v>0</v>
      </c>
      <c r="G972" s="19">
        <f ca="1">OFFSET('1课程考核方式及成绩组成'!$V$10,(ROW(G972)-5)/7,MOD((ROW(G972)-5),7))</f>
        <v>0</v>
      </c>
      <c r="H972" s="19">
        <f ca="1">OFFSET('1课程考核方式及成绩组成'!$AD$10,(ROW(H972)-5)/7,MOD((ROW(H972)-5),7))</f>
        <v>0</v>
      </c>
      <c r="I972" s="19">
        <f ca="1">OFFSET('1课程考核方式及成绩组成'!$AL$10,(ROW(I972)-5)/7,MOD((ROW(I972)-5),7))</f>
        <v>16</v>
      </c>
      <c r="J972" s="25">
        <f ca="1">IF('0信息维护'!$I$91=0,0,E972/('0信息维护'!$I$91)*'0信息维护'!$S$26*'0信息维护'!$E$36)+IF('0信息维护'!$I$92=0,0,F972/('0信息维护'!$I$92)*'0信息维护'!$T$26*'0信息维护'!$E$36)+IF('0信息维护'!$I$93=0,0,G972/('0信息维护'!$I$93)*'0信息维护'!$U$26*'0信息维护'!$E$36)+IF('0信息维护'!$I$94=0,0,H972/('0信息维护'!$I$94)*'0信息维护'!$V$26*'0信息维护'!$E$36)+IF('0信息维护'!$I$95=0,0,I972/'0信息维护'!$I$95*'0信息维护'!$I$36)</f>
        <v>0.691666666666667</v>
      </c>
      <c r="K972" s="27"/>
      <c r="N972" s="29"/>
    </row>
    <row r="973" spans="1:11">
      <c r="A973" s="20"/>
      <c r="B973" s="20"/>
      <c r="C973" s="20"/>
      <c r="D973" s="18" t="str">
        <f>'0信息维护'!A$27</f>
        <v>课程目标3</v>
      </c>
      <c r="E973" s="19">
        <f ca="1">OFFSET('1课程考核方式及成绩组成'!$F$10,(ROW(E973)-5)/7,MOD((ROW(E973)-5),7))</f>
        <v>0</v>
      </c>
      <c r="F973" s="19">
        <f ca="1">OFFSET('1课程考核方式及成绩组成'!$N$10,(ROW(F973)-5)/7,MOD((ROW(F973)-5),7))</f>
        <v>0</v>
      </c>
      <c r="G973" s="19">
        <f ca="1">OFFSET('1课程考核方式及成绩组成'!$V$10,(ROW(G973)-5)/7,MOD((ROW(G973)-5),7))</f>
        <v>0</v>
      </c>
      <c r="H973" s="19">
        <f ca="1">OFFSET('1课程考核方式及成绩组成'!$AD$10,(ROW(H973)-5)/7,MOD((ROW(H973)-5),7))</f>
        <v>0</v>
      </c>
      <c r="I973" s="19">
        <f ca="1">OFFSET('1课程考核方式及成绩组成'!$AL$10,(ROW(I973)-5)/7,MOD((ROW(I973)-5),7))</f>
        <v>14</v>
      </c>
      <c r="J973" s="25">
        <f ca="1">IF('0信息维护'!$I$97=0,0,E973/('0信息维护'!$I$97)*'0信息维护'!$E$37*'0信息维护'!$S$27)+IF('0信息维护'!$I$98=0,0,F973/('0信息维护'!$I$98)*'0信息维护'!$E$37*'0信息维护'!$T$27)+IF('0信息维护'!$I$99=0,0,G973/('0信息维护'!$I$99)*'0信息维护'!$E$37*'0信息维护'!$U$27)+IF('0信息维护'!$I$100=0,0,H973/('0信息维护'!$I$100)*'0信息维护'!$E$37*'0信息维护'!$V$27)+IF('0信息维护'!$I$101=0,0,I973/'0信息维护'!$I$101*'0信息维护'!$I$37)</f>
        <v>0.411764705882353</v>
      </c>
      <c r="K973" s="27"/>
    </row>
    <row r="974" spans="1:11">
      <c r="A974" s="20"/>
      <c r="B974" s="20"/>
      <c r="C974" s="20"/>
      <c r="D974" s="18" t="str">
        <f>'0信息维护'!A$28</f>
        <v>课程目标4</v>
      </c>
      <c r="E974" s="19">
        <f ca="1">OFFSET('1课程考核方式及成绩组成'!$F$10,(ROW(E974)-5)/7,MOD((ROW(E974)-5),7))</f>
        <v>0</v>
      </c>
      <c r="F974" s="19">
        <f ca="1">OFFSET('1课程考核方式及成绩组成'!$N$10,(ROW(F974)-5)/7,MOD((ROW(F974)-5),7))</f>
        <v>83</v>
      </c>
      <c r="G974" s="19">
        <f ca="1">OFFSET('1课程考核方式及成绩组成'!$V$10,(ROW(G974)-5)/7,MOD((ROW(G974)-5),7))</f>
        <v>0</v>
      </c>
      <c r="H974" s="19">
        <f ca="1">OFFSET('1课程考核方式及成绩组成'!$AD$10,(ROW(H974)-5)/7,MOD((ROW(H974)-5),7))</f>
        <v>0</v>
      </c>
      <c r="I974" s="19">
        <f ca="1">OFFSET('1课程考核方式及成绩组成'!$AL$10,(ROW(I974)-5)/7,MOD((ROW(I974)-5),7))</f>
        <v>0</v>
      </c>
      <c r="J974" s="25">
        <f ca="1">IF('0信息维护'!$I$103=0,0,E974/('0信息维护'!$I$103)*'0信息维护'!$E$38*'0信息维护'!$S$28)+IF('0信息维护'!$I$104=0,0,F974/('0信息维护'!$I$104)*'0信息维护'!$E$38*'0信息维护'!$T$28)+IF('0信息维护'!$I$105=0,0,G974/('0信息维护'!$I$105)*'0信息维护'!$E$38*'0信息维护'!$U$28)+IF('0信息维护'!$I$106=0,0,H974/('0信息维护'!$I$106)*'0信息维护'!$E$38*'0信息维护'!$V$28)+IF('0信息维护'!$I$107=0,0,I974/'0信息维护'!$I$107*'0信息维护'!$I$38)</f>
        <v>0.83</v>
      </c>
      <c r="K974" s="27"/>
    </row>
    <row r="975" spans="1:11">
      <c r="A975" s="20"/>
      <c r="B975" s="20"/>
      <c r="C975" s="20"/>
      <c r="D975" s="18" t="str">
        <f>'0信息维护'!A$29</f>
        <v>课程目标5</v>
      </c>
      <c r="E975" s="19">
        <f ca="1">OFFSET('1课程考核方式及成绩组成'!$F$10,(ROW(E975)-5)/7,MOD((ROW(E975)-5),7))</f>
        <v>0</v>
      </c>
      <c r="F975" s="19">
        <f ca="1">OFFSET('1课程考核方式及成绩组成'!$N$10,(ROW(F975)-5)/7,MOD((ROW(F975)-5),7))</f>
        <v>0</v>
      </c>
      <c r="G975" s="19">
        <f ca="1">OFFSET('1课程考核方式及成绩组成'!$V$10,(ROW(G975)-5)/7,MOD((ROW(G975)-5),7))</f>
        <v>0</v>
      </c>
      <c r="H975" s="19">
        <f ca="1">OFFSET('1课程考核方式及成绩组成'!$AD$10,(ROW(H975)-5)/7,MOD((ROW(H975)-5),7))</f>
        <v>0</v>
      </c>
      <c r="I975" s="19">
        <f ca="1">OFFSET('1课程考核方式及成绩组成'!$AL$10,(ROW(I975)-5)/7,MOD((ROW(I975)-5),7))</f>
        <v>0</v>
      </c>
      <c r="J975" s="25">
        <f ca="1">IF('0信息维护'!$I$109=0,0,E975/('0信息维护'!$I$109)*'0信息维护'!$E$39*'0信息维护'!$S$29)+IF('0信息维护'!$I$110=0,0,F975/('0信息维护'!$I$110)*'0信息维护'!$E$39*'0信息维护'!$T$29)+IF('0信息维护'!$I$111=0,0,G975/('0信息维护'!$I$111)*'0信息维护'!$E$39*'0信息维护'!$U$29)+IF('0信息维护'!$I$112=0,0,H975/('0信息维护'!$I$112)*'0信息维护'!$E$39*'0信息维护'!$V$29)+IF('0信息维护'!$I$113=0,0,I975/'0信息维护'!$I$113*'0信息维护'!$I$39)</f>
        <v>0</v>
      </c>
      <c r="K975" s="27"/>
    </row>
    <row r="976" spans="1:11">
      <c r="A976" s="20"/>
      <c r="B976" s="20"/>
      <c r="C976" s="20"/>
      <c r="D976" s="18" t="str">
        <f>'0信息维护'!A$30</f>
        <v>课程目标6</v>
      </c>
      <c r="E976" s="19">
        <f ca="1">OFFSET('1课程考核方式及成绩组成'!$F$10,(ROW(E976)-5)/7,MOD((ROW(E976)-5),7))</f>
        <v>0</v>
      </c>
      <c r="F976" s="19">
        <f ca="1">OFFSET('1课程考核方式及成绩组成'!$N$10,(ROW(F976)-5)/7,MOD((ROW(F976)-5),7))</f>
        <v>0</v>
      </c>
      <c r="G976" s="19">
        <f ca="1">OFFSET('1课程考核方式及成绩组成'!$V$10,(ROW(G976)-5)/7,MOD((ROW(G976)-5),7))</f>
        <v>0</v>
      </c>
      <c r="H976" s="19">
        <f ca="1">OFFSET('1课程考核方式及成绩组成'!$AD$10,(ROW(H976)-5)/7,MOD((ROW(H976)-5),7))</f>
        <v>0</v>
      </c>
      <c r="I976" s="19">
        <f ca="1">OFFSET('1课程考核方式及成绩组成'!$AL$10,(ROW(I976)-5)/7,MOD((ROW(I976)-5),7))</f>
        <v>0</v>
      </c>
      <c r="J976" s="25">
        <f ca="1">IF('0信息维护'!$I$115=0,0,E976/('0信息维护'!$I$115)*'0信息维护'!$E$40*'0信息维护'!$S$30)+IF('0信息维护'!$I$116=0,0,F976/('0信息维护'!$I$116)*'0信息维护'!$E$40*'0信息维护'!$T$30)+IF('0信息维护'!$I$117=0,0,G976/('0信息维护'!$I$117)*'0信息维护'!$E$40*'0信息维护'!$U$30)+IF('0信息维护'!$I$118=0,0,H976/('0信息维护'!$I$118)*'0信息维护'!$E$40*'0信息维护'!$V$30)+IF('0信息维护'!$I$119=0,0,I976/'0信息维护'!$I$119*'0信息维护'!$I$40)</f>
        <v>0</v>
      </c>
      <c r="K976" s="27"/>
    </row>
    <row r="977" spans="1:11">
      <c r="A977" s="21"/>
      <c r="B977" s="21"/>
      <c r="C977" s="21"/>
      <c r="D977" s="18" t="str">
        <f>'0信息维护'!A$31</f>
        <v>课程目标7</v>
      </c>
      <c r="E977" s="19">
        <f ca="1">OFFSET('1课程考核方式及成绩组成'!$F$10,(ROW(E977)-5)/7,MOD((ROW(E977)-5),7))</f>
        <v>0</v>
      </c>
      <c r="F977" s="19">
        <f ca="1">OFFSET('1课程考核方式及成绩组成'!$N$10,(ROW(F977)-5)/7,MOD((ROW(F977)-5),7))</f>
        <v>0</v>
      </c>
      <c r="G977" s="19">
        <f ca="1">OFFSET('1课程考核方式及成绩组成'!$V$10,(ROW(G977)-5)/7,MOD((ROW(G977)-5),7))</f>
        <v>0</v>
      </c>
      <c r="H977" s="19">
        <f ca="1">OFFSET('1课程考核方式及成绩组成'!$AD$10,(ROW(H977)-5)/7,MOD((ROW(H977)-5),7))</f>
        <v>0</v>
      </c>
      <c r="I977" s="19">
        <f ca="1">OFFSET('1课程考核方式及成绩组成'!$AL$10,(ROW(I977)-5)/7,MOD((ROW(I977)-5),7))</f>
        <v>0</v>
      </c>
      <c r="J977" s="25">
        <f ca="1">IF('0信息维护'!$I$121=0,0,E977/('0信息维护'!$I$121)*'0信息维护'!$E$41*'0信息维护'!$S$31)+IF('0信息维护'!$I$122=0,0,F977/('0信息维护'!$I$122)*'0信息维护'!$E$41*'0信息维护'!$T$31)+IF('0信息维护'!$I$123=0,0,G977/('0信息维护'!$I$123)*'0信息维护'!$E$41*'0信息维护'!$U$31)+IF('0信息维护'!$I$124=0,0,H977/('0信息维护'!$I$124)*'0信息维护'!$E$41*'0信息维护'!$T$31)+IF('0信息维护'!$I$125=0,0,I977/'0信息维护'!$I$125*'0信息维护'!$I$41)</f>
        <v>0</v>
      </c>
      <c r="K977" s="30"/>
    </row>
    <row r="978" spans="1:11">
      <c r="A978" s="17">
        <v>140</v>
      </c>
      <c r="B978" s="17" t="str">
        <f ca="1">OFFSET('1课程考核方式及成绩组成'!$D$10,(ROW(B978)-5)/7,)</f>
        <v>220910131</v>
      </c>
      <c r="C978" s="17" t="str">
        <f ca="1">OFFSET('1课程考核方式及成绩组成'!$E$10,(ROW(C978)-5)/7,)</f>
        <v>唐晓晴</v>
      </c>
      <c r="D978" s="18" t="str">
        <f>'0信息维护'!A$25</f>
        <v>课程目标1</v>
      </c>
      <c r="E978" s="19">
        <f ca="1">OFFSET('1课程考核方式及成绩组成'!$F$10,(ROW(E978)-5)/7,MOD((ROW(E978)-5),7))</f>
        <v>34</v>
      </c>
      <c r="F978" s="19">
        <f ca="1">OFFSET('1课程考核方式及成绩组成'!$N$10,(ROW(F978)-5)/7,MOD((ROW(F978)-5),7))</f>
        <v>0</v>
      </c>
      <c r="G978" s="19">
        <f ca="1">OFFSET('1课程考核方式及成绩组成'!$V$10,(ROW(G978)-5)/7,MOD((ROW(G978)-5),7))</f>
        <v>0</v>
      </c>
      <c r="H978" s="19">
        <f ca="1">OFFSET('1课程考核方式及成绩组成'!$AD$10,(ROW(H978)-5)/7,MOD((ROW(H978)-5),7))</f>
        <v>0</v>
      </c>
      <c r="I978" s="19">
        <f ca="1">OFFSET('1课程考核方式及成绩组成'!$AL$10,(ROW(I978)-5)/7,MOD((ROW(I978)-5),7))</f>
        <v>23</v>
      </c>
      <c r="J978" s="25">
        <f ca="1">IF('0信息维护'!$I$85=0,0,E978/('0信息维护'!$I$85)*'0信息维护'!$E$35*'0信息维护'!$S$25)+IF('0信息维护'!$I$86=0,0,F978/('0信息维护'!$I$86)*'0信息维护'!$E$35*'0信息维护'!$T$25)+IF('0信息维护'!$I$87=0,0,G978/('0信息维护'!$I$87)*'0信息维护'!$E$35*'0信息维护'!$U$25)+IF('0信息维护'!$I$88=0,0,H978/('0信息维护'!$I$88)*'0信息维护'!$E$35*'0信息维护'!$V$25)+IF('0信息维护'!$I$89=0,0,I978/'0信息维护'!$I$89*'0信息维护'!$I$35)</f>
        <v>0.744444444444444</v>
      </c>
      <c r="K978" s="26">
        <f ca="1">J978*'0信息维护'!$D$132+J979*'0信息维护'!$D$133+J980*'0信息维护'!$D$134+J981*'0信息维护'!$D$135+J982*'0信息维护'!$D$136+J983*'0信息维护'!$D$137+J984*'0信息维护'!$D$138</f>
        <v>0.665754901960784</v>
      </c>
    </row>
    <row r="979" spans="1:14">
      <c r="A979" s="20"/>
      <c r="B979" s="20"/>
      <c r="C979" s="20"/>
      <c r="D979" s="18" t="str">
        <f>'0信息维护'!A$26</f>
        <v>课程目标2</v>
      </c>
      <c r="E979" s="19">
        <f ca="1">OFFSET('1课程考核方式及成绩组成'!$F$10,(ROW(E979)-5)/7,MOD((ROW(E979)-5),7))</f>
        <v>51</v>
      </c>
      <c r="F979" s="19">
        <f ca="1">OFFSET('1课程考核方式及成绩组成'!$N$10,(ROW(F979)-5)/7,MOD((ROW(F979)-5),7))</f>
        <v>0</v>
      </c>
      <c r="G979" s="19">
        <f ca="1">OFFSET('1课程考核方式及成绩组成'!$V$10,(ROW(G979)-5)/7,MOD((ROW(G979)-5),7))</f>
        <v>0</v>
      </c>
      <c r="H979" s="19">
        <f ca="1">OFFSET('1课程考核方式及成绩组成'!$AD$10,(ROW(H979)-5)/7,MOD((ROW(H979)-5),7))</f>
        <v>0</v>
      </c>
      <c r="I979" s="19">
        <f ca="1">OFFSET('1课程考核方式及成绩组成'!$AL$10,(ROW(I979)-5)/7,MOD((ROW(I979)-5),7))</f>
        <v>17</v>
      </c>
      <c r="J979" s="25">
        <f ca="1">IF('0信息维护'!$I$91=0,0,E979/('0信息维护'!$I$91)*'0信息维护'!$S$26*'0信息维护'!$E$36)+IF('0信息维护'!$I$92=0,0,F979/('0信息维护'!$I$92)*'0信息维护'!$T$26*'0信息维护'!$E$36)+IF('0信息维护'!$I$93=0,0,G979/('0信息维护'!$I$93)*'0信息维护'!$U$26*'0信息维护'!$E$36)+IF('0信息维护'!$I$94=0,0,H979/('0信息维护'!$I$94)*'0信息维护'!$V$26*'0信息维护'!$E$36)+IF('0信息维护'!$I$95=0,0,I979/'0信息维护'!$I$95*'0信息维护'!$I$36)</f>
        <v>0.708333333333333</v>
      </c>
      <c r="K979" s="27"/>
      <c r="N979" s="29"/>
    </row>
    <row r="980" spans="1:11">
      <c r="A980" s="20"/>
      <c r="B980" s="20"/>
      <c r="C980" s="20"/>
      <c r="D980" s="18" t="str">
        <f>'0信息维护'!A$27</f>
        <v>课程目标3</v>
      </c>
      <c r="E980" s="19">
        <f ca="1">OFFSET('1课程考核方式及成绩组成'!$F$10,(ROW(E980)-5)/7,MOD((ROW(E980)-5),7))</f>
        <v>0</v>
      </c>
      <c r="F980" s="19">
        <f ca="1">OFFSET('1课程考核方式及成绩组成'!$N$10,(ROW(F980)-5)/7,MOD((ROW(F980)-5),7))</f>
        <v>0</v>
      </c>
      <c r="G980" s="19">
        <f ca="1">OFFSET('1课程考核方式及成绩组成'!$V$10,(ROW(G980)-5)/7,MOD((ROW(G980)-5),7))</f>
        <v>0</v>
      </c>
      <c r="H980" s="19">
        <f ca="1">OFFSET('1课程考核方式及成绩组成'!$AD$10,(ROW(H980)-5)/7,MOD((ROW(H980)-5),7))</f>
        <v>0</v>
      </c>
      <c r="I980" s="19">
        <f ca="1">OFFSET('1课程考核方式及成绩组成'!$AL$10,(ROW(I980)-5)/7,MOD((ROW(I980)-5),7))</f>
        <v>13</v>
      </c>
      <c r="J980" s="25">
        <f ca="1">IF('0信息维护'!$I$97=0,0,E980/('0信息维护'!$I$97)*'0信息维护'!$E$37*'0信息维护'!$S$27)+IF('0信息维护'!$I$98=0,0,F980/('0信息维护'!$I$98)*'0信息维护'!$E$37*'0信息维护'!$T$27)+IF('0信息维护'!$I$99=0,0,G980/('0信息维护'!$I$99)*'0信息维护'!$E$37*'0信息维护'!$U$27)+IF('0信息维护'!$I$100=0,0,H980/('0信息维护'!$I$100)*'0信息维护'!$E$37*'0信息维护'!$V$27)+IF('0信息维护'!$I$101=0,0,I980/'0信息维护'!$I$101*'0信息维护'!$I$37)</f>
        <v>0.382352941176471</v>
      </c>
      <c r="K980" s="27"/>
    </row>
    <row r="981" spans="1:11">
      <c r="A981" s="20"/>
      <c r="B981" s="20"/>
      <c r="C981" s="20"/>
      <c r="D981" s="18" t="str">
        <f>'0信息维护'!A$28</f>
        <v>课程目标4</v>
      </c>
      <c r="E981" s="19">
        <f ca="1">OFFSET('1课程考核方式及成绩组成'!$F$10,(ROW(E981)-5)/7,MOD((ROW(E981)-5),7))</f>
        <v>0</v>
      </c>
      <c r="F981" s="19">
        <f ca="1">OFFSET('1课程考核方式及成绩组成'!$N$10,(ROW(F981)-5)/7,MOD((ROW(F981)-5),7))</f>
        <v>82</v>
      </c>
      <c r="G981" s="19">
        <f ca="1">OFFSET('1课程考核方式及成绩组成'!$V$10,(ROW(G981)-5)/7,MOD((ROW(G981)-5),7))</f>
        <v>0</v>
      </c>
      <c r="H981" s="19">
        <f ca="1">OFFSET('1课程考核方式及成绩组成'!$AD$10,(ROW(H981)-5)/7,MOD((ROW(H981)-5),7))</f>
        <v>0</v>
      </c>
      <c r="I981" s="19">
        <f ca="1">OFFSET('1课程考核方式及成绩组成'!$AL$10,(ROW(I981)-5)/7,MOD((ROW(I981)-5),7))</f>
        <v>0</v>
      </c>
      <c r="J981" s="25">
        <f ca="1">IF('0信息维护'!$I$103=0,0,E981/('0信息维护'!$I$103)*'0信息维护'!$E$38*'0信息维护'!$S$28)+IF('0信息维护'!$I$104=0,0,F981/('0信息维护'!$I$104)*'0信息维护'!$E$38*'0信息维护'!$T$28)+IF('0信息维护'!$I$105=0,0,G981/('0信息维护'!$I$105)*'0信息维护'!$E$38*'0信息维护'!$U$28)+IF('0信息维护'!$I$106=0,0,H981/('0信息维护'!$I$106)*'0信息维护'!$E$38*'0信息维护'!$V$28)+IF('0信息维护'!$I$107=0,0,I981/'0信息维护'!$I$107*'0信息维护'!$I$38)</f>
        <v>0.82</v>
      </c>
      <c r="K981" s="27"/>
    </row>
    <row r="982" spans="1:11">
      <c r="A982" s="20"/>
      <c r="B982" s="20"/>
      <c r="C982" s="20"/>
      <c r="D982" s="18" t="str">
        <f>'0信息维护'!A$29</f>
        <v>课程目标5</v>
      </c>
      <c r="E982" s="19">
        <f ca="1">OFFSET('1课程考核方式及成绩组成'!$F$10,(ROW(E982)-5)/7,MOD((ROW(E982)-5),7))</f>
        <v>0</v>
      </c>
      <c r="F982" s="19">
        <f ca="1">OFFSET('1课程考核方式及成绩组成'!$N$10,(ROW(F982)-5)/7,MOD((ROW(F982)-5),7))</f>
        <v>0</v>
      </c>
      <c r="G982" s="19">
        <f ca="1">OFFSET('1课程考核方式及成绩组成'!$V$10,(ROW(G982)-5)/7,MOD((ROW(G982)-5),7))</f>
        <v>0</v>
      </c>
      <c r="H982" s="19">
        <f ca="1">OFFSET('1课程考核方式及成绩组成'!$AD$10,(ROW(H982)-5)/7,MOD((ROW(H982)-5),7))</f>
        <v>0</v>
      </c>
      <c r="I982" s="19">
        <f ca="1">OFFSET('1课程考核方式及成绩组成'!$AL$10,(ROW(I982)-5)/7,MOD((ROW(I982)-5),7))</f>
        <v>0</v>
      </c>
      <c r="J982" s="25">
        <f ca="1">IF('0信息维护'!$I$109=0,0,E982/('0信息维护'!$I$109)*'0信息维护'!$E$39*'0信息维护'!$S$29)+IF('0信息维护'!$I$110=0,0,F982/('0信息维护'!$I$110)*'0信息维护'!$E$39*'0信息维护'!$T$29)+IF('0信息维护'!$I$111=0,0,G982/('0信息维护'!$I$111)*'0信息维护'!$E$39*'0信息维护'!$U$29)+IF('0信息维护'!$I$112=0,0,H982/('0信息维护'!$I$112)*'0信息维护'!$E$39*'0信息维护'!$V$29)+IF('0信息维护'!$I$113=0,0,I982/'0信息维护'!$I$113*'0信息维护'!$I$39)</f>
        <v>0</v>
      </c>
      <c r="K982" s="27"/>
    </row>
    <row r="983" spans="1:11">
      <c r="A983" s="20"/>
      <c r="B983" s="20"/>
      <c r="C983" s="20"/>
      <c r="D983" s="18" t="str">
        <f>'0信息维护'!A$30</f>
        <v>课程目标6</v>
      </c>
      <c r="E983" s="19">
        <f ca="1">OFFSET('1课程考核方式及成绩组成'!$F$10,(ROW(E983)-5)/7,MOD((ROW(E983)-5),7))</f>
        <v>0</v>
      </c>
      <c r="F983" s="19">
        <f ca="1">OFFSET('1课程考核方式及成绩组成'!$N$10,(ROW(F983)-5)/7,MOD((ROW(F983)-5),7))</f>
        <v>0</v>
      </c>
      <c r="G983" s="19">
        <f ca="1">OFFSET('1课程考核方式及成绩组成'!$V$10,(ROW(G983)-5)/7,MOD((ROW(G983)-5),7))</f>
        <v>0</v>
      </c>
      <c r="H983" s="19">
        <f ca="1">OFFSET('1课程考核方式及成绩组成'!$AD$10,(ROW(H983)-5)/7,MOD((ROW(H983)-5),7))</f>
        <v>0</v>
      </c>
      <c r="I983" s="19">
        <f ca="1">OFFSET('1课程考核方式及成绩组成'!$AL$10,(ROW(I983)-5)/7,MOD((ROW(I983)-5),7))</f>
        <v>0</v>
      </c>
      <c r="J983" s="25">
        <f ca="1">IF('0信息维护'!$I$115=0,0,E983/('0信息维护'!$I$115)*'0信息维护'!$E$40*'0信息维护'!$S$30)+IF('0信息维护'!$I$116=0,0,F983/('0信息维护'!$I$116)*'0信息维护'!$E$40*'0信息维护'!$T$30)+IF('0信息维护'!$I$117=0,0,G983/('0信息维护'!$I$117)*'0信息维护'!$E$40*'0信息维护'!$U$30)+IF('0信息维护'!$I$118=0,0,H983/('0信息维护'!$I$118)*'0信息维护'!$E$40*'0信息维护'!$V$30)+IF('0信息维护'!$I$119=0,0,I983/'0信息维护'!$I$119*'0信息维护'!$I$40)</f>
        <v>0</v>
      </c>
      <c r="K983" s="27"/>
    </row>
    <row r="984" spans="1:11">
      <c r="A984" s="21"/>
      <c r="B984" s="21"/>
      <c r="C984" s="21"/>
      <c r="D984" s="18" t="str">
        <f>'0信息维护'!A$31</f>
        <v>课程目标7</v>
      </c>
      <c r="E984" s="19">
        <f ca="1">OFFSET('1课程考核方式及成绩组成'!$F$10,(ROW(E984)-5)/7,MOD((ROW(E984)-5),7))</f>
        <v>0</v>
      </c>
      <c r="F984" s="19">
        <f ca="1">OFFSET('1课程考核方式及成绩组成'!$N$10,(ROW(F984)-5)/7,MOD((ROW(F984)-5),7))</f>
        <v>0</v>
      </c>
      <c r="G984" s="19">
        <f ca="1">OFFSET('1课程考核方式及成绩组成'!$V$10,(ROW(G984)-5)/7,MOD((ROW(G984)-5),7))</f>
        <v>0</v>
      </c>
      <c r="H984" s="19">
        <f ca="1">OFFSET('1课程考核方式及成绩组成'!$AD$10,(ROW(H984)-5)/7,MOD((ROW(H984)-5),7))</f>
        <v>0</v>
      </c>
      <c r="I984" s="19">
        <f ca="1">OFFSET('1课程考核方式及成绩组成'!$AL$10,(ROW(I984)-5)/7,MOD((ROW(I984)-5),7))</f>
        <v>0</v>
      </c>
      <c r="J984" s="25">
        <f ca="1">IF('0信息维护'!$I$121=0,0,E984/('0信息维护'!$I$121)*'0信息维护'!$E$41*'0信息维护'!$S$31)+IF('0信息维护'!$I$122=0,0,F984/('0信息维护'!$I$122)*'0信息维护'!$E$41*'0信息维护'!$T$31)+IF('0信息维护'!$I$123=0,0,G984/('0信息维护'!$I$123)*'0信息维护'!$E$41*'0信息维护'!$U$31)+IF('0信息维护'!$I$124=0,0,H984/('0信息维护'!$I$124)*'0信息维护'!$E$41*'0信息维护'!$T$31)+IF('0信息维护'!$I$125=0,0,I984/'0信息维护'!$I$125*'0信息维护'!$I$41)</f>
        <v>0</v>
      </c>
      <c r="K984" s="30"/>
    </row>
    <row r="985" spans="1:11">
      <c r="A985" s="17">
        <v>141</v>
      </c>
      <c r="B985" s="17" t="str">
        <f ca="1">OFFSET('1课程考核方式及成绩组成'!$D$10,(ROW(B985)-5)/7,)</f>
        <v>221307136</v>
      </c>
      <c r="C985" s="17" t="str">
        <f ca="1">OFFSET('1课程考核方式及成绩组成'!$E$10,(ROW(C985)-5)/7,)</f>
        <v>肖杰文</v>
      </c>
      <c r="D985" s="18" t="str">
        <f>'0信息维护'!A$25</f>
        <v>课程目标1</v>
      </c>
      <c r="E985" s="19">
        <f ca="1">OFFSET('1课程考核方式及成绩组成'!$F$10,(ROW(E985)-5)/7,MOD((ROW(E985)-5),7))</f>
        <v>34</v>
      </c>
      <c r="F985" s="19">
        <f ca="1">OFFSET('1课程考核方式及成绩组成'!$N$10,(ROW(F985)-5)/7,MOD((ROW(F985)-5),7))</f>
        <v>0</v>
      </c>
      <c r="G985" s="19">
        <f ca="1">OFFSET('1课程考核方式及成绩组成'!$V$10,(ROW(G985)-5)/7,MOD((ROW(G985)-5),7))</f>
        <v>0</v>
      </c>
      <c r="H985" s="19">
        <f ca="1">OFFSET('1课程考核方式及成绩组成'!$AD$10,(ROW(H985)-5)/7,MOD((ROW(H985)-5),7))</f>
        <v>0</v>
      </c>
      <c r="I985" s="19">
        <f ca="1">OFFSET('1课程考核方式及成绩组成'!$AL$10,(ROW(I985)-5)/7,MOD((ROW(I985)-5),7))</f>
        <v>24</v>
      </c>
      <c r="J985" s="25">
        <f ca="1">IF('0信息维护'!$I$85=0,0,E985/('0信息维护'!$I$85)*'0信息维护'!$E$35*'0信息维护'!$S$25)+IF('0信息维护'!$I$86=0,0,F985/('0信息维护'!$I$86)*'0信息维护'!$E$35*'0信息维护'!$T$25)+IF('0信息维护'!$I$87=0,0,G985/('0信息维护'!$I$87)*'0信息维护'!$E$35*'0信息维护'!$U$25)+IF('0信息维护'!$I$88=0,0,H985/('0信息维护'!$I$88)*'0信息维护'!$E$35*'0信息维护'!$V$25)+IF('0信息维护'!$I$89=0,0,I985/'0信息维护'!$I$89*'0信息维护'!$I$35)</f>
        <v>0.758333333333333</v>
      </c>
      <c r="K985" s="26">
        <f ca="1">J985*'0信息维护'!$D$132+J986*'0信息维护'!$D$133+J987*'0信息维护'!$D$134+J988*'0信息维护'!$D$135+J989*'0信息维护'!$D$136+J990*'0信息维护'!$D$137+J991*'0信息维护'!$D$138</f>
        <v>0.751661764705882</v>
      </c>
    </row>
    <row r="986" spans="1:14">
      <c r="A986" s="20"/>
      <c r="B986" s="20"/>
      <c r="C986" s="20"/>
      <c r="D986" s="18" t="str">
        <f>'0信息维护'!A$26</f>
        <v>课程目标2</v>
      </c>
      <c r="E986" s="19">
        <f ca="1">OFFSET('1课程考核方式及成绩组成'!$F$10,(ROW(E986)-5)/7,MOD((ROW(E986)-5),7))</f>
        <v>51</v>
      </c>
      <c r="F986" s="19">
        <f ca="1">OFFSET('1课程考核方式及成绩组成'!$N$10,(ROW(F986)-5)/7,MOD((ROW(F986)-5),7))</f>
        <v>0</v>
      </c>
      <c r="G986" s="19">
        <f ca="1">OFFSET('1课程考核方式及成绩组成'!$V$10,(ROW(G986)-5)/7,MOD((ROW(G986)-5),7))</f>
        <v>0</v>
      </c>
      <c r="H986" s="19">
        <f ca="1">OFFSET('1课程考核方式及成绩组成'!$AD$10,(ROW(H986)-5)/7,MOD((ROW(H986)-5),7))</f>
        <v>0</v>
      </c>
      <c r="I986" s="19">
        <f ca="1">OFFSET('1课程考核方式及成绩组成'!$AL$10,(ROW(I986)-5)/7,MOD((ROW(I986)-5),7))</f>
        <v>22</v>
      </c>
      <c r="J986" s="25">
        <f ca="1">IF('0信息维护'!$I$91=0,0,E986/('0信息维护'!$I$91)*'0信息维护'!$S$26*'0信息维护'!$E$36)+IF('0信息维护'!$I$92=0,0,F986/('0信息维护'!$I$92)*'0信息维护'!$T$26*'0信息维护'!$E$36)+IF('0信息维护'!$I$93=0,0,G986/('0信息维护'!$I$93)*'0信息维护'!$U$26*'0信息维护'!$E$36)+IF('0信息维护'!$I$94=0,0,H986/('0信息维护'!$I$94)*'0信息维护'!$V$26*'0信息维护'!$E$36)+IF('0信息维护'!$I$95=0,0,I986/'0信息维护'!$I$95*'0信息维护'!$I$36)</f>
        <v>0.791666666666667</v>
      </c>
      <c r="K986" s="27"/>
      <c r="N986" s="29"/>
    </row>
    <row r="987" spans="1:11">
      <c r="A987" s="20"/>
      <c r="B987" s="20"/>
      <c r="C987" s="20"/>
      <c r="D987" s="18" t="str">
        <f>'0信息维护'!A$27</f>
        <v>课程目标3</v>
      </c>
      <c r="E987" s="19">
        <f ca="1">OFFSET('1课程考核方式及成绩组成'!$F$10,(ROW(E987)-5)/7,MOD((ROW(E987)-5),7))</f>
        <v>0</v>
      </c>
      <c r="F987" s="19">
        <f ca="1">OFFSET('1课程考核方式及成绩组成'!$N$10,(ROW(F987)-5)/7,MOD((ROW(F987)-5),7))</f>
        <v>0</v>
      </c>
      <c r="G987" s="19">
        <f ca="1">OFFSET('1课程考核方式及成绩组成'!$V$10,(ROW(G987)-5)/7,MOD((ROW(G987)-5),7))</f>
        <v>0</v>
      </c>
      <c r="H987" s="19">
        <f ca="1">OFFSET('1课程考核方式及成绩组成'!$AD$10,(ROW(H987)-5)/7,MOD((ROW(H987)-5),7))</f>
        <v>0</v>
      </c>
      <c r="I987" s="19">
        <f ca="1">OFFSET('1课程考核方式及成绩组成'!$AL$10,(ROW(I987)-5)/7,MOD((ROW(I987)-5),7))</f>
        <v>21</v>
      </c>
      <c r="J987" s="25">
        <f ca="1">IF('0信息维护'!$I$97=0,0,E987/('0信息维护'!$I$97)*'0信息维护'!$E$37*'0信息维护'!$S$27)+IF('0信息维护'!$I$98=0,0,F987/('0信息维护'!$I$98)*'0信息维护'!$E$37*'0信息维护'!$T$27)+IF('0信息维护'!$I$99=0,0,G987/('0信息维护'!$I$99)*'0信息维护'!$E$37*'0信息维护'!$U$27)+IF('0信息维护'!$I$100=0,0,H987/('0信息维护'!$I$100)*'0信息维护'!$E$37*'0信息维护'!$V$27)+IF('0信息维护'!$I$101=0,0,I987/'0信息维护'!$I$101*'0信息维护'!$I$37)</f>
        <v>0.617647058823529</v>
      </c>
      <c r="K987" s="27"/>
    </row>
    <row r="988" spans="1:11">
      <c r="A988" s="20"/>
      <c r="B988" s="20"/>
      <c r="C988" s="20"/>
      <c r="D988" s="18" t="str">
        <f>'0信息维护'!A$28</f>
        <v>课程目标4</v>
      </c>
      <c r="E988" s="19">
        <f ca="1">OFFSET('1课程考核方式及成绩组成'!$F$10,(ROW(E988)-5)/7,MOD((ROW(E988)-5),7))</f>
        <v>0</v>
      </c>
      <c r="F988" s="19">
        <f ca="1">OFFSET('1课程考核方式及成绩组成'!$N$10,(ROW(F988)-5)/7,MOD((ROW(F988)-5),7))</f>
        <v>82</v>
      </c>
      <c r="G988" s="19">
        <f ca="1">OFFSET('1课程考核方式及成绩组成'!$V$10,(ROW(G988)-5)/7,MOD((ROW(G988)-5),7))</f>
        <v>0</v>
      </c>
      <c r="H988" s="19">
        <f ca="1">OFFSET('1课程考核方式及成绩组成'!$AD$10,(ROW(H988)-5)/7,MOD((ROW(H988)-5),7))</f>
        <v>0</v>
      </c>
      <c r="I988" s="19">
        <f ca="1">OFFSET('1课程考核方式及成绩组成'!$AL$10,(ROW(I988)-5)/7,MOD((ROW(I988)-5),7))</f>
        <v>0</v>
      </c>
      <c r="J988" s="25">
        <f ca="1">IF('0信息维护'!$I$103=0,0,E988/('0信息维护'!$I$103)*'0信息维护'!$E$38*'0信息维护'!$S$28)+IF('0信息维护'!$I$104=0,0,F988/('0信息维护'!$I$104)*'0信息维护'!$E$38*'0信息维护'!$T$28)+IF('0信息维护'!$I$105=0,0,G988/('0信息维护'!$I$105)*'0信息维护'!$E$38*'0信息维护'!$U$28)+IF('0信息维护'!$I$106=0,0,H988/('0信息维护'!$I$106)*'0信息维护'!$E$38*'0信息维护'!$V$28)+IF('0信息维护'!$I$107=0,0,I988/'0信息维护'!$I$107*'0信息维护'!$I$38)</f>
        <v>0.82</v>
      </c>
      <c r="K988" s="27"/>
    </row>
    <row r="989" spans="1:11">
      <c r="A989" s="20"/>
      <c r="B989" s="20"/>
      <c r="C989" s="20"/>
      <c r="D989" s="18" t="str">
        <f>'0信息维护'!A$29</f>
        <v>课程目标5</v>
      </c>
      <c r="E989" s="19">
        <f ca="1">OFFSET('1课程考核方式及成绩组成'!$F$10,(ROW(E989)-5)/7,MOD((ROW(E989)-5),7))</f>
        <v>0</v>
      </c>
      <c r="F989" s="19">
        <f ca="1">OFFSET('1课程考核方式及成绩组成'!$N$10,(ROW(F989)-5)/7,MOD((ROW(F989)-5),7))</f>
        <v>0</v>
      </c>
      <c r="G989" s="19">
        <f ca="1">OFFSET('1课程考核方式及成绩组成'!$V$10,(ROW(G989)-5)/7,MOD((ROW(G989)-5),7))</f>
        <v>0</v>
      </c>
      <c r="H989" s="19">
        <f ca="1">OFFSET('1课程考核方式及成绩组成'!$AD$10,(ROW(H989)-5)/7,MOD((ROW(H989)-5),7))</f>
        <v>0</v>
      </c>
      <c r="I989" s="19">
        <f ca="1">OFFSET('1课程考核方式及成绩组成'!$AL$10,(ROW(I989)-5)/7,MOD((ROW(I989)-5),7))</f>
        <v>0</v>
      </c>
      <c r="J989" s="25">
        <f ca="1">IF('0信息维护'!$I$109=0,0,E989/('0信息维护'!$I$109)*'0信息维护'!$E$39*'0信息维护'!$S$29)+IF('0信息维护'!$I$110=0,0,F989/('0信息维护'!$I$110)*'0信息维护'!$E$39*'0信息维护'!$T$29)+IF('0信息维护'!$I$111=0,0,G989/('0信息维护'!$I$111)*'0信息维护'!$E$39*'0信息维护'!$U$29)+IF('0信息维护'!$I$112=0,0,H989/('0信息维护'!$I$112)*'0信息维护'!$E$39*'0信息维护'!$V$29)+IF('0信息维护'!$I$113=0,0,I989/'0信息维护'!$I$113*'0信息维护'!$I$39)</f>
        <v>0</v>
      </c>
      <c r="K989" s="27"/>
    </row>
    <row r="990" spans="1:11">
      <c r="A990" s="20"/>
      <c r="B990" s="20"/>
      <c r="C990" s="20"/>
      <c r="D990" s="18" t="str">
        <f>'0信息维护'!A$30</f>
        <v>课程目标6</v>
      </c>
      <c r="E990" s="19">
        <f ca="1">OFFSET('1课程考核方式及成绩组成'!$F$10,(ROW(E990)-5)/7,MOD((ROW(E990)-5),7))</f>
        <v>0</v>
      </c>
      <c r="F990" s="19">
        <f ca="1">OFFSET('1课程考核方式及成绩组成'!$N$10,(ROW(F990)-5)/7,MOD((ROW(F990)-5),7))</f>
        <v>0</v>
      </c>
      <c r="G990" s="19">
        <f ca="1">OFFSET('1课程考核方式及成绩组成'!$V$10,(ROW(G990)-5)/7,MOD((ROW(G990)-5),7))</f>
        <v>0</v>
      </c>
      <c r="H990" s="19">
        <f ca="1">OFFSET('1课程考核方式及成绩组成'!$AD$10,(ROW(H990)-5)/7,MOD((ROW(H990)-5),7))</f>
        <v>0</v>
      </c>
      <c r="I990" s="19">
        <f ca="1">OFFSET('1课程考核方式及成绩组成'!$AL$10,(ROW(I990)-5)/7,MOD((ROW(I990)-5),7))</f>
        <v>0</v>
      </c>
      <c r="J990" s="25">
        <f ca="1">IF('0信息维护'!$I$115=0,0,E990/('0信息维护'!$I$115)*'0信息维护'!$E$40*'0信息维护'!$S$30)+IF('0信息维护'!$I$116=0,0,F990/('0信息维护'!$I$116)*'0信息维护'!$E$40*'0信息维护'!$T$30)+IF('0信息维护'!$I$117=0,0,G990/('0信息维护'!$I$117)*'0信息维护'!$E$40*'0信息维护'!$U$30)+IF('0信息维护'!$I$118=0,0,H990/('0信息维护'!$I$118)*'0信息维护'!$E$40*'0信息维护'!$V$30)+IF('0信息维护'!$I$119=0,0,I990/'0信息维护'!$I$119*'0信息维护'!$I$40)</f>
        <v>0</v>
      </c>
      <c r="K990" s="27"/>
    </row>
    <row r="991" spans="1:11">
      <c r="A991" s="21"/>
      <c r="B991" s="21"/>
      <c r="C991" s="21"/>
      <c r="D991" s="18" t="str">
        <f>'0信息维护'!A$31</f>
        <v>课程目标7</v>
      </c>
      <c r="E991" s="19">
        <f ca="1">OFFSET('1课程考核方式及成绩组成'!$F$10,(ROW(E991)-5)/7,MOD((ROW(E991)-5),7))</f>
        <v>0</v>
      </c>
      <c r="F991" s="19">
        <f ca="1">OFFSET('1课程考核方式及成绩组成'!$N$10,(ROW(F991)-5)/7,MOD((ROW(F991)-5),7))</f>
        <v>0</v>
      </c>
      <c r="G991" s="19">
        <f ca="1">OFFSET('1课程考核方式及成绩组成'!$V$10,(ROW(G991)-5)/7,MOD((ROW(G991)-5),7))</f>
        <v>0</v>
      </c>
      <c r="H991" s="19">
        <f ca="1">OFFSET('1课程考核方式及成绩组成'!$AD$10,(ROW(H991)-5)/7,MOD((ROW(H991)-5),7))</f>
        <v>0</v>
      </c>
      <c r="I991" s="19">
        <f ca="1">OFFSET('1课程考核方式及成绩组成'!$AL$10,(ROW(I991)-5)/7,MOD((ROW(I991)-5),7))</f>
        <v>0</v>
      </c>
      <c r="J991" s="25">
        <f ca="1">IF('0信息维护'!$I$121=0,0,E991/('0信息维护'!$I$121)*'0信息维护'!$E$41*'0信息维护'!$S$31)+IF('0信息维护'!$I$122=0,0,F991/('0信息维护'!$I$122)*'0信息维护'!$E$41*'0信息维护'!$T$31)+IF('0信息维护'!$I$123=0,0,G991/('0信息维护'!$I$123)*'0信息维护'!$E$41*'0信息维护'!$U$31)+IF('0信息维护'!$I$124=0,0,H991/('0信息维护'!$I$124)*'0信息维护'!$E$41*'0信息维护'!$T$31)+IF('0信息维护'!$I$125=0,0,I991/'0信息维护'!$I$125*'0信息维护'!$I$41)</f>
        <v>0</v>
      </c>
      <c r="K991" s="30"/>
    </row>
  </sheetData>
  <sheetProtection formatCells="0" formatColumns="0" formatRows="0" insertRows="0" insertColumns="0" insertHyperlinks="0" deleteColumns="0" deleteRows="0" sort="0" autoFilter="0" pivotTables="0"/>
  <protectedRanges>
    <protectedRange password="C71F" sqref="E5:I11" name="成绩" securityDescriptor="O:WDG:WDD:"/>
  </protectedRanges>
  <mergeCells count="569">
    <mergeCell ref="A1:K1"/>
    <mergeCell ref="A5:A11"/>
    <mergeCell ref="A12:A18"/>
    <mergeCell ref="A19:A25"/>
    <mergeCell ref="A26:A32"/>
    <mergeCell ref="A33:A39"/>
    <mergeCell ref="A40:A46"/>
    <mergeCell ref="A47:A53"/>
    <mergeCell ref="A54:A60"/>
    <mergeCell ref="A61:A67"/>
    <mergeCell ref="A68:A74"/>
    <mergeCell ref="A75:A81"/>
    <mergeCell ref="A82:A88"/>
    <mergeCell ref="A89:A95"/>
    <mergeCell ref="A96:A102"/>
    <mergeCell ref="A103:A109"/>
    <mergeCell ref="A110:A116"/>
    <mergeCell ref="A117:A123"/>
    <mergeCell ref="A124:A130"/>
    <mergeCell ref="A131:A137"/>
    <mergeCell ref="A138:A144"/>
    <mergeCell ref="A145:A151"/>
    <mergeCell ref="A152:A158"/>
    <mergeCell ref="A159:A165"/>
    <mergeCell ref="A166:A172"/>
    <mergeCell ref="A173:A179"/>
    <mergeCell ref="A180:A186"/>
    <mergeCell ref="A187:A193"/>
    <mergeCell ref="A194:A200"/>
    <mergeCell ref="A201:A207"/>
    <mergeCell ref="A208:A214"/>
    <mergeCell ref="A215:A221"/>
    <mergeCell ref="A222:A228"/>
    <mergeCell ref="A229:A235"/>
    <mergeCell ref="A236:A242"/>
    <mergeCell ref="A243:A249"/>
    <mergeCell ref="A250:A256"/>
    <mergeCell ref="A257:A263"/>
    <mergeCell ref="A264:A270"/>
    <mergeCell ref="A271:A277"/>
    <mergeCell ref="A278:A284"/>
    <mergeCell ref="A285:A291"/>
    <mergeCell ref="A292:A298"/>
    <mergeCell ref="A299:A305"/>
    <mergeCell ref="A306:A312"/>
    <mergeCell ref="A313:A319"/>
    <mergeCell ref="A320:A326"/>
    <mergeCell ref="A327:A333"/>
    <mergeCell ref="A334:A340"/>
    <mergeCell ref="A341:A347"/>
    <mergeCell ref="A348:A354"/>
    <mergeCell ref="A355:A361"/>
    <mergeCell ref="A362:A368"/>
    <mergeCell ref="A369:A375"/>
    <mergeCell ref="A376:A382"/>
    <mergeCell ref="A383:A389"/>
    <mergeCell ref="A390:A396"/>
    <mergeCell ref="A397:A403"/>
    <mergeCell ref="A404:A410"/>
    <mergeCell ref="A411:A417"/>
    <mergeCell ref="A418:A424"/>
    <mergeCell ref="A425:A431"/>
    <mergeCell ref="A432:A438"/>
    <mergeCell ref="A439:A445"/>
    <mergeCell ref="A446:A452"/>
    <mergeCell ref="A453:A459"/>
    <mergeCell ref="A460:A466"/>
    <mergeCell ref="A467:A473"/>
    <mergeCell ref="A474:A480"/>
    <mergeCell ref="A481:A487"/>
    <mergeCell ref="A488:A494"/>
    <mergeCell ref="A495:A501"/>
    <mergeCell ref="A502:A508"/>
    <mergeCell ref="A509:A515"/>
    <mergeCell ref="A516:A522"/>
    <mergeCell ref="A523:A529"/>
    <mergeCell ref="A530:A536"/>
    <mergeCell ref="A537:A543"/>
    <mergeCell ref="A544:A550"/>
    <mergeCell ref="A551:A557"/>
    <mergeCell ref="A558:A564"/>
    <mergeCell ref="A565:A571"/>
    <mergeCell ref="A572:A578"/>
    <mergeCell ref="A579:A585"/>
    <mergeCell ref="A586:A592"/>
    <mergeCell ref="A593:A599"/>
    <mergeCell ref="A600:A606"/>
    <mergeCell ref="A607:A613"/>
    <mergeCell ref="A614:A620"/>
    <mergeCell ref="A621:A627"/>
    <mergeCell ref="A628:A634"/>
    <mergeCell ref="A635:A641"/>
    <mergeCell ref="A642:A648"/>
    <mergeCell ref="A649:A655"/>
    <mergeCell ref="A656:A662"/>
    <mergeCell ref="A663:A669"/>
    <mergeCell ref="A670:A676"/>
    <mergeCell ref="A677:A683"/>
    <mergeCell ref="A684:A690"/>
    <mergeCell ref="A691:A697"/>
    <mergeCell ref="A698:A704"/>
    <mergeCell ref="A705:A711"/>
    <mergeCell ref="A712:A718"/>
    <mergeCell ref="A719:A725"/>
    <mergeCell ref="A726:A732"/>
    <mergeCell ref="A733:A739"/>
    <mergeCell ref="A740:A746"/>
    <mergeCell ref="A747:A753"/>
    <mergeCell ref="A754:A760"/>
    <mergeCell ref="A761:A767"/>
    <mergeCell ref="A768:A774"/>
    <mergeCell ref="A775:A781"/>
    <mergeCell ref="A782:A788"/>
    <mergeCell ref="A789:A795"/>
    <mergeCell ref="A796:A802"/>
    <mergeCell ref="A803:A809"/>
    <mergeCell ref="A810:A816"/>
    <mergeCell ref="A817:A823"/>
    <mergeCell ref="A824:A830"/>
    <mergeCell ref="A831:A837"/>
    <mergeCell ref="A838:A844"/>
    <mergeCell ref="A845:A851"/>
    <mergeCell ref="A852:A858"/>
    <mergeCell ref="A859:A865"/>
    <mergeCell ref="A866:A872"/>
    <mergeCell ref="A873:A879"/>
    <mergeCell ref="A880:A886"/>
    <mergeCell ref="A887:A893"/>
    <mergeCell ref="A894:A900"/>
    <mergeCell ref="A901:A907"/>
    <mergeCell ref="A908:A914"/>
    <mergeCell ref="A915:A921"/>
    <mergeCell ref="A922:A928"/>
    <mergeCell ref="A929:A935"/>
    <mergeCell ref="A936:A942"/>
    <mergeCell ref="A943:A949"/>
    <mergeCell ref="A950:A956"/>
    <mergeCell ref="A957:A963"/>
    <mergeCell ref="A964:A970"/>
    <mergeCell ref="A971:A977"/>
    <mergeCell ref="A978:A984"/>
    <mergeCell ref="A985:A991"/>
    <mergeCell ref="B5:B11"/>
    <mergeCell ref="B12:B18"/>
    <mergeCell ref="B19:B25"/>
    <mergeCell ref="B26:B32"/>
    <mergeCell ref="B33:B39"/>
    <mergeCell ref="B40:B46"/>
    <mergeCell ref="B47:B53"/>
    <mergeCell ref="B54:B60"/>
    <mergeCell ref="B61:B67"/>
    <mergeCell ref="B68:B74"/>
    <mergeCell ref="B75:B81"/>
    <mergeCell ref="B82:B88"/>
    <mergeCell ref="B89:B95"/>
    <mergeCell ref="B96:B102"/>
    <mergeCell ref="B103:B109"/>
    <mergeCell ref="B110:B116"/>
    <mergeCell ref="B117:B123"/>
    <mergeCell ref="B124:B130"/>
    <mergeCell ref="B131:B137"/>
    <mergeCell ref="B138:B144"/>
    <mergeCell ref="B145:B151"/>
    <mergeCell ref="B152:B158"/>
    <mergeCell ref="B159:B165"/>
    <mergeCell ref="B166:B172"/>
    <mergeCell ref="B173:B179"/>
    <mergeCell ref="B180:B186"/>
    <mergeCell ref="B187:B193"/>
    <mergeCell ref="B194:B200"/>
    <mergeCell ref="B201:B207"/>
    <mergeCell ref="B208:B214"/>
    <mergeCell ref="B215:B221"/>
    <mergeCell ref="B222:B228"/>
    <mergeCell ref="B229:B235"/>
    <mergeCell ref="B236:B242"/>
    <mergeCell ref="B243:B249"/>
    <mergeCell ref="B250:B256"/>
    <mergeCell ref="B257:B263"/>
    <mergeCell ref="B264:B270"/>
    <mergeCell ref="B271:B277"/>
    <mergeCell ref="B278:B284"/>
    <mergeCell ref="B285:B291"/>
    <mergeCell ref="B292:B298"/>
    <mergeCell ref="B299:B305"/>
    <mergeCell ref="B306:B312"/>
    <mergeCell ref="B313:B319"/>
    <mergeCell ref="B320:B326"/>
    <mergeCell ref="B327:B333"/>
    <mergeCell ref="B334:B340"/>
    <mergeCell ref="B341:B347"/>
    <mergeCell ref="B348:B354"/>
    <mergeCell ref="B355:B361"/>
    <mergeCell ref="B362:B368"/>
    <mergeCell ref="B369:B375"/>
    <mergeCell ref="B376:B382"/>
    <mergeCell ref="B383:B389"/>
    <mergeCell ref="B390:B396"/>
    <mergeCell ref="B397:B403"/>
    <mergeCell ref="B404:B410"/>
    <mergeCell ref="B411:B417"/>
    <mergeCell ref="B418:B424"/>
    <mergeCell ref="B425:B431"/>
    <mergeCell ref="B432:B438"/>
    <mergeCell ref="B439:B445"/>
    <mergeCell ref="B446:B452"/>
    <mergeCell ref="B453:B459"/>
    <mergeCell ref="B460:B466"/>
    <mergeCell ref="B467:B473"/>
    <mergeCell ref="B474:B480"/>
    <mergeCell ref="B481:B487"/>
    <mergeCell ref="B488:B494"/>
    <mergeCell ref="B495:B501"/>
    <mergeCell ref="B502:B508"/>
    <mergeCell ref="B509:B515"/>
    <mergeCell ref="B516:B522"/>
    <mergeCell ref="B523:B529"/>
    <mergeCell ref="B530:B536"/>
    <mergeCell ref="B537:B543"/>
    <mergeCell ref="B544:B550"/>
    <mergeCell ref="B551:B557"/>
    <mergeCell ref="B558:B564"/>
    <mergeCell ref="B565:B571"/>
    <mergeCell ref="B572:B578"/>
    <mergeCell ref="B579:B585"/>
    <mergeCell ref="B586:B592"/>
    <mergeCell ref="B593:B599"/>
    <mergeCell ref="B600:B606"/>
    <mergeCell ref="B607:B613"/>
    <mergeCell ref="B614:B620"/>
    <mergeCell ref="B621:B627"/>
    <mergeCell ref="B628:B634"/>
    <mergeCell ref="B635:B641"/>
    <mergeCell ref="B642:B648"/>
    <mergeCell ref="B649:B655"/>
    <mergeCell ref="B656:B662"/>
    <mergeCell ref="B663:B669"/>
    <mergeCell ref="B670:B676"/>
    <mergeCell ref="B677:B683"/>
    <mergeCell ref="B684:B690"/>
    <mergeCell ref="B691:B697"/>
    <mergeCell ref="B698:B704"/>
    <mergeCell ref="B705:B711"/>
    <mergeCell ref="B712:B718"/>
    <mergeCell ref="B719:B725"/>
    <mergeCell ref="B726:B732"/>
    <mergeCell ref="B733:B739"/>
    <mergeCell ref="B740:B746"/>
    <mergeCell ref="B747:B753"/>
    <mergeCell ref="B754:B760"/>
    <mergeCell ref="B761:B767"/>
    <mergeCell ref="B768:B774"/>
    <mergeCell ref="B775:B781"/>
    <mergeCell ref="B782:B788"/>
    <mergeCell ref="B789:B795"/>
    <mergeCell ref="B796:B802"/>
    <mergeCell ref="B803:B809"/>
    <mergeCell ref="B810:B816"/>
    <mergeCell ref="B817:B823"/>
    <mergeCell ref="B824:B830"/>
    <mergeCell ref="B831:B837"/>
    <mergeCell ref="B838:B844"/>
    <mergeCell ref="B845:B851"/>
    <mergeCell ref="B852:B858"/>
    <mergeCell ref="B859:B865"/>
    <mergeCell ref="B866:B872"/>
    <mergeCell ref="B873:B879"/>
    <mergeCell ref="B880:B886"/>
    <mergeCell ref="B887:B893"/>
    <mergeCell ref="B894:B900"/>
    <mergeCell ref="B901:B907"/>
    <mergeCell ref="B908:B914"/>
    <mergeCell ref="B915:B921"/>
    <mergeCell ref="B922:B928"/>
    <mergeCell ref="B929:B935"/>
    <mergeCell ref="B936:B942"/>
    <mergeCell ref="B943:B949"/>
    <mergeCell ref="B950:B956"/>
    <mergeCell ref="B957:B963"/>
    <mergeCell ref="B964:B970"/>
    <mergeCell ref="B971:B977"/>
    <mergeCell ref="B978:B984"/>
    <mergeCell ref="B985:B991"/>
    <mergeCell ref="C5:C11"/>
    <mergeCell ref="C12:C18"/>
    <mergeCell ref="C19:C25"/>
    <mergeCell ref="C26:C32"/>
    <mergeCell ref="C33:C39"/>
    <mergeCell ref="C40:C46"/>
    <mergeCell ref="C47:C53"/>
    <mergeCell ref="C54:C60"/>
    <mergeCell ref="C61:C67"/>
    <mergeCell ref="C68:C74"/>
    <mergeCell ref="C75:C81"/>
    <mergeCell ref="C82:C88"/>
    <mergeCell ref="C89:C95"/>
    <mergeCell ref="C96:C102"/>
    <mergeCell ref="C103:C109"/>
    <mergeCell ref="C110:C116"/>
    <mergeCell ref="C117:C123"/>
    <mergeCell ref="C124:C130"/>
    <mergeCell ref="C131:C137"/>
    <mergeCell ref="C138:C144"/>
    <mergeCell ref="C145:C151"/>
    <mergeCell ref="C152:C158"/>
    <mergeCell ref="C159:C165"/>
    <mergeCell ref="C166:C172"/>
    <mergeCell ref="C173:C179"/>
    <mergeCell ref="C180:C186"/>
    <mergeCell ref="C187:C193"/>
    <mergeCell ref="C194:C200"/>
    <mergeCell ref="C201:C207"/>
    <mergeCell ref="C208:C214"/>
    <mergeCell ref="C215:C221"/>
    <mergeCell ref="C222:C228"/>
    <mergeCell ref="C229:C235"/>
    <mergeCell ref="C236:C242"/>
    <mergeCell ref="C243:C249"/>
    <mergeCell ref="C250:C256"/>
    <mergeCell ref="C257:C263"/>
    <mergeCell ref="C264:C270"/>
    <mergeCell ref="C271:C277"/>
    <mergeCell ref="C278:C284"/>
    <mergeCell ref="C285:C291"/>
    <mergeCell ref="C292:C298"/>
    <mergeCell ref="C299:C305"/>
    <mergeCell ref="C306:C312"/>
    <mergeCell ref="C313:C319"/>
    <mergeCell ref="C320:C326"/>
    <mergeCell ref="C327:C333"/>
    <mergeCell ref="C334:C340"/>
    <mergeCell ref="C341:C347"/>
    <mergeCell ref="C348:C354"/>
    <mergeCell ref="C355:C361"/>
    <mergeCell ref="C362:C368"/>
    <mergeCell ref="C369:C375"/>
    <mergeCell ref="C376:C382"/>
    <mergeCell ref="C383:C389"/>
    <mergeCell ref="C390:C396"/>
    <mergeCell ref="C397:C403"/>
    <mergeCell ref="C404:C410"/>
    <mergeCell ref="C411:C417"/>
    <mergeCell ref="C418:C424"/>
    <mergeCell ref="C425:C431"/>
    <mergeCell ref="C432:C438"/>
    <mergeCell ref="C439:C445"/>
    <mergeCell ref="C446:C452"/>
    <mergeCell ref="C453:C459"/>
    <mergeCell ref="C460:C466"/>
    <mergeCell ref="C467:C473"/>
    <mergeCell ref="C474:C480"/>
    <mergeCell ref="C481:C487"/>
    <mergeCell ref="C488:C494"/>
    <mergeCell ref="C495:C501"/>
    <mergeCell ref="C502:C508"/>
    <mergeCell ref="C509:C515"/>
    <mergeCell ref="C516:C522"/>
    <mergeCell ref="C523:C529"/>
    <mergeCell ref="C530:C536"/>
    <mergeCell ref="C537:C543"/>
    <mergeCell ref="C544:C550"/>
    <mergeCell ref="C551:C557"/>
    <mergeCell ref="C558:C564"/>
    <mergeCell ref="C565:C571"/>
    <mergeCell ref="C572:C578"/>
    <mergeCell ref="C579:C585"/>
    <mergeCell ref="C586:C592"/>
    <mergeCell ref="C593:C599"/>
    <mergeCell ref="C600:C606"/>
    <mergeCell ref="C607:C613"/>
    <mergeCell ref="C614:C620"/>
    <mergeCell ref="C621:C627"/>
    <mergeCell ref="C628:C634"/>
    <mergeCell ref="C635:C641"/>
    <mergeCell ref="C642:C648"/>
    <mergeCell ref="C649:C655"/>
    <mergeCell ref="C656:C662"/>
    <mergeCell ref="C663:C669"/>
    <mergeCell ref="C670:C676"/>
    <mergeCell ref="C677:C683"/>
    <mergeCell ref="C684:C690"/>
    <mergeCell ref="C691:C697"/>
    <mergeCell ref="C698:C704"/>
    <mergeCell ref="C705:C711"/>
    <mergeCell ref="C712:C718"/>
    <mergeCell ref="C719:C725"/>
    <mergeCell ref="C726:C732"/>
    <mergeCell ref="C733:C739"/>
    <mergeCell ref="C740:C746"/>
    <mergeCell ref="C747:C753"/>
    <mergeCell ref="C754:C760"/>
    <mergeCell ref="C761:C767"/>
    <mergeCell ref="C768:C774"/>
    <mergeCell ref="C775:C781"/>
    <mergeCell ref="C782:C788"/>
    <mergeCell ref="C789:C795"/>
    <mergeCell ref="C796:C802"/>
    <mergeCell ref="C803:C809"/>
    <mergeCell ref="C810:C816"/>
    <mergeCell ref="C817:C823"/>
    <mergeCell ref="C824:C830"/>
    <mergeCell ref="C831:C837"/>
    <mergeCell ref="C838:C844"/>
    <mergeCell ref="C845:C851"/>
    <mergeCell ref="C852:C858"/>
    <mergeCell ref="C859:C865"/>
    <mergeCell ref="C866:C872"/>
    <mergeCell ref="C873:C879"/>
    <mergeCell ref="C880:C886"/>
    <mergeCell ref="C887:C893"/>
    <mergeCell ref="C894:C900"/>
    <mergeCell ref="C901:C907"/>
    <mergeCell ref="C908:C914"/>
    <mergeCell ref="C915:C921"/>
    <mergeCell ref="C922:C928"/>
    <mergeCell ref="C929:C935"/>
    <mergeCell ref="C936:C942"/>
    <mergeCell ref="C943:C949"/>
    <mergeCell ref="C950:C956"/>
    <mergeCell ref="C957:C963"/>
    <mergeCell ref="C964:C970"/>
    <mergeCell ref="C971:C977"/>
    <mergeCell ref="C978:C984"/>
    <mergeCell ref="C985:C991"/>
    <mergeCell ref="D2:D4"/>
    <mergeCell ref="J2:J4"/>
    <mergeCell ref="K2:K4"/>
    <mergeCell ref="K5:K11"/>
    <mergeCell ref="K12:K18"/>
    <mergeCell ref="K19:K25"/>
    <mergeCell ref="K26:K32"/>
    <mergeCell ref="K33:K39"/>
    <mergeCell ref="K40:K46"/>
    <mergeCell ref="K47:K53"/>
    <mergeCell ref="K54:K60"/>
    <mergeCell ref="K61:K67"/>
    <mergeCell ref="K68:K74"/>
    <mergeCell ref="K75:K81"/>
    <mergeCell ref="K82:K88"/>
    <mergeCell ref="K89:K95"/>
    <mergeCell ref="K96:K102"/>
    <mergeCell ref="K103:K109"/>
    <mergeCell ref="K110:K116"/>
    <mergeCell ref="K117:K123"/>
    <mergeCell ref="K124:K130"/>
    <mergeCell ref="K131:K137"/>
    <mergeCell ref="K138:K144"/>
    <mergeCell ref="K145:K151"/>
    <mergeCell ref="K152:K158"/>
    <mergeCell ref="K159:K165"/>
    <mergeCell ref="K166:K172"/>
    <mergeCell ref="K173:K179"/>
    <mergeCell ref="K180:K186"/>
    <mergeCell ref="K187:K193"/>
    <mergeCell ref="K194:K200"/>
    <mergeCell ref="K201:K207"/>
    <mergeCell ref="K208:K214"/>
    <mergeCell ref="K215:K221"/>
    <mergeCell ref="K222:K228"/>
    <mergeCell ref="K229:K235"/>
    <mergeCell ref="K236:K242"/>
    <mergeCell ref="K243:K249"/>
    <mergeCell ref="K250:K256"/>
    <mergeCell ref="K257:K263"/>
    <mergeCell ref="K264:K270"/>
    <mergeCell ref="K271:K277"/>
    <mergeCell ref="K278:K284"/>
    <mergeCell ref="K285:K291"/>
    <mergeCell ref="K292:K298"/>
    <mergeCell ref="K299:K305"/>
    <mergeCell ref="K306:K312"/>
    <mergeCell ref="K313:K319"/>
    <mergeCell ref="K320:K326"/>
    <mergeCell ref="K327:K333"/>
    <mergeCell ref="K334:K340"/>
    <mergeCell ref="K341:K347"/>
    <mergeCell ref="K348:K354"/>
    <mergeCell ref="K355:K361"/>
    <mergeCell ref="K362:K368"/>
    <mergeCell ref="K369:K375"/>
    <mergeCell ref="K376:K382"/>
    <mergeCell ref="K383:K389"/>
    <mergeCell ref="K390:K396"/>
    <mergeCell ref="K397:K403"/>
    <mergeCell ref="K404:K410"/>
    <mergeCell ref="K411:K417"/>
    <mergeCell ref="K418:K424"/>
    <mergeCell ref="K425:K431"/>
    <mergeCell ref="K432:K438"/>
    <mergeCell ref="K439:K445"/>
    <mergeCell ref="K446:K452"/>
    <mergeCell ref="K453:K459"/>
    <mergeCell ref="K460:K466"/>
    <mergeCell ref="K467:K473"/>
    <mergeCell ref="K474:K480"/>
    <mergeCell ref="K481:K487"/>
    <mergeCell ref="K488:K494"/>
    <mergeCell ref="K495:K501"/>
    <mergeCell ref="K502:K508"/>
    <mergeCell ref="K509:K515"/>
    <mergeCell ref="K516:K522"/>
    <mergeCell ref="K523:K529"/>
    <mergeCell ref="K530:K536"/>
    <mergeCell ref="K537:K543"/>
    <mergeCell ref="K544:K550"/>
    <mergeCell ref="K551:K557"/>
    <mergeCell ref="K558:K564"/>
    <mergeCell ref="K565:K571"/>
    <mergeCell ref="K572:K578"/>
    <mergeCell ref="K579:K585"/>
    <mergeCell ref="K586:K592"/>
    <mergeCell ref="K593:K599"/>
    <mergeCell ref="K600:K606"/>
    <mergeCell ref="K607:K613"/>
    <mergeCell ref="K614:K620"/>
    <mergeCell ref="K621:K627"/>
    <mergeCell ref="K628:K634"/>
    <mergeCell ref="K635:K641"/>
    <mergeCell ref="K642:K648"/>
    <mergeCell ref="K649:K655"/>
    <mergeCell ref="K656:K662"/>
    <mergeCell ref="K663:K669"/>
    <mergeCell ref="K670:K676"/>
    <mergeCell ref="K677:K683"/>
    <mergeCell ref="K684:K690"/>
    <mergeCell ref="K691:K697"/>
    <mergeCell ref="K698:K704"/>
    <mergeCell ref="K705:K711"/>
    <mergeCell ref="K712:K718"/>
    <mergeCell ref="K719:K725"/>
    <mergeCell ref="K726:K732"/>
    <mergeCell ref="K733:K739"/>
    <mergeCell ref="K740:K746"/>
    <mergeCell ref="K747:K753"/>
    <mergeCell ref="K754:K760"/>
    <mergeCell ref="K761:K767"/>
    <mergeCell ref="K768:K774"/>
    <mergeCell ref="K775:K781"/>
    <mergeCell ref="K782:K788"/>
    <mergeCell ref="K789:K795"/>
    <mergeCell ref="K796:K802"/>
    <mergeCell ref="K803:K809"/>
    <mergeCell ref="K810:K816"/>
    <mergeCell ref="K817:K823"/>
    <mergeCell ref="K824:K830"/>
    <mergeCell ref="K831:K837"/>
    <mergeCell ref="K838:K844"/>
    <mergeCell ref="K845:K851"/>
    <mergeCell ref="K852:K858"/>
    <mergeCell ref="K859:K865"/>
    <mergeCell ref="K866:K872"/>
    <mergeCell ref="K873:K879"/>
    <mergeCell ref="K880:K886"/>
    <mergeCell ref="K887:K893"/>
    <mergeCell ref="K894:K900"/>
    <mergeCell ref="K901:K907"/>
    <mergeCell ref="K908:K914"/>
    <mergeCell ref="K915:K921"/>
    <mergeCell ref="K922:K928"/>
    <mergeCell ref="K929:K935"/>
    <mergeCell ref="K936:K942"/>
    <mergeCell ref="K943:K949"/>
    <mergeCell ref="K950:K956"/>
    <mergeCell ref="K957:K963"/>
    <mergeCell ref="K964:K970"/>
    <mergeCell ref="K971:K977"/>
    <mergeCell ref="K978:K984"/>
    <mergeCell ref="K985:K991"/>
    <mergeCell ref="A2:C4"/>
  </mergeCells>
  <pageMargins left="0.75" right="0.75" top="1" bottom="1" header="0.5" footer="0.5"/>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43"/>
  <sheetViews>
    <sheetView tabSelected="1" zoomScale="70" zoomScaleNormal="70" workbookViewId="0">
      <selection activeCell="T4" sqref="T4"/>
    </sheetView>
  </sheetViews>
  <sheetFormatPr defaultColWidth="9" defaultRowHeight="14"/>
  <cols>
    <col min="1" max="1" width="5.63636363636364" customWidth="1"/>
    <col min="2" max="2" width="10.6363636363636" customWidth="1"/>
    <col min="3" max="3" width="11.4545454545455" customWidth="1"/>
    <col min="4" max="5" width="12.8181818181818"/>
    <col min="6" max="11" width="12.6363636363636"/>
    <col min="13" max="20" width="12.6363636363636"/>
    <col min="25" max="25" width="12.6272727272727"/>
  </cols>
  <sheetData>
    <row r="1" spans="1:22">
      <c r="A1" s="1" t="s">
        <v>93</v>
      </c>
      <c r="B1" s="1" t="s">
        <v>98</v>
      </c>
      <c r="C1" s="2" t="s">
        <v>449</v>
      </c>
      <c r="D1" s="3" t="s">
        <v>100</v>
      </c>
      <c r="E1" s="3" t="s">
        <v>101</v>
      </c>
      <c r="F1" s="3" t="s">
        <v>102</v>
      </c>
      <c r="G1" s="3" t="s">
        <v>103</v>
      </c>
      <c r="H1" s="3" t="s">
        <v>104</v>
      </c>
      <c r="I1" s="3" t="s">
        <v>105</v>
      </c>
      <c r="J1" s="3" t="s">
        <v>106</v>
      </c>
      <c r="K1" s="3" t="s">
        <v>450</v>
      </c>
      <c r="L1" s="10"/>
      <c r="M1" s="3" t="s">
        <v>100</v>
      </c>
      <c r="N1" s="3" t="s">
        <v>101</v>
      </c>
      <c r="O1" s="3" t="s">
        <v>102</v>
      </c>
      <c r="P1" s="3" t="s">
        <v>103</v>
      </c>
      <c r="Q1" s="3" t="s">
        <v>104</v>
      </c>
      <c r="R1" s="3" t="s">
        <v>105</v>
      </c>
      <c r="S1" s="3" t="s">
        <v>106</v>
      </c>
      <c r="T1" s="3" t="s">
        <v>450</v>
      </c>
      <c r="U1" s="10"/>
      <c r="V1" s="10" t="s">
        <v>451</v>
      </c>
    </row>
    <row r="2" ht="32.25" customHeight="1" spans="1:22">
      <c r="A2" s="4"/>
      <c r="B2" s="4"/>
      <c r="C2" s="5"/>
      <c r="D2" s="6">
        <f ca="1">SUM(D3:D143)/'0信息维护'!$M$6</f>
        <v>0.820478723404255</v>
      </c>
      <c r="E2" s="6">
        <f ca="1">SUM(E3:E143)/'0信息维护'!$M$6</f>
        <v>0.779905437352246</v>
      </c>
      <c r="F2" s="6">
        <f ca="1">SUM(F3:F143)/'0信息维护'!$M$6</f>
        <v>0.559866499791406</v>
      </c>
      <c r="G2" s="6">
        <f ca="1">SUM(G3:G143)/'0信息维护'!$M$6</f>
        <v>0.788014184397162</v>
      </c>
      <c r="H2" s="6">
        <f ca="1">SUM(H3:H12)/'0信息维护'!$M$6</f>
        <v>0</v>
      </c>
      <c r="I2" s="6">
        <f ca="1">SUM(I3:I12)/'0信息维护'!$M$6</f>
        <v>0</v>
      </c>
      <c r="J2" s="6">
        <f ca="1">SUM(J3:J12)/'0信息维护'!$M$6</f>
        <v>0</v>
      </c>
      <c r="K2" s="6">
        <f ca="1">SUM(K3:K140)/'0信息维护'!$M$6</f>
        <v>0.718587314003615</v>
      </c>
      <c r="L2" s="11"/>
      <c r="M2" s="6" t="s">
        <v>452</v>
      </c>
      <c r="N2" s="6"/>
      <c r="O2" s="6"/>
      <c r="P2" s="6"/>
      <c r="Q2" s="6"/>
      <c r="R2" s="6"/>
      <c r="S2" s="6"/>
      <c r="T2" s="6"/>
      <c r="U2" s="11"/>
      <c r="V2" s="11"/>
    </row>
    <row r="3" spans="1:22">
      <c r="A3" s="3">
        <v>0</v>
      </c>
      <c r="B3" s="7" t="str">
        <f>'1课程考核方式及成绩组成'!D10</f>
        <v>180202041</v>
      </c>
      <c r="C3" s="8" t="str">
        <f>'1课程考核方式及成绩组成'!E10</f>
        <v>林振杨</v>
      </c>
      <c r="D3" s="6">
        <f ca="1">OFFSET('4学生课程目标达成度'!J$5,(ROW(D3)-3)*7,)</f>
        <v>0.763888888888889</v>
      </c>
      <c r="E3" s="6">
        <f ca="1">OFFSET('4学生课程目标达成度'!J$6,(ROW(E3)-3)*7,)</f>
        <v>0.75</v>
      </c>
      <c r="F3" s="6">
        <f ca="1">OFFSET('4学生课程目标达成度'!J$7,(ROW(F3)-3)*7,)</f>
        <v>0.411764705882353</v>
      </c>
      <c r="G3" s="6">
        <f ca="1">OFFSET('4学生课程目标达成度'!J$8,(ROW(G3)-3)*7,)</f>
        <v>0.73</v>
      </c>
      <c r="H3" s="6">
        <f ca="1">OFFSET('4学生课程目标达成度'!J$9,(ROW(H3)-3)*7,)</f>
        <v>0</v>
      </c>
      <c r="I3" s="6">
        <f ca="1">OFFSET('4学生课程目标达成度'!J$10,(ROW(I3)-3)*7,)</f>
        <v>0</v>
      </c>
      <c r="J3" s="6">
        <f ca="1">OFFSET('4学生课程目标达成度'!J$11,(ROW(J3)-3)*7,)</f>
        <v>0</v>
      </c>
      <c r="K3" s="6">
        <f ca="1">OFFSET('4学生课程目标达成度'!K$5,(ROW(K3)-3)*7,)</f>
        <v>0.661524509803922</v>
      </c>
      <c r="L3" s="11"/>
      <c r="M3" s="6">
        <f ca="1">$D$2</f>
        <v>0.820478723404255</v>
      </c>
      <c r="N3" s="6">
        <f ca="1">$E$2</f>
        <v>0.779905437352246</v>
      </c>
      <c r="O3" s="6">
        <f ca="1">$F$2</f>
        <v>0.559866499791406</v>
      </c>
      <c r="P3" s="6">
        <f ca="1">$G$2</f>
        <v>0.788014184397162</v>
      </c>
      <c r="Q3" s="6">
        <f ca="1">$H$2</f>
        <v>0</v>
      </c>
      <c r="R3" s="6">
        <f ca="1">$I$2</f>
        <v>0</v>
      </c>
      <c r="S3" s="6">
        <f ca="1">$J$2</f>
        <v>0</v>
      </c>
      <c r="T3" s="6">
        <f ca="1">$K$2</f>
        <v>0.718587314003615</v>
      </c>
      <c r="U3" s="11"/>
      <c r="V3" s="11">
        <v>0.65</v>
      </c>
    </row>
    <row r="4" spans="1:26">
      <c r="A4" s="3">
        <v>1</v>
      </c>
      <c r="B4" s="7" t="str">
        <f>'1课程考核方式及成绩组成'!D11</f>
        <v>180301007</v>
      </c>
      <c r="C4" s="8" t="str">
        <f>'1课程考核方式及成绩组成'!E11</f>
        <v>刘彪</v>
      </c>
      <c r="D4" s="6">
        <f ca="1">OFFSET('4学生课程目标达成度'!J$5,(ROW(D4)-3)*7,)</f>
        <v>0.916666666666667</v>
      </c>
      <c r="E4" s="6">
        <f ca="1">OFFSET('4学生课程目标达成度'!J$6,(ROW(E4)-3)*7,)</f>
        <v>0.9</v>
      </c>
      <c r="F4" s="6">
        <f ca="1">OFFSET('4学生课程目标达成度'!J$7,(ROW(F4)-3)*7,)</f>
        <v>0.558823529411765</v>
      </c>
      <c r="G4" s="6">
        <f ca="1">OFFSET('4学生课程目标达成度'!J$8,(ROW(G4)-3)*7,)</f>
        <v>0.83</v>
      </c>
      <c r="H4" s="6">
        <f ca="1">OFFSET('4学生课程目标达成度'!J$9,(ROW(H4)-3)*7,)</f>
        <v>0</v>
      </c>
      <c r="I4" s="6">
        <f ca="1">OFFSET('4学生课程目标达成度'!J$10,(ROW(I4)-3)*7,)</f>
        <v>0</v>
      </c>
      <c r="J4" s="6">
        <f ca="1">OFFSET('4学生课程目标达成度'!J$11,(ROW(J4)-3)*7,)</f>
        <v>0</v>
      </c>
      <c r="K4" s="6">
        <f ca="1">OFFSET('4学生课程目标达成度'!K$5,(ROW(K4)-3)*7,)</f>
        <v>0.796205882352941</v>
      </c>
      <c r="L4" s="11"/>
      <c r="M4" s="6">
        <f ca="1" t="shared" ref="M4:M13" si="0">$D$2</f>
        <v>0.820478723404255</v>
      </c>
      <c r="N4" s="6">
        <f ca="1" t="shared" ref="N4:N13" si="1">$E$2</f>
        <v>0.779905437352246</v>
      </c>
      <c r="O4" s="6">
        <f ca="1" t="shared" ref="O4:O13" si="2">$F$2</f>
        <v>0.559866499791406</v>
      </c>
      <c r="P4" s="6">
        <f ca="1" t="shared" ref="P4:P13" si="3">$G$2</f>
        <v>0.788014184397162</v>
      </c>
      <c r="Q4" s="6">
        <f ca="1" t="shared" ref="Q4:Q13" si="4">$H$2</f>
        <v>0</v>
      </c>
      <c r="R4" s="6">
        <f ca="1" t="shared" ref="R4:R13" si="5">$I$2</f>
        <v>0</v>
      </c>
      <c r="S4" s="6">
        <f ca="1" t="shared" ref="S4:S13" si="6">$J$2</f>
        <v>0</v>
      </c>
      <c r="T4" s="6">
        <f ca="1">$K$2</f>
        <v>0.718587314003615</v>
      </c>
      <c r="U4" s="11"/>
      <c r="V4" s="11">
        <v>0.65</v>
      </c>
      <c r="X4" t="s">
        <v>29</v>
      </c>
      <c r="Y4">
        <f ca="1">'3课程达成度分析报告'!T51</f>
        <v>0.84645390070922</v>
      </c>
      <c r="Z4">
        <v>0.65</v>
      </c>
    </row>
    <row r="5" spans="1:26">
      <c r="A5" s="3">
        <v>2</v>
      </c>
      <c r="B5" s="7" t="str">
        <f>'1课程考核方式及成绩组成'!D12</f>
        <v>180301010</v>
      </c>
      <c r="C5" s="8" t="str">
        <f>'1课程考核方式及成绩组成'!E12</f>
        <v>童祉昂</v>
      </c>
      <c r="D5" s="6">
        <f ca="1">OFFSET('4学生课程目标达成度'!J$5,(ROW(D5)-3)*7,)</f>
        <v>0.972222222222222</v>
      </c>
      <c r="E5" s="6">
        <f ca="1">OFFSET('4学生课程目标达成度'!J$6,(ROW(E5)-3)*7,)</f>
        <v>0.916666666666667</v>
      </c>
      <c r="F5" s="6">
        <f ca="1">OFFSET('4学生课程目标达成度'!J$7,(ROW(F5)-3)*7,)</f>
        <v>0.558823529411765</v>
      </c>
      <c r="G5" s="6">
        <f ca="1">OFFSET('4学生课程目标达成度'!J$8,(ROW(G5)-3)*7,)</f>
        <v>0.6</v>
      </c>
      <c r="H5" s="6">
        <f ca="1">OFFSET('4学生课程目标达成度'!J$9,(ROW(H5)-3)*7,)</f>
        <v>0</v>
      </c>
      <c r="I5" s="6">
        <f ca="1">OFFSET('4学生课程目标达成度'!J$10,(ROW(I5)-3)*7,)</f>
        <v>0</v>
      </c>
      <c r="J5" s="6">
        <f ca="1">OFFSET('4学生课程目标达成度'!J$11,(ROW(J5)-3)*7,)</f>
        <v>0</v>
      </c>
      <c r="K5" s="6">
        <f ca="1">OFFSET('4学生课程目标达成度'!K$5,(ROW(K5)-3)*7,)</f>
        <v>0.740539215686274</v>
      </c>
      <c r="L5" s="11"/>
      <c r="M5" s="6">
        <f ca="1" t="shared" si="0"/>
        <v>0.820478723404255</v>
      </c>
      <c r="N5" s="6">
        <f ca="1" t="shared" si="1"/>
        <v>0.779905437352246</v>
      </c>
      <c r="O5" s="6">
        <f ca="1" t="shared" si="2"/>
        <v>0.559866499791406</v>
      </c>
      <c r="P5" s="6">
        <f ca="1" t="shared" si="3"/>
        <v>0.788014184397162</v>
      </c>
      <c r="Q5" s="6">
        <f ca="1" t="shared" si="4"/>
        <v>0</v>
      </c>
      <c r="R5" s="6">
        <f ca="1" t="shared" si="5"/>
        <v>0</v>
      </c>
      <c r="S5" s="6">
        <f ca="1" t="shared" si="6"/>
        <v>0</v>
      </c>
      <c r="T5" s="6">
        <f ca="1">$K$2</f>
        <v>0.718587314003615</v>
      </c>
      <c r="U5" s="11"/>
      <c r="V5" s="11">
        <v>0.65</v>
      </c>
      <c r="X5" t="s">
        <v>32</v>
      </c>
      <c r="Y5">
        <f ca="1">'3课程达成度分析报告'!T57</f>
        <v>0.817115839243499</v>
      </c>
      <c r="Z5">
        <v>0.65</v>
      </c>
    </row>
    <row r="6" spans="1:26">
      <c r="A6" s="3">
        <v>3</v>
      </c>
      <c r="B6" s="7" t="str">
        <f>'1课程考核方式及成绩组成'!D13</f>
        <v>180301042</v>
      </c>
      <c r="C6" s="8" t="str">
        <f>'1课程考核方式及成绩组成'!E13</f>
        <v>覃朝雄</v>
      </c>
      <c r="D6" s="6">
        <f ca="1">OFFSET('4学生课程目标达成度'!J$5,(ROW(D6)-3)*7,)</f>
        <v>0.972222222222222</v>
      </c>
      <c r="E6" s="6">
        <f ca="1">OFFSET('4学生课程目标达成度'!J$6,(ROW(E6)-3)*7,)</f>
        <v>0.85</v>
      </c>
      <c r="F6" s="6">
        <f ca="1">OFFSET('4学生课程目标达成度'!J$7,(ROW(F6)-3)*7,)</f>
        <v>0.588235294117647</v>
      </c>
      <c r="G6" s="6">
        <f ca="1">OFFSET('4学生课程目标达成度'!J$8,(ROW(G6)-3)*7,)</f>
        <v>0.75</v>
      </c>
      <c r="H6" s="6">
        <f ca="1">OFFSET('4学生课程目标达成度'!J$9,(ROW(H6)-3)*7,)</f>
        <v>0</v>
      </c>
      <c r="I6" s="6">
        <f ca="1">OFFSET('4学生课程目标达成度'!J$10,(ROW(I6)-3)*7,)</f>
        <v>0</v>
      </c>
      <c r="J6" s="6">
        <f ca="1">OFFSET('4学生课程目标达成度'!J$11,(ROW(J6)-3)*7,)</f>
        <v>0</v>
      </c>
      <c r="K6" s="6">
        <f ca="1">OFFSET('4学生课程目标达成度'!K$5,(ROW(K6)-3)*7,)</f>
        <v>0.772892156862745</v>
      </c>
      <c r="L6" s="11"/>
      <c r="M6" s="6">
        <f ca="1" t="shared" si="0"/>
        <v>0.820478723404255</v>
      </c>
      <c r="N6" s="6">
        <f ca="1" t="shared" si="1"/>
        <v>0.779905437352246</v>
      </c>
      <c r="O6" s="6">
        <f ca="1" t="shared" si="2"/>
        <v>0.559866499791406</v>
      </c>
      <c r="P6" s="6">
        <f ca="1" t="shared" si="3"/>
        <v>0.788014184397162</v>
      </c>
      <c r="Q6" s="6">
        <f ca="1" t="shared" si="4"/>
        <v>0</v>
      </c>
      <c r="R6" s="6">
        <f ca="1" t="shared" si="5"/>
        <v>0</v>
      </c>
      <c r="S6" s="6">
        <f ca="1" t="shared" si="6"/>
        <v>0</v>
      </c>
      <c r="T6" s="6">
        <f ca="1" t="shared" ref="T4:T13" si="7">$K$2</f>
        <v>0.718587314003615</v>
      </c>
      <c r="U6" s="11"/>
      <c r="V6" s="11">
        <v>0.65</v>
      </c>
      <c r="X6" t="s">
        <v>35</v>
      </c>
      <c r="Y6">
        <f ca="1">'3课程达成度分析报告'!T63</f>
        <v>0.63909887359199</v>
      </c>
      <c r="Z6">
        <v>0.65</v>
      </c>
    </row>
    <row r="7" spans="1:26">
      <c r="A7" s="3">
        <v>4</v>
      </c>
      <c r="B7" s="7" t="str">
        <f>'1课程考核方式及成绩组成'!D14</f>
        <v>190301001</v>
      </c>
      <c r="C7" s="9" t="str">
        <f>'1课程考核方式及成绩组成'!E14</f>
        <v>温佳洛</v>
      </c>
      <c r="D7" s="6">
        <f ca="1">OFFSET('4学生课程目标达成度'!J$5,(ROW(D7)-3)*7,)</f>
        <v>0.743055555555556</v>
      </c>
      <c r="E7" s="6">
        <f ca="1">OFFSET('4学生课程目标达成度'!J$6,(ROW(E7)-3)*7,)</f>
        <v>0.575</v>
      </c>
      <c r="F7" s="6">
        <f ca="1">OFFSET('4学生课程目标达成度'!J$7,(ROW(F7)-3)*7,)</f>
        <v>0.5</v>
      </c>
      <c r="G7" s="6">
        <f ca="1">OFFSET('4学生课程目标达成度'!J$8,(ROW(G7)-3)*7,)</f>
        <v>0.77</v>
      </c>
      <c r="H7" s="6">
        <f ca="1">OFFSET('4学生课程目标达成度'!J$9,(ROW(H7)-3)*7,)</f>
        <v>0</v>
      </c>
      <c r="I7" s="6">
        <f ca="1">OFFSET('4学生课程目标达成度'!J$10,(ROW(I7)-3)*7,)</f>
        <v>0</v>
      </c>
      <c r="J7" s="6">
        <f ca="1">OFFSET('4学生课程目标达成度'!J$11,(ROW(J7)-3)*7,)</f>
        <v>0</v>
      </c>
      <c r="K7" s="6">
        <f ca="1">OFFSET('4学生课程目标达成度'!K$5,(ROW(K7)-3)*7,)</f>
        <v>0.639958333333333</v>
      </c>
      <c r="L7" s="11"/>
      <c r="M7" s="6">
        <f ca="1" t="shared" si="0"/>
        <v>0.820478723404255</v>
      </c>
      <c r="N7" s="6">
        <f ca="1" t="shared" si="1"/>
        <v>0.779905437352246</v>
      </c>
      <c r="O7" s="6">
        <f ca="1" t="shared" si="2"/>
        <v>0.559866499791406</v>
      </c>
      <c r="P7" s="6">
        <f ca="1" t="shared" si="3"/>
        <v>0.788014184397162</v>
      </c>
      <c r="Q7" s="6">
        <f ca="1" t="shared" si="4"/>
        <v>0</v>
      </c>
      <c r="R7" s="6">
        <f ca="1" t="shared" si="5"/>
        <v>0</v>
      </c>
      <c r="S7" s="6">
        <f ca="1" t="shared" si="6"/>
        <v>0</v>
      </c>
      <c r="T7" s="6">
        <f ca="1" t="shared" si="7"/>
        <v>0.718587314003615</v>
      </c>
      <c r="U7" s="11"/>
      <c r="V7" s="11">
        <v>0.65</v>
      </c>
      <c r="X7" t="s">
        <v>38</v>
      </c>
      <c r="Y7">
        <f ca="1">'3课程达成度分析报告'!T69</f>
        <v>0.823035460992908</v>
      </c>
      <c r="Z7">
        <v>0.65</v>
      </c>
    </row>
    <row r="8" spans="1:26">
      <c r="A8" s="3">
        <v>5</v>
      </c>
      <c r="B8" s="7" t="str">
        <f>'1课程考核方式及成绩组成'!D15</f>
        <v>190301002</v>
      </c>
      <c r="C8" s="8" t="str">
        <f>'1课程考核方式及成绩组成'!E15</f>
        <v>周涛</v>
      </c>
      <c r="D8" s="6">
        <f ca="1">OFFSET('4学生课程目标达成度'!J$5,(ROW(D8)-3)*7,)</f>
        <v>0.944444444444444</v>
      </c>
      <c r="E8" s="6">
        <f ca="1">OFFSET('4学生课程目标达成度'!J$6,(ROW(E8)-3)*7,)</f>
        <v>1</v>
      </c>
      <c r="F8" s="6">
        <f ca="1">OFFSET('4学生课程目标达成度'!J$7,(ROW(F8)-3)*7,)</f>
        <v>0.735294117647059</v>
      </c>
      <c r="G8" s="6">
        <f ca="1">OFFSET('4学生课程目标达成度'!J$8,(ROW(G8)-3)*7,)</f>
        <v>0.87</v>
      </c>
      <c r="H8" s="6">
        <f ca="1">OFFSET('4学生课程目标达成度'!J$9,(ROW(H8)-3)*7,)</f>
        <v>0</v>
      </c>
      <c r="I8" s="6">
        <f ca="1">OFFSET('4学生课程目标达成度'!J$10,(ROW(I8)-3)*7,)</f>
        <v>0</v>
      </c>
      <c r="J8" s="6">
        <f ca="1">OFFSET('4学生课程目标达成度'!J$11,(ROW(J8)-3)*7,)</f>
        <v>0</v>
      </c>
      <c r="K8" s="6">
        <f ca="1">OFFSET('4学生课程目标达成度'!K$5,(ROW(K8)-3)*7,)</f>
        <v>0.886490196078431</v>
      </c>
      <c r="L8" s="11"/>
      <c r="M8" s="6">
        <f ca="1" t="shared" si="0"/>
        <v>0.820478723404255</v>
      </c>
      <c r="N8" s="6">
        <f ca="1" t="shared" si="1"/>
        <v>0.779905437352246</v>
      </c>
      <c r="O8" s="6">
        <f ca="1" t="shared" si="2"/>
        <v>0.559866499791406</v>
      </c>
      <c r="P8" s="6">
        <f ca="1" t="shared" si="3"/>
        <v>0.788014184397162</v>
      </c>
      <c r="Q8" s="6">
        <f ca="1" t="shared" si="4"/>
        <v>0</v>
      </c>
      <c r="R8" s="6">
        <f ca="1" t="shared" si="5"/>
        <v>0</v>
      </c>
      <c r="S8" s="6">
        <f ca="1" t="shared" si="6"/>
        <v>0</v>
      </c>
      <c r="T8" s="6">
        <f ca="1" t="shared" si="7"/>
        <v>0.718587314003615</v>
      </c>
      <c r="U8" s="11"/>
      <c r="V8" s="11">
        <v>0.65</v>
      </c>
      <c r="X8" t="s">
        <v>40</v>
      </c>
      <c r="Y8">
        <f ca="1">'3课程达成度分析报告'!T75</f>
        <v>0</v>
      </c>
      <c r="Z8">
        <v>0.65</v>
      </c>
    </row>
    <row r="9" spans="1:26">
      <c r="A9" s="3">
        <v>6</v>
      </c>
      <c r="B9" s="7" t="str">
        <f>'1课程考核方式及成绩组成'!D16</f>
        <v>190301003</v>
      </c>
      <c r="C9" s="8" t="str">
        <f>'1课程考核方式及成绩组成'!E16</f>
        <v>何中尉</v>
      </c>
      <c r="D9" s="6">
        <f ca="1">OFFSET('4学生课程目标达成度'!J$5,(ROW(D9)-3)*7,)</f>
        <v>0.888888888888889</v>
      </c>
      <c r="E9" s="6">
        <f ca="1">OFFSET('4学生课程目标达成度'!J$6,(ROW(E9)-3)*7,)</f>
        <v>0.8</v>
      </c>
      <c r="F9" s="6">
        <f ca="1">OFFSET('4学生课程目标达成度'!J$7,(ROW(F9)-3)*7,)</f>
        <v>0.588235294117647</v>
      </c>
      <c r="G9" s="6">
        <f ca="1">OFFSET('4学生课程目标达成度'!J$8,(ROW(G9)-3)*7,)</f>
        <v>0.85</v>
      </c>
      <c r="H9" s="6">
        <f ca="1">OFFSET('4学生课程目标达成度'!J$9,(ROW(H9)-3)*7,)</f>
        <v>0</v>
      </c>
      <c r="I9" s="6">
        <f ca="1">OFFSET('4学生课程目标达成度'!J$10,(ROW(I9)-3)*7,)</f>
        <v>0</v>
      </c>
      <c r="J9" s="6">
        <f ca="1">OFFSET('4学生课程目标达成度'!J$11,(ROW(J9)-3)*7,)</f>
        <v>0</v>
      </c>
      <c r="K9" s="6">
        <f ca="1">OFFSET('4学生课程目标达成度'!K$5,(ROW(K9)-3)*7,)</f>
        <v>0.775392156862745</v>
      </c>
      <c r="L9" s="11"/>
      <c r="M9" s="6">
        <f ca="1" t="shared" si="0"/>
        <v>0.820478723404255</v>
      </c>
      <c r="N9" s="6">
        <f ca="1" t="shared" si="1"/>
        <v>0.779905437352246</v>
      </c>
      <c r="O9" s="6">
        <f ca="1" t="shared" si="2"/>
        <v>0.559866499791406</v>
      </c>
      <c r="P9" s="6">
        <f ca="1" t="shared" si="3"/>
        <v>0.788014184397162</v>
      </c>
      <c r="Q9" s="6">
        <f ca="1" t="shared" si="4"/>
        <v>0</v>
      </c>
      <c r="R9" s="6">
        <f ca="1" t="shared" si="5"/>
        <v>0</v>
      </c>
      <c r="S9" s="6">
        <f ca="1" t="shared" si="6"/>
        <v>0</v>
      </c>
      <c r="T9" s="6">
        <f ca="1" t="shared" si="7"/>
        <v>0.718587314003615</v>
      </c>
      <c r="U9" s="11"/>
      <c r="V9" s="11">
        <v>0.65</v>
      </c>
      <c r="X9" t="s">
        <v>41</v>
      </c>
      <c r="Y9">
        <f ca="1">'3课程达成度分析报告'!T81</f>
        <v>0</v>
      </c>
      <c r="Z9">
        <v>0.65</v>
      </c>
    </row>
    <row r="10" spans="1:26">
      <c r="A10" s="3">
        <v>7</v>
      </c>
      <c r="B10" s="7" t="str">
        <f>'1课程考核方式及成绩组成'!D17</f>
        <v>190301004</v>
      </c>
      <c r="C10" s="8" t="str">
        <f>'1课程考核方式及成绩组成'!E17</f>
        <v>王华鹏</v>
      </c>
      <c r="D10" s="6">
        <f ca="1">OFFSET('4学生课程目标达成度'!J$5,(ROW(D10)-3)*7,)</f>
        <v>0.25</v>
      </c>
      <c r="E10" s="6">
        <f ca="1">OFFSET('4学生课程目标达成度'!J$6,(ROW(E10)-3)*7,)</f>
        <v>0.233333333333333</v>
      </c>
      <c r="F10" s="6">
        <f ca="1">OFFSET('4学生课程目标达成度'!J$7,(ROW(F10)-3)*7,)</f>
        <v>0.235294117647059</v>
      </c>
      <c r="G10" s="6">
        <f ca="1">OFFSET('4学生课程目标达成度'!J$8,(ROW(G10)-3)*7,)</f>
        <v>0</v>
      </c>
      <c r="H10" s="6">
        <f ca="1">OFFSET('4学生课程目标达成度'!J$9,(ROW(H10)-3)*7,)</f>
        <v>0</v>
      </c>
      <c r="I10" s="6">
        <f ca="1">OFFSET('4学生课程目标达成度'!J$10,(ROW(I10)-3)*7,)</f>
        <v>0</v>
      </c>
      <c r="J10" s="6">
        <f ca="1">OFFSET('4学生课程目标达成度'!J$11,(ROW(J10)-3)*7,)</f>
        <v>0</v>
      </c>
      <c r="K10" s="6">
        <f ca="1">OFFSET('4学生课程目标达成度'!K$5,(ROW(K10)-3)*7,)</f>
        <v>0.166323529411765</v>
      </c>
      <c r="L10" s="11"/>
      <c r="M10" s="6">
        <f ca="1" t="shared" si="0"/>
        <v>0.820478723404255</v>
      </c>
      <c r="N10" s="6">
        <f ca="1" t="shared" si="1"/>
        <v>0.779905437352246</v>
      </c>
      <c r="O10" s="6">
        <f ca="1" t="shared" si="2"/>
        <v>0.559866499791406</v>
      </c>
      <c r="P10" s="6">
        <f ca="1" t="shared" si="3"/>
        <v>0.788014184397162</v>
      </c>
      <c r="Q10" s="6">
        <f ca="1" t="shared" si="4"/>
        <v>0</v>
      </c>
      <c r="R10" s="6">
        <f ca="1" t="shared" si="5"/>
        <v>0</v>
      </c>
      <c r="S10" s="6">
        <f ca="1" t="shared" si="6"/>
        <v>0</v>
      </c>
      <c r="T10" s="6">
        <f ca="1" t="shared" si="7"/>
        <v>0.718587314003615</v>
      </c>
      <c r="U10" s="11"/>
      <c r="V10" s="11">
        <v>0.65</v>
      </c>
      <c r="X10" t="s">
        <v>42</v>
      </c>
      <c r="Y10">
        <f ca="1">'3课程达成度分析报告'!T87</f>
        <v>0</v>
      </c>
      <c r="Z10">
        <v>0.65</v>
      </c>
    </row>
    <row r="11" spans="1:26">
      <c r="A11" s="3">
        <v>8</v>
      </c>
      <c r="B11" s="7" t="str">
        <f>'1课程考核方式及成绩组成'!D18</f>
        <v>190301005</v>
      </c>
      <c r="C11" s="8" t="str">
        <f>'1课程考核方式及成绩组成'!E18</f>
        <v>袁竹</v>
      </c>
      <c r="D11" s="6">
        <f ca="1">OFFSET('4学生课程目标达成度'!J$5,(ROW(D11)-3)*7,)</f>
        <v>0.888888888888889</v>
      </c>
      <c r="E11" s="6">
        <f ca="1">OFFSET('4学生课程目标达成度'!J$6,(ROW(E11)-3)*7,)</f>
        <v>0.833333333333333</v>
      </c>
      <c r="F11" s="6">
        <f ca="1">OFFSET('4学生课程目标达成度'!J$7,(ROW(F11)-3)*7,)</f>
        <v>0.558823529411765</v>
      </c>
      <c r="G11" s="6">
        <f ca="1">OFFSET('4学生课程目标达成度'!J$8,(ROW(G11)-3)*7,)</f>
        <v>0.85</v>
      </c>
      <c r="H11" s="6">
        <f ca="1">OFFSET('4学生课程目标达成度'!J$9,(ROW(H11)-3)*7,)</f>
        <v>0</v>
      </c>
      <c r="I11" s="6">
        <f ca="1">OFFSET('4学生课程目标达成度'!J$10,(ROW(I11)-3)*7,)</f>
        <v>0</v>
      </c>
      <c r="J11" s="6">
        <f ca="1">OFFSET('4学生课程目标达成度'!J$11,(ROW(J11)-3)*7,)</f>
        <v>0</v>
      </c>
      <c r="K11" s="6">
        <f ca="1">OFFSET('4学生课程目标达成度'!K$5,(ROW(K11)-3)*7,)</f>
        <v>0.778039215686274</v>
      </c>
      <c r="L11" s="11"/>
      <c r="M11" s="6">
        <f ca="1" t="shared" si="0"/>
        <v>0.820478723404255</v>
      </c>
      <c r="N11" s="6">
        <f ca="1" t="shared" si="1"/>
        <v>0.779905437352246</v>
      </c>
      <c r="O11" s="6">
        <f ca="1" t="shared" si="2"/>
        <v>0.559866499791406</v>
      </c>
      <c r="P11" s="6">
        <f ca="1" t="shared" si="3"/>
        <v>0.788014184397162</v>
      </c>
      <c r="Q11" s="6">
        <f ca="1" t="shared" si="4"/>
        <v>0</v>
      </c>
      <c r="R11" s="6">
        <f ca="1" t="shared" si="5"/>
        <v>0</v>
      </c>
      <c r="S11" s="6">
        <f ca="1" t="shared" si="6"/>
        <v>0</v>
      </c>
      <c r="T11" s="6">
        <f ca="1" t="shared" si="7"/>
        <v>0.718587314003615</v>
      </c>
      <c r="U11" s="11"/>
      <c r="V11" s="11">
        <v>0.65</v>
      </c>
      <c r="X11" t="s">
        <v>28</v>
      </c>
      <c r="Y11">
        <f ca="1">'3课程达成度分析报告'!T93</f>
        <v>0.778788193575303</v>
      </c>
      <c r="Z11">
        <v>0.65</v>
      </c>
    </row>
    <row r="12" spans="1:26">
      <c r="A12" s="3">
        <v>9</v>
      </c>
      <c r="B12" s="7" t="str">
        <f>'1课程考核方式及成绩组成'!D19</f>
        <v>190301006</v>
      </c>
      <c r="C12" s="8" t="str">
        <f>'1课程考核方式及成绩组成'!E19</f>
        <v>苟晨雨</v>
      </c>
      <c r="D12" s="6">
        <f ca="1">OFFSET('4学生课程目标达成度'!J$5,(ROW(D12)-3)*7,)</f>
        <v>0.854166666666667</v>
      </c>
      <c r="E12" s="6">
        <f ca="1">OFFSET('4学生课程目标达成度'!J$6,(ROW(E12)-3)*7,)</f>
        <v>0.791666666666667</v>
      </c>
      <c r="F12" s="6">
        <f ca="1">OFFSET('4学生课程目标达成度'!J$7,(ROW(F12)-3)*7,)</f>
        <v>0.558823529411765</v>
      </c>
      <c r="G12" s="6">
        <f ca="1">OFFSET('4学生课程目标达成度'!J$8,(ROW(G12)-3)*7,)</f>
        <v>0.83</v>
      </c>
      <c r="H12" s="6">
        <f ca="1">OFFSET('4学生课程目标达成度'!J$9,(ROW(H12)-3)*7,)</f>
        <v>0</v>
      </c>
      <c r="I12" s="6">
        <f ca="1">OFFSET('4学生课程目标达成度'!J$10,(ROW(I12)-3)*7,)</f>
        <v>0</v>
      </c>
      <c r="J12" s="6">
        <f ca="1">OFFSET('4学生课程目标达成度'!J$11,(ROW(J12)-3)*7,)</f>
        <v>0</v>
      </c>
      <c r="K12" s="6">
        <f ca="1">OFFSET('4学生课程目标达成度'!K$5,(ROW(K12)-3)*7,)</f>
        <v>0.754330882352941</v>
      </c>
      <c r="L12" s="11"/>
      <c r="M12" s="6">
        <f ca="1" t="shared" si="0"/>
        <v>0.820478723404255</v>
      </c>
      <c r="N12" s="6">
        <f ca="1" t="shared" si="1"/>
        <v>0.779905437352246</v>
      </c>
      <c r="O12" s="6">
        <f ca="1" t="shared" si="2"/>
        <v>0.559866499791406</v>
      </c>
      <c r="P12" s="6">
        <f ca="1" t="shared" si="3"/>
        <v>0.788014184397162</v>
      </c>
      <c r="Q12" s="6">
        <f ca="1" t="shared" si="4"/>
        <v>0</v>
      </c>
      <c r="R12" s="6">
        <f ca="1" t="shared" si="5"/>
        <v>0</v>
      </c>
      <c r="S12" s="6">
        <f ca="1" t="shared" si="6"/>
        <v>0</v>
      </c>
      <c r="T12" s="6">
        <f ca="1" t="shared" si="7"/>
        <v>0.718587314003615</v>
      </c>
      <c r="U12" s="11"/>
      <c r="V12" s="11">
        <v>0.65</v>
      </c>
      <c r="Z12">
        <v>0.65</v>
      </c>
    </row>
    <row r="13" spans="1:22">
      <c r="A13" s="3">
        <v>10</v>
      </c>
      <c r="B13" s="7" t="str">
        <f>'1课程考核方式及成绩组成'!D20</f>
        <v>190301007</v>
      </c>
      <c r="C13" s="8" t="str">
        <f>'1课程考核方式及成绩组成'!E20</f>
        <v>夏婧姣</v>
      </c>
      <c r="D13" s="6">
        <f ca="1">OFFSET('4学生课程目标达成度'!J$5,(ROW(D13)-3)*7,)</f>
        <v>0.659722222222222</v>
      </c>
      <c r="E13" s="6">
        <f ca="1">OFFSET('4学生课程目标达成度'!J$6,(ROW(E13)-3)*7,)</f>
        <v>0.658333333333333</v>
      </c>
      <c r="F13" s="6">
        <f ca="1">OFFSET('4学生课程目标达成度'!J$7,(ROW(F13)-3)*7,)</f>
        <v>0.294117647058824</v>
      </c>
      <c r="G13" s="6">
        <f ca="1">OFFSET('4学生课程目标达成度'!J$8,(ROW(G13)-3)*7,)</f>
        <v>0.75</v>
      </c>
      <c r="H13" s="6">
        <f ca="1">OFFSET('4学生课程目标达成度'!J$9,(ROW(H13)-3)*7,)</f>
        <v>0</v>
      </c>
      <c r="I13" s="6">
        <f ca="1">OFFSET('4学生课程目标达成度'!J$10,(ROW(I13)-3)*7,)</f>
        <v>0</v>
      </c>
      <c r="J13" s="6">
        <f ca="1">OFFSET('4学生课程目标达成度'!J$11,(ROW(J13)-3)*7,)</f>
        <v>0</v>
      </c>
      <c r="K13" s="6">
        <f ca="1">OFFSET('4学生课程目标达成度'!K$5,(ROW(K13)-3)*7,)</f>
        <v>0.594987745098039</v>
      </c>
      <c r="L13" s="11"/>
      <c r="M13" s="6">
        <f ca="1" t="shared" ref="M13:M22" si="8">$D$2</f>
        <v>0.820478723404255</v>
      </c>
      <c r="N13" s="6">
        <f ca="1" t="shared" ref="N13:N22" si="9">$E$2</f>
        <v>0.779905437352246</v>
      </c>
      <c r="O13" s="6">
        <f ca="1" t="shared" ref="O13:O22" si="10">$F$2</f>
        <v>0.559866499791406</v>
      </c>
      <c r="P13" s="6">
        <f ca="1" t="shared" ref="P13:P22" si="11">$G$2</f>
        <v>0.788014184397162</v>
      </c>
      <c r="Q13" s="6">
        <f ca="1" t="shared" ref="Q13:Q22" si="12">$H$2</f>
        <v>0</v>
      </c>
      <c r="R13" s="6">
        <f ca="1" t="shared" ref="R13:R22" si="13">$I$2</f>
        <v>0</v>
      </c>
      <c r="S13" s="6">
        <f ca="1" t="shared" ref="S13:S22" si="14">$J$2</f>
        <v>0</v>
      </c>
      <c r="T13" s="6">
        <f ca="1" t="shared" ref="T13:T22" si="15">$K$2</f>
        <v>0.718587314003615</v>
      </c>
      <c r="U13" s="11"/>
      <c r="V13" s="11">
        <v>0.65</v>
      </c>
    </row>
    <row r="14" spans="1:22">
      <c r="A14" s="3">
        <v>11</v>
      </c>
      <c r="B14" s="7" t="str">
        <f>'1课程考核方式及成绩组成'!D21</f>
        <v>190301008</v>
      </c>
      <c r="C14" s="8" t="str">
        <f>'1课程考核方式及成绩组成'!E21</f>
        <v>王思皓</v>
      </c>
      <c r="D14" s="6">
        <f ca="1">OFFSET('4学生课程目标达成度'!J$5,(ROW(D14)-3)*7,)</f>
        <v>0.743055555555556</v>
      </c>
      <c r="E14" s="6">
        <f ca="1">OFFSET('4学生课程目标达成度'!J$6,(ROW(E14)-3)*7,)</f>
        <v>0.475</v>
      </c>
      <c r="F14" s="6">
        <f ca="1">OFFSET('4学生课程目标达成度'!J$7,(ROW(F14)-3)*7,)</f>
        <v>0.294117647058824</v>
      </c>
      <c r="G14" s="6">
        <f ca="1">OFFSET('4学生课程目标达成度'!J$8,(ROW(G14)-3)*7,)</f>
        <v>0.7</v>
      </c>
      <c r="H14" s="6">
        <f ca="1">OFFSET('4学生课程目标达成度'!J$9,(ROW(H14)-3)*7,)</f>
        <v>0</v>
      </c>
      <c r="I14" s="6">
        <f ca="1">OFFSET('4学生课程目标达成度'!J$10,(ROW(I14)-3)*7,)</f>
        <v>0</v>
      </c>
      <c r="J14" s="6">
        <f ca="1">OFFSET('4学生课程目标达成度'!J$11,(ROW(J14)-3)*7,)</f>
        <v>0</v>
      </c>
      <c r="K14" s="6">
        <f ca="1">OFFSET('4学生课程目标达成度'!K$5,(ROW(K14)-3)*7,)</f>
        <v>0.537487745098039</v>
      </c>
      <c r="L14" s="11"/>
      <c r="M14" s="6">
        <f ca="1" t="shared" si="8"/>
        <v>0.820478723404255</v>
      </c>
      <c r="N14" s="6">
        <f ca="1" t="shared" si="9"/>
        <v>0.779905437352246</v>
      </c>
      <c r="O14" s="6">
        <f ca="1" t="shared" si="10"/>
        <v>0.559866499791406</v>
      </c>
      <c r="P14" s="6">
        <f ca="1" t="shared" si="11"/>
        <v>0.788014184397162</v>
      </c>
      <c r="Q14" s="6">
        <f ca="1" t="shared" si="12"/>
        <v>0</v>
      </c>
      <c r="R14" s="6">
        <f ca="1" t="shared" si="13"/>
        <v>0</v>
      </c>
      <c r="S14" s="6">
        <f ca="1" t="shared" si="14"/>
        <v>0</v>
      </c>
      <c r="T14" s="6">
        <f ca="1" t="shared" si="15"/>
        <v>0.718587314003615</v>
      </c>
      <c r="U14" s="11"/>
      <c r="V14" s="11">
        <v>0.65</v>
      </c>
    </row>
    <row r="15" spans="1:22">
      <c r="A15" s="3">
        <v>12</v>
      </c>
      <c r="B15" s="7" t="str">
        <f>'1课程考核方式及成绩组成'!D22</f>
        <v>190301009</v>
      </c>
      <c r="C15" s="8" t="str">
        <f>'1课程考核方式及成绩组成'!E22</f>
        <v>刘丹</v>
      </c>
      <c r="D15" s="6">
        <f ca="1">OFFSET('4学生课程目标达成度'!J$5,(ROW(D15)-3)*7,)</f>
        <v>0.770833333333333</v>
      </c>
      <c r="E15" s="6">
        <f ca="1">OFFSET('4学生课程目标达成度'!J$6,(ROW(E15)-3)*7,)</f>
        <v>0.775</v>
      </c>
      <c r="F15" s="6">
        <f ca="1">OFFSET('4学生课程目标达成度'!J$7,(ROW(F15)-3)*7,)</f>
        <v>0.441176470588235</v>
      </c>
      <c r="G15" s="6">
        <f ca="1">OFFSET('4学生课程目标达成度'!J$8,(ROW(G15)-3)*7,)</f>
        <v>0.67</v>
      </c>
      <c r="H15" s="6">
        <f ca="1">OFFSET('4学生课程目标达成度'!J$9,(ROW(H15)-3)*7,)</f>
        <v>0</v>
      </c>
      <c r="I15" s="6">
        <f ca="1">OFFSET('4学生课程目标达成度'!J$10,(ROW(I15)-3)*7,)</f>
        <v>0</v>
      </c>
      <c r="J15" s="6">
        <f ca="1">OFFSET('4学生课程目标达成度'!J$11,(ROW(J15)-3)*7,)</f>
        <v>0</v>
      </c>
      <c r="K15" s="6">
        <f ca="1">OFFSET('4学生课程目标达成度'!K$5,(ROW(K15)-3)*7,)</f>
        <v>0.659419117647059</v>
      </c>
      <c r="L15" s="11"/>
      <c r="M15" s="6">
        <f ca="1" t="shared" si="8"/>
        <v>0.820478723404255</v>
      </c>
      <c r="N15" s="6">
        <f ca="1" t="shared" si="9"/>
        <v>0.779905437352246</v>
      </c>
      <c r="O15" s="6">
        <f ca="1" t="shared" si="10"/>
        <v>0.559866499791406</v>
      </c>
      <c r="P15" s="6">
        <f ca="1" t="shared" si="11"/>
        <v>0.788014184397162</v>
      </c>
      <c r="Q15" s="6">
        <f ca="1" t="shared" si="12"/>
        <v>0</v>
      </c>
      <c r="R15" s="6">
        <f ca="1" t="shared" si="13"/>
        <v>0</v>
      </c>
      <c r="S15" s="6">
        <f ca="1" t="shared" si="14"/>
        <v>0</v>
      </c>
      <c r="T15" s="6">
        <f ca="1" t="shared" si="15"/>
        <v>0.718587314003615</v>
      </c>
      <c r="U15" s="11"/>
      <c r="V15" s="11">
        <v>0.65</v>
      </c>
    </row>
    <row r="16" spans="1:22">
      <c r="A16" s="3">
        <v>13</v>
      </c>
      <c r="B16" s="7" t="str">
        <f>'1课程考核方式及成绩组成'!D23</f>
        <v>190301010</v>
      </c>
      <c r="C16" s="8" t="str">
        <f>'1课程考核方式及成绩组成'!E23</f>
        <v>杨星</v>
      </c>
      <c r="D16" s="6">
        <f ca="1">OFFSET('4学生课程目标达成度'!J$5,(ROW(D16)-3)*7,)</f>
        <v>0.888888888888889</v>
      </c>
      <c r="E16" s="6">
        <f ca="1">OFFSET('4学生课程目标达成度'!J$6,(ROW(E16)-3)*7,)</f>
        <v>0.883333333333333</v>
      </c>
      <c r="F16" s="6">
        <f ca="1">OFFSET('4学生课程目标达成度'!J$7,(ROW(F16)-3)*7,)</f>
        <v>0.647058823529412</v>
      </c>
      <c r="G16" s="6">
        <f ca="1">OFFSET('4学生课程目标达成度'!J$8,(ROW(G16)-3)*7,)</f>
        <v>0.7</v>
      </c>
      <c r="H16" s="6">
        <f ca="1">OFFSET('4学生课程目标达成度'!J$9,(ROW(H16)-3)*7,)</f>
        <v>0</v>
      </c>
      <c r="I16" s="6">
        <f ca="1">OFFSET('4学生课程目标达成度'!J$10,(ROW(I16)-3)*7,)</f>
        <v>0</v>
      </c>
      <c r="J16" s="6">
        <f ca="1">OFFSET('4学生课程目标达成度'!J$11,(ROW(J16)-3)*7,)</f>
        <v>0</v>
      </c>
      <c r="K16" s="6">
        <f ca="1">OFFSET('4学生课程目标达成度'!K$5,(ROW(K16)-3)*7,)</f>
        <v>0.770098039215686</v>
      </c>
      <c r="L16" s="11"/>
      <c r="M16" s="6">
        <f ca="1" t="shared" si="8"/>
        <v>0.820478723404255</v>
      </c>
      <c r="N16" s="6">
        <f ca="1" t="shared" si="9"/>
        <v>0.779905437352246</v>
      </c>
      <c r="O16" s="6">
        <f ca="1" t="shared" si="10"/>
        <v>0.559866499791406</v>
      </c>
      <c r="P16" s="6">
        <f ca="1" t="shared" si="11"/>
        <v>0.788014184397162</v>
      </c>
      <c r="Q16" s="6">
        <f ca="1" t="shared" si="12"/>
        <v>0</v>
      </c>
      <c r="R16" s="6">
        <f ca="1" t="shared" si="13"/>
        <v>0</v>
      </c>
      <c r="S16" s="6">
        <f ca="1" t="shared" si="14"/>
        <v>0</v>
      </c>
      <c r="T16" s="6">
        <f ca="1" t="shared" si="15"/>
        <v>0.718587314003615</v>
      </c>
      <c r="U16" s="11"/>
      <c r="V16" s="11">
        <v>0.65</v>
      </c>
    </row>
    <row r="17" spans="1:22">
      <c r="A17" s="3">
        <v>14</v>
      </c>
      <c r="B17" s="7" t="str">
        <f>'1课程考核方式及成绩组成'!D24</f>
        <v>190301011</v>
      </c>
      <c r="C17" s="9" t="str">
        <f>'1课程考核方式及成绩组成'!E24</f>
        <v>何晨</v>
      </c>
      <c r="D17" s="6">
        <f ca="1">OFFSET('4学生课程目标达成度'!J$5,(ROW(D17)-3)*7,)</f>
        <v>0.791666666666667</v>
      </c>
      <c r="E17" s="6">
        <f ca="1">OFFSET('4学生课程目标达成度'!J$6,(ROW(E17)-3)*7,)</f>
        <v>0.816666666666667</v>
      </c>
      <c r="F17" s="6">
        <f ca="1">OFFSET('4学生课程目标达成度'!J$7,(ROW(F17)-3)*7,)</f>
        <v>0.705882352941177</v>
      </c>
      <c r="G17" s="6">
        <f ca="1">OFFSET('4学生课程目标达成度'!J$8,(ROW(G17)-3)*7,)</f>
        <v>0.87</v>
      </c>
      <c r="H17" s="6">
        <f ca="1">OFFSET('4学生课程目标达成度'!J$9,(ROW(H17)-3)*7,)</f>
        <v>0</v>
      </c>
      <c r="I17" s="6">
        <f ca="1">OFFSET('4学生课程目标达成度'!J$10,(ROW(I17)-3)*7,)</f>
        <v>0</v>
      </c>
      <c r="J17" s="6">
        <f ca="1">OFFSET('4学生课程目标达成度'!J$11,(ROW(J17)-3)*7,)</f>
        <v>0</v>
      </c>
      <c r="K17" s="6">
        <f ca="1">OFFSET('4学生课程目标达成度'!K$5,(ROW(K17)-3)*7,)</f>
        <v>0.801220588235294</v>
      </c>
      <c r="L17" s="11"/>
      <c r="M17" s="6">
        <f ca="1" t="shared" si="8"/>
        <v>0.820478723404255</v>
      </c>
      <c r="N17" s="6">
        <f ca="1" t="shared" si="9"/>
        <v>0.779905437352246</v>
      </c>
      <c r="O17" s="6">
        <f ca="1" t="shared" si="10"/>
        <v>0.559866499791406</v>
      </c>
      <c r="P17" s="6">
        <f ca="1" t="shared" si="11"/>
        <v>0.788014184397162</v>
      </c>
      <c r="Q17" s="6">
        <f ca="1" t="shared" si="12"/>
        <v>0</v>
      </c>
      <c r="R17" s="6">
        <f ca="1" t="shared" si="13"/>
        <v>0</v>
      </c>
      <c r="S17" s="6">
        <f ca="1" t="shared" si="14"/>
        <v>0</v>
      </c>
      <c r="T17" s="6">
        <f ca="1" t="shared" si="15"/>
        <v>0.718587314003615</v>
      </c>
      <c r="U17" s="11"/>
      <c r="V17" s="11">
        <v>0.65</v>
      </c>
    </row>
    <row r="18" spans="1:22">
      <c r="A18" s="3">
        <v>15</v>
      </c>
      <c r="B18" s="7" t="str">
        <f>'1课程考核方式及成绩组成'!D25</f>
        <v>190301012</v>
      </c>
      <c r="C18" s="8" t="str">
        <f>'1课程考核方式及成绩组成'!E25</f>
        <v>尹昊</v>
      </c>
      <c r="D18" s="6">
        <f ca="1">OFFSET('4学生课程目标达成度'!J$5,(ROW(D18)-3)*7,)</f>
        <v>0.944444444444444</v>
      </c>
      <c r="E18" s="6">
        <f ca="1">OFFSET('4学生课程目标达成度'!J$6,(ROW(E18)-3)*7,)</f>
        <v>0.866666666666667</v>
      </c>
      <c r="F18" s="6">
        <f ca="1">OFFSET('4学生课程目标达成度'!J$7,(ROW(F18)-3)*7,)</f>
        <v>0.588235294117647</v>
      </c>
      <c r="G18" s="6">
        <f ca="1">OFFSET('4学生课程目标达成度'!J$8,(ROW(G18)-3)*7,)</f>
        <v>0.82</v>
      </c>
      <c r="H18" s="6">
        <f ca="1">OFFSET('4学生课程目标达成度'!J$9,(ROW(H18)-3)*7,)</f>
        <v>0</v>
      </c>
      <c r="I18" s="6">
        <f ca="1">OFFSET('4学生课程目标达成度'!J$10,(ROW(I18)-3)*7,)</f>
        <v>0</v>
      </c>
      <c r="J18" s="6">
        <f ca="1">OFFSET('4学生课程目标达成度'!J$11,(ROW(J18)-3)*7,)</f>
        <v>0</v>
      </c>
      <c r="K18" s="6">
        <f ca="1">OFFSET('4学生课程目标达成度'!K$5,(ROW(K18)-3)*7,)</f>
        <v>0.794725490196078</v>
      </c>
      <c r="L18" s="11"/>
      <c r="M18" s="6">
        <f ca="1" t="shared" si="8"/>
        <v>0.820478723404255</v>
      </c>
      <c r="N18" s="6">
        <f ca="1" t="shared" si="9"/>
        <v>0.779905437352246</v>
      </c>
      <c r="O18" s="6">
        <f ca="1" t="shared" si="10"/>
        <v>0.559866499791406</v>
      </c>
      <c r="P18" s="6">
        <f ca="1" t="shared" si="11"/>
        <v>0.788014184397162</v>
      </c>
      <c r="Q18" s="6">
        <f ca="1" t="shared" si="12"/>
        <v>0</v>
      </c>
      <c r="R18" s="6">
        <f ca="1" t="shared" si="13"/>
        <v>0</v>
      </c>
      <c r="S18" s="6">
        <f ca="1" t="shared" si="14"/>
        <v>0</v>
      </c>
      <c r="T18" s="6">
        <f ca="1" t="shared" si="15"/>
        <v>0.718587314003615</v>
      </c>
      <c r="U18" s="11"/>
      <c r="V18" s="11">
        <v>0.65</v>
      </c>
    </row>
    <row r="19" spans="1:22">
      <c r="A19" s="3">
        <v>16</v>
      </c>
      <c r="B19" s="7" t="str">
        <f>'1课程考核方式及成绩组成'!D26</f>
        <v>190301013</v>
      </c>
      <c r="C19" s="8" t="str">
        <f>'1课程考核方式及成绩组成'!E26</f>
        <v>姜佳幸</v>
      </c>
      <c r="D19" s="6">
        <f ca="1">OFFSET('4学生课程目标达成度'!J$5,(ROW(D19)-3)*7,)</f>
        <v>0.833333333333333</v>
      </c>
      <c r="E19" s="6">
        <f ca="1">OFFSET('4学生课程目标达成度'!J$6,(ROW(E19)-3)*7,)</f>
        <v>0.766666666666667</v>
      </c>
      <c r="F19" s="6">
        <f ca="1">OFFSET('4学生课程目标达成度'!J$7,(ROW(F19)-3)*7,)</f>
        <v>0.529411764705882</v>
      </c>
      <c r="G19" s="6">
        <f ca="1">OFFSET('4学生课程目标达成度'!J$8,(ROW(G19)-3)*7,)</f>
        <v>0.63</v>
      </c>
      <c r="H19" s="6">
        <f ca="1">OFFSET('4学生课程目标达成度'!J$9,(ROW(H19)-3)*7,)</f>
        <v>0</v>
      </c>
      <c r="I19" s="6">
        <f ca="1">OFFSET('4学生课程目标达成度'!J$10,(ROW(I19)-3)*7,)</f>
        <v>0</v>
      </c>
      <c r="J19" s="6">
        <f ca="1">OFFSET('4学生课程目标达成度'!J$11,(ROW(J19)-3)*7,)</f>
        <v>0</v>
      </c>
      <c r="K19" s="6">
        <f ca="1">OFFSET('4学生课程目标达成度'!K$5,(ROW(K19)-3)*7,)</f>
        <v>0.676352941176471</v>
      </c>
      <c r="L19" s="11"/>
      <c r="M19" s="6">
        <f ca="1" t="shared" si="8"/>
        <v>0.820478723404255</v>
      </c>
      <c r="N19" s="6">
        <f ca="1" t="shared" si="9"/>
        <v>0.779905437352246</v>
      </c>
      <c r="O19" s="6">
        <f ca="1" t="shared" si="10"/>
        <v>0.559866499791406</v>
      </c>
      <c r="P19" s="6">
        <f ca="1" t="shared" si="11"/>
        <v>0.788014184397162</v>
      </c>
      <c r="Q19" s="6">
        <f ca="1" t="shared" si="12"/>
        <v>0</v>
      </c>
      <c r="R19" s="6">
        <f ca="1" t="shared" si="13"/>
        <v>0</v>
      </c>
      <c r="S19" s="6">
        <f ca="1" t="shared" si="14"/>
        <v>0</v>
      </c>
      <c r="T19" s="6">
        <f ca="1" t="shared" si="15"/>
        <v>0.718587314003615</v>
      </c>
      <c r="U19" s="11"/>
      <c r="V19" s="11">
        <v>0.65</v>
      </c>
    </row>
    <row r="20" spans="1:22">
      <c r="A20" s="3">
        <v>17</v>
      </c>
      <c r="B20" s="7" t="str">
        <f>'1课程考核方式及成绩组成'!D27</f>
        <v>190301014</v>
      </c>
      <c r="C20" s="8" t="str">
        <f>'1课程考核方式及成绩组成'!E27</f>
        <v>潘瑞智</v>
      </c>
      <c r="D20" s="6">
        <f ca="1">OFFSET('4学生课程目标达成度'!J$5,(ROW(D20)-3)*7,)</f>
        <v>0.916666666666667</v>
      </c>
      <c r="E20" s="6">
        <f ca="1">OFFSET('4学生课程目标达成度'!J$6,(ROW(E20)-3)*7,)</f>
        <v>0.8</v>
      </c>
      <c r="F20" s="6">
        <f ca="1">OFFSET('4学生课程目标达成度'!J$7,(ROW(F20)-3)*7,)</f>
        <v>0.558823529411765</v>
      </c>
      <c r="G20" s="6">
        <f ca="1">OFFSET('4学生课程目标达成度'!J$8,(ROW(G20)-3)*7,)</f>
        <v>0.83</v>
      </c>
      <c r="H20" s="6">
        <f ca="1">OFFSET('4学生课程目标达成度'!J$9,(ROW(H20)-3)*7,)</f>
        <v>0</v>
      </c>
      <c r="I20" s="6">
        <f ca="1">OFFSET('4学生课程目标达成度'!J$10,(ROW(I20)-3)*7,)</f>
        <v>0</v>
      </c>
      <c r="J20" s="6">
        <f ca="1">OFFSET('4学生课程目标达成度'!J$11,(ROW(J20)-3)*7,)</f>
        <v>0</v>
      </c>
      <c r="K20" s="6">
        <f ca="1">OFFSET('4学生课程目标达成度'!K$5,(ROW(K20)-3)*7,)</f>
        <v>0.766205882352941</v>
      </c>
      <c r="L20" s="11"/>
      <c r="M20" s="6">
        <f ca="1" t="shared" si="8"/>
        <v>0.820478723404255</v>
      </c>
      <c r="N20" s="6">
        <f ca="1" t="shared" si="9"/>
        <v>0.779905437352246</v>
      </c>
      <c r="O20" s="6">
        <f ca="1" t="shared" si="10"/>
        <v>0.559866499791406</v>
      </c>
      <c r="P20" s="6">
        <f ca="1" t="shared" si="11"/>
        <v>0.788014184397162</v>
      </c>
      <c r="Q20" s="6">
        <f ca="1" t="shared" si="12"/>
        <v>0</v>
      </c>
      <c r="R20" s="6">
        <f ca="1" t="shared" si="13"/>
        <v>0</v>
      </c>
      <c r="S20" s="6">
        <f ca="1" t="shared" si="14"/>
        <v>0</v>
      </c>
      <c r="T20" s="6">
        <f ca="1" t="shared" si="15"/>
        <v>0.718587314003615</v>
      </c>
      <c r="U20" s="11"/>
      <c r="V20" s="11">
        <v>0.65</v>
      </c>
    </row>
    <row r="21" spans="1:22">
      <c r="A21" s="3">
        <v>18</v>
      </c>
      <c r="B21" s="7" t="str">
        <f>'1课程考核方式及成绩组成'!D28</f>
        <v>190301015</v>
      </c>
      <c r="C21" s="8" t="str">
        <f>'1课程考核方式及成绩组成'!E28</f>
        <v>陈俊</v>
      </c>
      <c r="D21" s="6">
        <f ca="1">OFFSET('4学生课程目标达成度'!J$5,(ROW(D21)-3)*7,)</f>
        <v>0.916666666666667</v>
      </c>
      <c r="E21" s="6">
        <f ca="1">OFFSET('4学生课程目标达成度'!J$6,(ROW(E21)-3)*7,)</f>
        <v>0.883333333333333</v>
      </c>
      <c r="F21" s="6">
        <f ca="1">OFFSET('4学生课程目标达成度'!J$7,(ROW(F21)-3)*7,)</f>
        <v>0.5</v>
      </c>
      <c r="G21" s="6">
        <f ca="1">OFFSET('4学生课程目标达成度'!J$8,(ROW(G21)-3)*7,)</f>
        <v>0.82</v>
      </c>
      <c r="H21" s="6">
        <f ca="1">OFFSET('4学生课程目标达成度'!J$9,(ROW(H21)-3)*7,)</f>
        <v>0</v>
      </c>
      <c r="I21" s="6">
        <f ca="1">OFFSET('4学生课程目标达成度'!J$10,(ROW(I21)-3)*7,)</f>
        <v>0</v>
      </c>
      <c r="J21" s="6">
        <f ca="1">OFFSET('4学生课程目标达成度'!J$11,(ROW(J21)-3)*7,)</f>
        <v>0</v>
      </c>
      <c r="K21" s="6">
        <f ca="1">OFFSET('4学生课程目标达成度'!K$5,(ROW(K21)-3)*7,)</f>
        <v>0.7735</v>
      </c>
      <c r="L21" s="11"/>
      <c r="M21" s="6">
        <f ca="1" t="shared" si="8"/>
        <v>0.820478723404255</v>
      </c>
      <c r="N21" s="6">
        <f ca="1" t="shared" si="9"/>
        <v>0.779905437352246</v>
      </c>
      <c r="O21" s="6">
        <f ca="1" t="shared" si="10"/>
        <v>0.559866499791406</v>
      </c>
      <c r="P21" s="6">
        <f ca="1" t="shared" si="11"/>
        <v>0.788014184397162</v>
      </c>
      <c r="Q21" s="6">
        <f ca="1" t="shared" si="12"/>
        <v>0</v>
      </c>
      <c r="R21" s="6">
        <f ca="1" t="shared" si="13"/>
        <v>0</v>
      </c>
      <c r="S21" s="6">
        <f ca="1" t="shared" si="14"/>
        <v>0</v>
      </c>
      <c r="T21" s="6">
        <f ca="1" t="shared" si="15"/>
        <v>0.718587314003615</v>
      </c>
      <c r="U21" s="11"/>
      <c r="V21" s="11">
        <v>0.65</v>
      </c>
    </row>
    <row r="22" spans="1:22">
      <c r="A22" s="3">
        <v>19</v>
      </c>
      <c r="B22" s="7" t="str">
        <f>'1课程考核方式及成绩组成'!D29</f>
        <v>190301016</v>
      </c>
      <c r="C22" s="8" t="str">
        <f>'1课程考核方式及成绩组成'!E29</f>
        <v>任昌鹏</v>
      </c>
      <c r="D22" s="6">
        <f ca="1">OFFSET('4学生课程目标达成度'!J$5,(ROW(D22)-3)*7,)</f>
        <v>1</v>
      </c>
      <c r="E22" s="6">
        <f ca="1">OFFSET('4学生课程目标达成度'!J$6,(ROW(E22)-3)*7,)</f>
        <v>0.883333333333333</v>
      </c>
      <c r="F22" s="6">
        <f ca="1">OFFSET('4学生课程目标达成度'!J$7,(ROW(F22)-3)*7,)</f>
        <v>0.794117647058823</v>
      </c>
      <c r="G22" s="6">
        <f ca="1">OFFSET('4学生课程目标达成度'!J$8,(ROW(G22)-3)*7,)</f>
        <v>0.77</v>
      </c>
      <c r="H22" s="6">
        <f ca="1">OFFSET('4学生课程目标达成度'!J$9,(ROW(H22)-3)*7,)</f>
        <v>0</v>
      </c>
      <c r="I22" s="6">
        <f ca="1">OFFSET('4学生课程目标达成度'!J$10,(ROW(I22)-3)*7,)</f>
        <v>0</v>
      </c>
      <c r="J22" s="6">
        <f ca="1">OFFSET('4学生课程目标达成度'!J$11,(ROW(J22)-3)*7,)</f>
        <v>0</v>
      </c>
      <c r="K22" s="6">
        <f ca="1">OFFSET('4学生课程目标达成度'!K$5,(ROW(K22)-3)*7,)</f>
        <v>0.844529411764706</v>
      </c>
      <c r="L22" s="11"/>
      <c r="M22" s="6">
        <f ca="1" t="shared" si="8"/>
        <v>0.820478723404255</v>
      </c>
      <c r="N22" s="6">
        <f ca="1" t="shared" si="9"/>
        <v>0.779905437352246</v>
      </c>
      <c r="O22" s="6">
        <f ca="1" t="shared" si="10"/>
        <v>0.559866499791406</v>
      </c>
      <c r="P22" s="6">
        <f ca="1" t="shared" si="11"/>
        <v>0.788014184397162</v>
      </c>
      <c r="Q22" s="6">
        <f ca="1" t="shared" si="12"/>
        <v>0</v>
      </c>
      <c r="R22" s="6">
        <f ca="1" t="shared" si="13"/>
        <v>0</v>
      </c>
      <c r="S22" s="6">
        <f ca="1" t="shared" si="14"/>
        <v>0</v>
      </c>
      <c r="T22" s="6">
        <f ca="1" t="shared" si="15"/>
        <v>0.718587314003615</v>
      </c>
      <c r="U22" s="11"/>
      <c r="V22" s="11">
        <v>0.65</v>
      </c>
    </row>
    <row r="23" spans="1:22">
      <c r="A23" s="3">
        <v>20</v>
      </c>
      <c r="B23" s="7" t="str">
        <f>'1课程考核方式及成绩组成'!D30</f>
        <v>190301017</v>
      </c>
      <c r="C23" s="8" t="str">
        <f>'1课程考核方式及成绩组成'!E30</f>
        <v>王聪</v>
      </c>
      <c r="D23" s="6">
        <f ca="1">OFFSET('4学生课程目标达成度'!J$5,(ROW(D23)-3)*7,)</f>
        <v>0.888888888888889</v>
      </c>
      <c r="E23" s="6">
        <f ca="1">OFFSET('4学生课程目标达成度'!J$6,(ROW(E23)-3)*7,)</f>
        <v>0.766666666666667</v>
      </c>
      <c r="F23" s="6">
        <f ca="1">OFFSET('4学生课程目标达成度'!J$7,(ROW(F23)-3)*7,)</f>
        <v>0.617647058823529</v>
      </c>
      <c r="G23" s="6">
        <f ca="1">OFFSET('4学生课程目标达成度'!J$8,(ROW(G23)-3)*7,)</f>
        <v>0.83</v>
      </c>
      <c r="H23" s="6">
        <f ca="1">OFFSET('4学生课程目标达成度'!J$9,(ROW(H23)-3)*7,)</f>
        <v>0</v>
      </c>
      <c r="I23" s="6">
        <f ca="1">OFFSET('4学生课程目标达成度'!J$10,(ROW(I23)-3)*7,)</f>
        <v>0</v>
      </c>
      <c r="J23" s="6">
        <f ca="1">OFFSET('4学生课程目标达成度'!J$11,(ROW(J23)-3)*7,)</f>
        <v>0</v>
      </c>
      <c r="K23" s="6">
        <f ca="1">OFFSET('4学生课程目标达成度'!K$5,(ROW(K23)-3)*7,)</f>
        <v>0.766745098039216</v>
      </c>
      <c r="L23" s="11"/>
      <c r="M23" s="6">
        <f ca="1" t="shared" ref="M23:M32" si="16">$D$2</f>
        <v>0.820478723404255</v>
      </c>
      <c r="N23" s="6">
        <f ca="1" t="shared" ref="N23:N32" si="17">$E$2</f>
        <v>0.779905437352246</v>
      </c>
      <c r="O23" s="6">
        <f ca="1" t="shared" ref="O23:O32" si="18">$F$2</f>
        <v>0.559866499791406</v>
      </c>
      <c r="P23" s="6">
        <f ca="1" t="shared" ref="P23:P32" si="19">$G$2</f>
        <v>0.788014184397162</v>
      </c>
      <c r="Q23" s="6">
        <f ca="1" t="shared" ref="Q23:Q32" si="20">$H$2</f>
        <v>0</v>
      </c>
      <c r="R23" s="6">
        <f ca="1" t="shared" ref="R23:R32" si="21">$I$2</f>
        <v>0</v>
      </c>
      <c r="S23" s="6">
        <f ca="1" t="shared" ref="S23:S32" si="22">$J$2</f>
        <v>0</v>
      </c>
      <c r="T23" s="6">
        <f ca="1" t="shared" ref="T23:T32" si="23">$K$2</f>
        <v>0.718587314003615</v>
      </c>
      <c r="U23" s="11"/>
      <c r="V23" s="11">
        <v>0.65</v>
      </c>
    </row>
    <row r="24" spans="1:22">
      <c r="A24" s="3">
        <v>21</v>
      </c>
      <c r="B24" s="7" t="str">
        <f>'1课程考核方式及成绩组成'!D31</f>
        <v>190301018</v>
      </c>
      <c r="C24" s="8" t="str">
        <f>'1课程考核方式及成绩组成'!E31</f>
        <v>胡雨梦</v>
      </c>
      <c r="D24" s="6">
        <f ca="1">OFFSET('4学生课程目标达成度'!J$5,(ROW(D24)-3)*7,)</f>
        <v>0.944444444444444</v>
      </c>
      <c r="E24" s="6">
        <f ca="1">OFFSET('4学生课程目标达成度'!J$6,(ROW(E24)-3)*7,)</f>
        <v>0.866666666666667</v>
      </c>
      <c r="F24" s="6">
        <f ca="1">OFFSET('4学生课程目标达成度'!J$7,(ROW(F24)-3)*7,)</f>
        <v>0.558823529411765</v>
      </c>
      <c r="G24" s="6">
        <f ca="1">OFFSET('4学生课程目标达成度'!J$8,(ROW(G24)-3)*7,)</f>
        <v>0.72</v>
      </c>
      <c r="H24" s="6">
        <f ca="1">OFFSET('4学生课程目标达成度'!J$9,(ROW(H24)-3)*7,)</f>
        <v>0</v>
      </c>
      <c r="I24" s="6">
        <f ca="1">OFFSET('4学生课程目标达成度'!J$10,(ROW(I24)-3)*7,)</f>
        <v>0</v>
      </c>
      <c r="J24" s="6">
        <f ca="1">OFFSET('4学生课程目标达成度'!J$11,(ROW(J24)-3)*7,)</f>
        <v>0</v>
      </c>
      <c r="K24" s="6">
        <f ca="1">OFFSET('4学生课程目标达成度'!K$5,(ROW(K24)-3)*7,)</f>
        <v>0.757372549019608</v>
      </c>
      <c r="L24" s="11"/>
      <c r="M24" s="6">
        <f ca="1" t="shared" si="16"/>
        <v>0.820478723404255</v>
      </c>
      <c r="N24" s="6">
        <f ca="1" t="shared" si="17"/>
        <v>0.779905437352246</v>
      </c>
      <c r="O24" s="6">
        <f ca="1" t="shared" si="18"/>
        <v>0.559866499791406</v>
      </c>
      <c r="P24" s="6">
        <f ca="1" t="shared" si="19"/>
        <v>0.788014184397162</v>
      </c>
      <c r="Q24" s="6">
        <f ca="1" t="shared" si="20"/>
        <v>0</v>
      </c>
      <c r="R24" s="6">
        <f ca="1" t="shared" si="21"/>
        <v>0</v>
      </c>
      <c r="S24" s="6">
        <f ca="1" t="shared" si="22"/>
        <v>0</v>
      </c>
      <c r="T24" s="6">
        <f ca="1" t="shared" si="23"/>
        <v>0.718587314003615</v>
      </c>
      <c r="U24" s="11"/>
      <c r="V24" s="11">
        <v>0.65</v>
      </c>
    </row>
    <row r="25" spans="1:22">
      <c r="A25" s="3">
        <v>22</v>
      </c>
      <c r="B25" s="7" t="str">
        <f>'1课程考核方式及成绩组成'!D32</f>
        <v>190301019</v>
      </c>
      <c r="C25" s="8" t="str">
        <f>'1课程考核方式及成绩组成'!E32</f>
        <v>钟瑞东</v>
      </c>
      <c r="D25" s="6">
        <f ca="1">OFFSET('4学生课程目标达成度'!J$5,(ROW(D25)-3)*7,)</f>
        <v>0.861111111111111</v>
      </c>
      <c r="E25" s="6">
        <f ca="1">OFFSET('4学生课程目标达成度'!J$6,(ROW(E25)-3)*7,)</f>
        <v>0.816666666666667</v>
      </c>
      <c r="F25" s="6">
        <f ca="1">OFFSET('4学生课程目标达成度'!J$7,(ROW(F25)-3)*7,)</f>
        <v>0.470588235294118</v>
      </c>
      <c r="G25" s="6">
        <f ca="1">OFFSET('4学生课程目标达成度'!J$8,(ROW(G25)-3)*7,)</f>
        <v>0.83</v>
      </c>
      <c r="H25" s="6">
        <f ca="1">OFFSET('4学生课程目标达成度'!J$9,(ROW(H25)-3)*7,)</f>
        <v>0</v>
      </c>
      <c r="I25" s="6">
        <f ca="1">OFFSET('4学生课程目标达成度'!J$10,(ROW(I25)-3)*7,)</f>
        <v>0</v>
      </c>
      <c r="J25" s="6">
        <f ca="1">OFFSET('4学生课程目标达成度'!J$11,(ROW(J25)-3)*7,)</f>
        <v>0</v>
      </c>
      <c r="K25" s="6">
        <f ca="1">OFFSET('4学生课程目标达成度'!K$5,(ROW(K25)-3)*7,)</f>
        <v>0.740813725490196</v>
      </c>
      <c r="L25" s="11"/>
      <c r="M25" s="6">
        <f ca="1" t="shared" si="16"/>
        <v>0.820478723404255</v>
      </c>
      <c r="N25" s="6">
        <f ca="1" t="shared" si="17"/>
        <v>0.779905437352246</v>
      </c>
      <c r="O25" s="6">
        <f ca="1" t="shared" si="18"/>
        <v>0.559866499791406</v>
      </c>
      <c r="P25" s="6">
        <f ca="1" t="shared" si="19"/>
        <v>0.788014184397162</v>
      </c>
      <c r="Q25" s="6">
        <f ca="1" t="shared" si="20"/>
        <v>0</v>
      </c>
      <c r="R25" s="6">
        <f ca="1" t="shared" si="21"/>
        <v>0</v>
      </c>
      <c r="S25" s="6">
        <f ca="1" t="shared" si="22"/>
        <v>0</v>
      </c>
      <c r="T25" s="6">
        <f ca="1" t="shared" si="23"/>
        <v>0.718587314003615</v>
      </c>
      <c r="U25" s="11"/>
      <c r="V25" s="11">
        <v>0.65</v>
      </c>
    </row>
    <row r="26" spans="1:22">
      <c r="A26" s="3">
        <v>23</v>
      </c>
      <c r="B26" s="7" t="str">
        <f>'1课程考核方式及成绩组成'!D33</f>
        <v>190301020</v>
      </c>
      <c r="C26" s="8" t="str">
        <f>'1课程考核方式及成绩组成'!E33</f>
        <v>张鹏</v>
      </c>
      <c r="D26" s="6">
        <f ca="1">OFFSET('4学生课程目标达成度'!J$5,(ROW(D26)-3)*7,)</f>
        <v>0.583333333333333</v>
      </c>
      <c r="E26" s="6">
        <f ca="1">OFFSET('4学生课程目标达成度'!J$6,(ROW(E26)-3)*7,)</f>
        <v>0.616666666666667</v>
      </c>
      <c r="F26" s="6">
        <f ca="1">OFFSET('4学生课程目标达成度'!J$7,(ROW(F26)-3)*7,)</f>
        <v>0.441176470588235</v>
      </c>
      <c r="G26" s="6">
        <f ca="1">OFFSET('4学生课程目标达成度'!J$8,(ROW(G26)-3)*7,)</f>
        <v>0.73</v>
      </c>
      <c r="H26" s="6">
        <f ca="1">OFFSET('4学生课程目标达成度'!J$9,(ROW(H26)-3)*7,)</f>
        <v>0</v>
      </c>
      <c r="I26" s="6">
        <f ca="1">OFFSET('4学生课程目标达成度'!J$10,(ROW(I26)-3)*7,)</f>
        <v>0</v>
      </c>
      <c r="J26" s="6">
        <f ca="1">OFFSET('4学生课程目标达成度'!J$11,(ROW(J26)-3)*7,)</f>
        <v>0</v>
      </c>
      <c r="K26" s="6">
        <f ca="1">OFFSET('4学生课程目标达成度'!K$5,(ROW(K26)-3)*7,)</f>
        <v>0.601794117647059</v>
      </c>
      <c r="L26" s="11"/>
      <c r="M26" s="6">
        <f ca="1" t="shared" si="16"/>
        <v>0.820478723404255</v>
      </c>
      <c r="N26" s="6">
        <f ca="1" t="shared" si="17"/>
        <v>0.779905437352246</v>
      </c>
      <c r="O26" s="6">
        <f ca="1" t="shared" si="18"/>
        <v>0.559866499791406</v>
      </c>
      <c r="P26" s="6">
        <f ca="1" t="shared" si="19"/>
        <v>0.788014184397162</v>
      </c>
      <c r="Q26" s="6">
        <f ca="1" t="shared" si="20"/>
        <v>0</v>
      </c>
      <c r="R26" s="6">
        <f ca="1" t="shared" si="21"/>
        <v>0</v>
      </c>
      <c r="S26" s="6">
        <f ca="1" t="shared" si="22"/>
        <v>0</v>
      </c>
      <c r="T26" s="6">
        <f ca="1" t="shared" si="23"/>
        <v>0.718587314003615</v>
      </c>
      <c r="U26" s="11"/>
      <c r="V26" s="11">
        <v>0.65</v>
      </c>
    </row>
    <row r="27" spans="1:22">
      <c r="A27" s="3">
        <v>24</v>
      </c>
      <c r="B27" s="7" t="str">
        <f>'1课程考核方式及成绩组成'!D34</f>
        <v>190301021</v>
      </c>
      <c r="C27" s="9" t="str">
        <f>'1课程考核方式及成绩组成'!E34</f>
        <v>尹杰</v>
      </c>
      <c r="D27" s="6">
        <f ca="1">OFFSET('4学生课程目标达成度'!J$5,(ROW(D27)-3)*7,)</f>
        <v>0.777777777777778</v>
      </c>
      <c r="E27" s="6">
        <f ca="1">OFFSET('4学生课程目标达成度'!J$6,(ROW(E27)-3)*7,)</f>
        <v>0.616666666666667</v>
      </c>
      <c r="F27" s="6">
        <f ca="1">OFFSET('4学生课程目标达成度'!J$7,(ROW(F27)-3)*7,)</f>
        <v>0.470588235294118</v>
      </c>
      <c r="G27" s="6">
        <f ca="1">OFFSET('4学生课程目标达成度'!J$8,(ROW(G27)-3)*7,)</f>
        <v>0.88</v>
      </c>
      <c r="H27" s="6">
        <f ca="1">OFFSET('4学生课程目标达成度'!J$9,(ROW(H27)-3)*7,)</f>
        <v>0</v>
      </c>
      <c r="I27" s="6">
        <f ca="1">OFFSET('4学生课程目标达成度'!J$10,(ROW(I27)-3)*7,)</f>
        <v>0</v>
      </c>
      <c r="J27" s="6">
        <f ca="1">OFFSET('4学生课程目标达成度'!J$11,(ROW(J27)-3)*7,)</f>
        <v>0</v>
      </c>
      <c r="K27" s="6">
        <f ca="1">OFFSET('4学生课程目标达成度'!K$5,(ROW(K27)-3)*7,)</f>
        <v>0.683313725490196</v>
      </c>
      <c r="L27" s="11"/>
      <c r="M27" s="6">
        <f ca="1" t="shared" si="16"/>
        <v>0.820478723404255</v>
      </c>
      <c r="N27" s="6">
        <f ca="1" t="shared" si="17"/>
        <v>0.779905437352246</v>
      </c>
      <c r="O27" s="6">
        <f ca="1" t="shared" si="18"/>
        <v>0.559866499791406</v>
      </c>
      <c r="P27" s="6">
        <f ca="1" t="shared" si="19"/>
        <v>0.788014184397162</v>
      </c>
      <c r="Q27" s="6">
        <f ca="1" t="shared" si="20"/>
        <v>0</v>
      </c>
      <c r="R27" s="6">
        <f ca="1" t="shared" si="21"/>
        <v>0</v>
      </c>
      <c r="S27" s="6">
        <f ca="1" t="shared" si="22"/>
        <v>0</v>
      </c>
      <c r="T27" s="6">
        <f ca="1" t="shared" si="23"/>
        <v>0.718587314003615</v>
      </c>
      <c r="U27" s="11"/>
      <c r="V27" s="11">
        <v>0.65</v>
      </c>
    </row>
    <row r="28" spans="1:22">
      <c r="A28" s="3">
        <v>25</v>
      </c>
      <c r="B28" s="7" t="str">
        <f>'1课程考核方式及成绩组成'!D35</f>
        <v>190301022</v>
      </c>
      <c r="C28" s="8" t="str">
        <f>'1课程考核方式及成绩组成'!E35</f>
        <v>寇云琦</v>
      </c>
      <c r="D28" s="6">
        <f ca="1">OFFSET('4学生课程目标达成度'!J$5,(ROW(D28)-3)*7,)</f>
        <v>0.972222222222222</v>
      </c>
      <c r="E28" s="6">
        <f ca="1">OFFSET('4学生课程目标达成度'!J$6,(ROW(E28)-3)*7,)</f>
        <v>0.85</v>
      </c>
      <c r="F28" s="6">
        <f ca="1">OFFSET('4学生课程目标达成度'!J$7,(ROW(F28)-3)*7,)</f>
        <v>0.617647058823529</v>
      </c>
      <c r="G28" s="6">
        <f ca="1">OFFSET('4学生课程目标达成度'!J$8,(ROW(G28)-3)*7,)</f>
        <v>0.78</v>
      </c>
      <c r="H28" s="6">
        <f ca="1">OFFSET('4学生课程目标达成度'!J$9,(ROW(H28)-3)*7,)</f>
        <v>0</v>
      </c>
      <c r="I28" s="6">
        <f ca="1">OFFSET('4学生课程目标达成度'!J$10,(ROW(I28)-3)*7,)</f>
        <v>0</v>
      </c>
      <c r="J28" s="6">
        <f ca="1">OFFSET('4学生课程目标达成度'!J$11,(ROW(J28)-3)*7,)</f>
        <v>0</v>
      </c>
      <c r="K28" s="6">
        <f ca="1">OFFSET('4学生课程目标达成度'!K$5,(ROW(K28)-3)*7,)</f>
        <v>0.789245098039216</v>
      </c>
      <c r="L28" s="11"/>
      <c r="M28" s="6">
        <f ca="1" t="shared" si="16"/>
        <v>0.820478723404255</v>
      </c>
      <c r="N28" s="6">
        <f ca="1" t="shared" si="17"/>
        <v>0.779905437352246</v>
      </c>
      <c r="O28" s="6">
        <f ca="1" t="shared" si="18"/>
        <v>0.559866499791406</v>
      </c>
      <c r="P28" s="6">
        <f ca="1" t="shared" si="19"/>
        <v>0.788014184397162</v>
      </c>
      <c r="Q28" s="6">
        <f ca="1" t="shared" si="20"/>
        <v>0</v>
      </c>
      <c r="R28" s="6">
        <f ca="1" t="shared" si="21"/>
        <v>0</v>
      </c>
      <c r="S28" s="6">
        <f ca="1" t="shared" si="22"/>
        <v>0</v>
      </c>
      <c r="T28" s="6">
        <f ca="1" t="shared" si="23"/>
        <v>0.718587314003615</v>
      </c>
      <c r="U28" s="11"/>
      <c r="V28" s="11">
        <v>0.65</v>
      </c>
    </row>
    <row r="29" spans="1:22">
      <c r="A29" s="3">
        <v>26</v>
      </c>
      <c r="B29" s="7" t="str">
        <f>'1课程考核方式及成绩组成'!D36</f>
        <v>190301023</v>
      </c>
      <c r="C29" s="8" t="str">
        <f>'1课程考核方式及成绩组成'!E36</f>
        <v>杨承烨</v>
      </c>
      <c r="D29" s="6">
        <f ca="1">OFFSET('4学生课程目标达成度'!J$5,(ROW(D29)-3)*7,)</f>
        <v>0.861111111111111</v>
      </c>
      <c r="E29" s="6">
        <f ca="1">OFFSET('4学生课程目标达成度'!J$6,(ROW(E29)-3)*7,)</f>
        <v>0.883333333333333</v>
      </c>
      <c r="F29" s="6">
        <f ca="1">OFFSET('4学生课程目标达成度'!J$7,(ROW(F29)-3)*7,)</f>
        <v>0.647058823529412</v>
      </c>
      <c r="G29" s="6">
        <f ca="1">OFFSET('4学生课程目标达成度'!J$8,(ROW(G29)-3)*7,)</f>
        <v>0.77</v>
      </c>
      <c r="H29" s="6">
        <f ca="1">OFFSET('4学生课程目标达成度'!J$9,(ROW(H29)-3)*7,)</f>
        <v>0</v>
      </c>
      <c r="I29" s="6">
        <f ca="1">OFFSET('4学生课程目标达成度'!J$10,(ROW(I29)-3)*7,)</f>
        <v>0</v>
      </c>
      <c r="J29" s="6">
        <f ca="1">OFFSET('4学生课程目标达成度'!J$11,(ROW(J29)-3)*7,)</f>
        <v>0</v>
      </c>
      <c r="K29" s="6">
        <f ca="1">OFFSET('4学生课程目标达成度'!K$5,(ROW(K29)-3)*7,)</f>
        <v>0.78693137254902</v>
      </c>
      <c r="L29" s="11"/>
      <c r="M29" s="6">
        <f ca="1" t="shared" si="16"/>
        <v>0.820478723404255</v>
      </c>
      <c r="N29" s="6">
        <f ca="1" t="shared" si="17"/>
        <v>0.779905437352246</v>
      </c>
      <c r="O29" s="6">
        <f ca="1" t="shared" si="18"/>
        <v>0.559866499791406</v>
      </c>
      <c r="P29" s="6">
        <f ca="1" t="shared" si="19"/>
        <v>0.788014184397162</v>
      </c>
      <c r="Q29" s="6">
        <f ca="1" t="shared" si="20"/>
        <v>0</v>
      </c>
      <c r="R29" s="6">
        <f ca="1" t="shared" si="21"/>
        <v>0</v>
      </c>
      <c r="S29" s="6">
        <f ca="1" t="shared" si="22"/>
        <v>0</v>
      </c>
      <c r="T29" s="6">
        <f ca="1" t="shared" si="23"/>
        <v>0.718587314003615</v>
      </c>
      <c r="U29" s="11"/>
      <c r="V29" s="11">
        <v>0.65</v>
      </c>
    </row>
    <row r="30" spans="1:22">
      <c r="A30" s="3">
        <v>27</v>
      </c>
      <c r="B30" s="7" t="str">
        <f>'1课程考核方式及成绩组成'!D37</f>
        <v>190301024</v>
      </c>
      <c r="C30" s="8" t="str">
        <f>'1课程考核方式及成绩组成'!E37</f>
        <v>喻钦鑫</v>
      </c>
      <c r="D30" s="6">
        <f ca="1">OFFSET('4学生课程目标达成度'!J$5,(ROW(D30)-3)*7,)</f>
        <v>0.784722222222222</v>
      </c>
      <c r="E30" s="6">
        <f ca="1">OFFSET('4学生课程目标达成度'!J$6,(ROW(E30)-3)*7,)</f>
        <v>0.658333333333333</v>
      </c>
      <c r="F30" s="6">
        <f ca="1">OFFSET('4学生课程目标达成度'!J$7,(ROW(F30)-3)*7,)</f>
        <v>0.617647058823529</v>
      </c>
      <c r="G30" s="6">
        <f ca="1">OFFSET('4学生课程目标达成度'!J$8,(ROW(G30)-3)*7,)</f>
        <v>0.7</v>
      </c>
      <c r="H30" s="6">
        <f ca="1">OFFSET('4学生课程目标达成度'!J$9,(ROW(H30)-3)*7,)</f>
        <v>0</v>
      </c>
      <c r="I30" s="6">
        <f ca="1">OFFSET('4学生课程目标达成度'!J$10,(ROW(I30)-3)*7,)</f>
        <v>0</v>
      </c>
      <c r="J30" s="6">
        <f ca="1">OFFSET('4学生课程目标达成度'!J$11,(ROW(J30)-3)*7,)</f>
        <v>0</v>
      </c>
      <c r="K30" s="6">
        <f ca="1">OFFSET('4学生课程目标达成度'!K$5,(ROW(K30)-3)*7,)</f>
        <v>0.679620098039216</v>
      </c>
      <c r="L30" s="11"/>
      <c r="M30" s="6">
        <f ca="1" t="shared" si="16"/>
        <v>0.820478723404255</v>
      </c>
      <c r="N30" s="6">
        <f ca="1" t="shared" si="17"/>
        <v>0.779905437352246</v>
      </c>
      <c r="O30" s="6">
        <f ca="1" t="shared" si="18"/>
        <v>0.559866499791406</v>
      </c>
      <c r="P30" s="6">
        <f ca="1" t="shared" si="19"/>
        <v>0.788014184397162</v>
      </c>
      <c r="Q30" s="6">
        <f ca="1" t="shared" si="20"/>
        <v>0</v>
      </c>
      <c r="R30" s="6">
        <f ca="1" t="shared" si="21"/>
        <v>0</v>
      </c>
      <c r="S30" s="6">
        <f ca="1" t="shared" si="22"/>
        <v>0</v>
      </c>
      <c r="T30" s="6">
        <f ca="1" t="shared" si="23"/>
        <v>0.718587314003615</v>
      </c>
      <c r="U30" s="11"/>
      <c r="V30" s="11">
        <v>0.65</v>
      </c>
    </row>
    <row r="31" spans="1:22">
      <c r="A31" s="3">
        <v>28</v>
      </c>
      <c r="B31" s="7" t="str">
        <f>'1课程考核方式及成绩组成'!D38</f>
        <v>190301025</v>
      </c>
      <c r="C31" s="8" t="str">
        <f>'1课程考核方式及成绩组成'!E38</f>
        <v>唐伟峰</v>
      </c>
      <c r="D31" s="6">
        <f ca="1">OFFSET('4学生课程目标达成度'!J$5,(ROW(D31)-3)*7,)</f>
        <v>0.708333333333333</v>
      </c>
      <c r="E31" s="6">
        <f ca="1">OFFSET('4学生课程目标达成度'!J$6,(ROW(E31)-3)*7,)</f>
        <v>0.783333333333333</v>
      </c>
      <c r="F31" s="6">
        <f ca="1">OFFSET('4学生课程目标达成度'!J$7,(ROW(F31)-3)*7,)</f>
        <v>0.5</v>
      </c>
      <c r="G31" s="6">
        <f ca="1">OFFSET('4学生课程目标达成度'!J$8,(ROW(G31)-3)*7,)</f>
        <v>0</v>
      </c>
      <c r="H31" s="6">
        <f ca="1">OFFSET('4学生课程目标达成度'!J$9,(ROW(H31)-3)*7,)</f>
        <v>0</v>
      </c>
      <c r="I31" s="6">
        <f ca="1">OFFSET('4学生课程目标达成度'!J$10,(ROW(I31)-3)*7,)</f>
        <v>0</v>
      </c>
      <c r="J31" s="6">
        <f ca="1">OFFSET('4学生课程目标达成度'!J$11,(ROW(J31)-3)*7,)</f>
        <v>0</v>
      </c>
      <c r="K31" s="6">
        <f ca="1">OFFSET('4学生课程目标达成度'!K$5,(ROW(K31)-3)*7,)</f>
        <v>0.46625</v>
      </c>
      <c r="L31" s="11"/>
      <c r="M31" s="6">
        <f ca="1" t="shared" si="16"/>
        <v>0.820478723404255</v>
      </c>
      <c r="N31" s="6">
        <f ca="1" t="shared" si="17"/>
        <v>0.779905437352246</v>
      </c>
      <c r="O31" s="6">
        <f ca="1" t="shared" si="18"/>
        <v>0.559866499791406</v>
      </c>
      <c r="P31" s="6">
        <f ca="1" t="shared" si="19"/>
        <v>0.788014184397162</v>
      </c>
      <c r="Q31" s="6">
        <f ca="1" t="shared" si="20"/>
        <v>0</v>
      </c>
      <c r="R31" s="6">
        <f ca="1" t="shared" si="21"/>
        <v>0</v>
      </c>
      <c r="S31" s="6">
        <f ca="1" t="shared" si="22"/>
        <v>0</v>
      </c>
      <c r="T31" s="6">
        <f ca="1" t="shared" si="23"/>
        <v>0.718587314003615</v>
      </c>
      <c r="U31" s="11"/>
      <c r="V31" s="11">
        <v>0.65</v>
      </c>
    </row>
    <row r="32" spans="1:22">
      <c r="A32" s="3">
        <v>29</v>
      </c>
      <c r="B32" s="7" t="str">
        <f>'1课程考核方式及成绩组成'!D39</f>
        <v>190301026</v>
      </c>
      <c r="C32" s="8" t="str">
        <f>'1课程考核方式及成绩组成'!E39</f>
        <v>李宗益</v>
      </c>
      <c r="D32" s="6">
        <f ca="1">OFFSET('4学生课程目标达成度'!J$5,(ROW(D32)-3)*7,)</f>
        <v>0.888888888888889</v>
      </c>
      <c r="E32" s="6">
        <f ca="1">OFFSET('4学生课程目标达成度'!J$6,(ROW(E32)-3)*7,)</f>
        <v>0.8</v>
      </c>
      <c r="F32" s="6">
        <f ca="1">OFFSET('4学生课程目标达成度'!J$7,(ROW(F32)-3)*7,)</f>
        <v>0.647058823529412</v>
      </c>
      <c r="G32" s="6">
        <f ca="1">OFFSET('4学生课程目标达成度'!J$8,(ROW(G32)-3)*7,)</f>
        <v>0.83</v>
      </c>
      <c r="H32" s="6">
        <f ca="1">OFFSET('4学生课程目标达成度'!J$9,(ROW(H32)-3)*7,)</f>
        <v>0</v>
      </c>
      <c r="I32" s="6">
        <f ca="1">OFFSET('4学生课程目标达成度'!J$10,(ROW(I32)-3)*7,)</f>
        <v>0</v>
      </c>
      <c r="J32" s="6">
        <f ca="1">OFFSET('4学生课程目标达成度'!J$11,(ROW(J32)-3)*7,)</f>
        <v>0</v>
      </c>
      <c r="K32" s="6">
        <f ca="1">OFFSET('4学生课程目标达成度'!K$5,(ROW(K32)-3)*7,)</f>
        <v>0.784098039215686</v>
      </c>
      <c r="L32" s="11"/>
      <c r="M32" s="6">
        <f ca="1" t="shared" si="16"/>
        <v>0.820478723404255</v>
      </c>
      <c r="N32" s="6">
        <f ca="1" t="shared" si="17"/>
        <v>0.779905437352246</v>
      </c>
      <c r="O32" s="6">
        <f ca="1" t="shared" si="18"/>
        <v>0.559866499791406</v>
      </c>
      <c r="P32" s="6">
        <f ca="1" t="shared" si="19"/>
        <v>0.788014184397162</v>
      </c>
      <c r="Q32" s="6">
        <f ca="1" t="shared" si="20"/>
        <v>0</v>
      </c>
      <c r="R32" s="6">
        <f ca="1" t="shared" si="21"/>
        <v>0</v>
      </c>
      <c r="S32" s="6">
        <f ca="1" t="shared" si="22"/>
        <v>0</v>
      </c>
      <c r="T32" s="6">
        <f ca="1" t="shared" si="23"/>
        <v>0.718587314003615</v>
      </c>
      <c r="U32" s="11"/>
      <c r="V32" s="11">
        <v>0.65</v>
      </c>
    </row>
    <row r="33" spans="1:22">
      <c r="A33" s="3">
        <v>30</v>
      </c>
      <c r="B33" s="7" t="str">
        <f>'1课程考核方式及成绩组成'!D40</f>
        <v>190301028</v>
      </c>
      <c r="C33" s="8" t="str">
        <f>'1课程考核方式及成绩组成'!E40</f>
        <v>钟鸿宇</v>
      </c>
      <c r="D33" s="6">
        <f ca="1">OFFSET('4学生课程目标达成度'!J$5,(ROW(D33)-3)*7,)</f>
        <v>0.972222222222222</v>
      </c>
      <c r="E33" s="6">
        <f ca="1">OFFSET('4学生课程目标达成度'!J$6,(ROW(E33)-3)*7,)</f>
        <v>1</v>
      </c>
      <c r="F33" s="6">
        <f ca="1">OFFSET('4学生课程目标达成度'!J$7,(ROW(F33)-3)*7,)</f>
        <v>0.794117647058823</v>
      </c>
      <c r="G33" s="6">
        <f ca="1">OFFSET('4学生课程目标达成度'!J$8,(ROW(G33)-3)*7,)</f>
        <v>0.73</v>
      </c>
      <c r="H33" s="6">
        <f ca="1">OFFSET('4学生课程目标达成度'!J$9,(ROW(H33)-3)*7,)</f>
        <v>0</v>
      </c>
      <c r="I33" s="6">
        <f ca="1">OFFSET('4学生课程目标达成度'!J$10,(ROW(I33)-3)*7,)</f>
        <v>0</v>
      </c>
      <c r="J33" s="6">
        <f ca="1">OFFSET('4学生课程目标达成度'!J$11,(ROW(J33)-3)*7,)</f>
        <v>0</v>
      </c>
      <c r="K33" s="6">
        <f ca="1">OFFSET('4学生课程目标达成度'!K$5,(ROW(K33)-3)*7,)</f>
        <v>0.863362745098039</v>
      </c>
      <c r="L33" s="11"/>
      <c r="M33" s="6">
        <f ca="1" t="shared" ref="M33:M42" si="24">$D$2</f>
        <v>0.820478723404255</v>
      </c>
      <c r="N33" s="6">
        <f ca="1" t="shared" ref="N33:N42" si="25">$E$2</f>
        <v>0.779905437352246</v>
      </c>
      <c r="O33" s="6">
        <f ca="1" t="shared" ref="O33:O42" si="26">$F$2</f>
        <v>0.559866499791406</v>
      </c>
      <c r="P33" s="6">
        <f ca="1" t="shared" ref="P33:P42" si="27">$G$2</f>
        <v>0.788014184397162</v>
      </c>
      <c r="Q33" s="6">
        <f ca="1" t="shared" ref="Q33:Q42" si="28">$H$2</f>
        <v>0</v>
      </c>
      <c r="R33" s="6">
        <f ca="1" t="shared" ref="R33:R42" si="29">$I$2</f>
        <v>0</v>
      </c>
      <c r="S33" s="6">
        <f ca="1" t="shared" ref="S33:S42" si="30">$J$2</f>
        <v>0</v>
      </c>
      <c r="T33" s="6">
        <f ca="1" t="shared" ref="T33:T42" si="31">$K$2</f>
        <v>0.718587314003615</v>
      </c>
      <c r="U33" s="11"/>
      <c r="V33" s="11">
        <v>0.65</v>
      </c>
    </row>
    <row r="34" spans="1:22">
      <c r="A34" s="3">
        <v>31</v>
      </c>
      <c r="B34" s="7" t="str">
        <f>'1课程考核方式及成绩组成'!D41</f>
        <v>190301029</v>
      </c>
      <c r="C34" s="8" t="str">
        <f>'1课程考核方式及成绩组成'!E41</f>
        <v>陈芃岐</v>
      </c>
      <c r="D34" s="6">
        <f ca="1">OFFSET('4学生课程目标达成度'!J$5,(ROW(D34)-3)*7,)</f>
        <v>0.944444444444444</v>
      </c>
      <c r="E34" s="6">
        <f ca="1">OFFSET('4学生课程目标达成度'!J$6,(ROW(E34)-3)*7,)</f>
        <v>0.95</v>
      </c>
      <c r="F34" s="6">
        <f ca="1">OFFSET('4学生课程目标达成度'!J$7,(ROW(F34)-3)*7,)</f>
        <v>0.529411764705882</v>
      </c>
      <c r="G34" s="6">
        <f ca="1">OFFSET('4学生课程目标达成度'!J$8,(ROW(G34)-3)*7,)</f>
        <v>0.83</v>
      </c>
      <c r="H34" s="6">
        <f ca="1">OFFSET('4学生课程目标达成度'!J$9,(ROW(H34)-3)*7,)</f>
        <v>0</v>
      </c>
      <c r="I34" s="6">
        <f ca="1">OFFSET('4学生课程目标达成度'!J$10,(ROW(I34)-3)*7,)</f>
        <v>0</v>
      </c>
      <c r="J34" s="6">
        <f ca="1">OFFSET('4学生课程目标达成度'!J$11,(ROW(J34)-3)*7,)</f>
        <v>0</v>
      </c>
      <c r="K34" s="6">
        <f ca="1">OFFSET('4学生课程目标达成度'!K$5,(ROW(K34)-3)*7,)</f>
        <v>0.808019607843137</v>
      </c>
      <c r="L34" s="11"/>
      <c r="M34" s="6">
        <f ca="1" t="shared" si="24"/>
        <v>0.820478723404255</v>
      </c>
      <c r="N34" s="6">
        <f ca="1" t="shared" si="25"/>
        <v>0.779905437352246</v>
      </c>
      <c r="O34" s="6">
        <f ca="1" t="shared" si="26"/>
        <v>0.559866499791406</v>
      </c>
      <c r="P34" s="6">
        <f ca="1" t="shared" si="27"/>
        <v>0.788014184397162</v>
      </c>
      <c r="Q34" s="6">
        <f ca="1" t="shared" si="28"/>
        <v>0</v>
      </c>
      <c r="R34" s="6">
        <f ca="1" t="shared" si="29"/>
        <v>0</v>
      </c>
      <c r="S34" s="6">
        <f ca="1" t="shared" si="30"/>
        <v>0</v>
      </c>
      <c r="T34" s="6">
        <f ca="1" t="shared" si="31"/>
        <v>0.718587314003615</v>
      </c>
      <c r="U34" s="11"/>
      <c r="V34" s="11">
        <v>0.65</v>
      </c>
    </row>
    <row r="35" spans="1:22">
      <c r="A35" s="3">
        <v>32</v>
      </c>
      <c r="B35" s="7" t="str">
        <f>'1课程考核方式及成绩组成'!D42</f>
        <v>190301030</v>
      </c>
      <c r="C35" s="8" t="str">
        <f>'1课程考核方式及成绩组成'!E42</f>
        <v>禹钦瀚</v>
      </c>
      <c r="D35" s="6">
        <f ca="1">OFFSET('4学生课程目标达成度'!J$5,(ROW(D35)-3)*7,)</f>
        <v>0.805555555555556</v>
      </c>
      <c r="E35" s="6">
        <f ca="1">OFFSET('4学生课程目标达成度'!J$6,(ROW(E35)-3)*7,)</f>
        <v>0.683333333333333</v>
      </c>
      <c r="F35" s="6">
        <f ca="1">OFFSET('4学生课程目标达成度'!J$7,(ROW(F35)-3)*7,)</f>
        <v>0.264705882352941</v>
      </c>
      <c r="G35" s="6">
        <f ca="1">OFFSET('4学生课程目标达成度'!J$8,(ROW(G35)-3)*7,)</f>
        <v>0.5</v>
      </c>
      <c r="H35" s="6">
        <f ca="1">OFFSET('4学生课程目标达成度'!J$9,(ROW(H35)-3)*7,)</f>
        <v>0</v>
      </c>
      <c r="I35" s="6">
        <f ca="1">OFFSET('4学生课程目标达成度'!J$10,(ROW(I35)-3)*7,)</f>
        <v>0</v>
      </c>
      <c r="J35" s="6">
        <f ca="1">OFFSET('4学生课程目标达成度'!J$11,(ROW(J35)-3)*7,)</f>
        <v>0</v>
      </c>
      <c r="K35" s="6">
        <f ca="1">OFFSET('4学生课程目标达成度'!K$5,(ROW(K35)-3)*7,)</f>
        <v>0.542009803921569</v>
      </c>
      <c r="L35" s="11"/>
      <c r="M35" s="6">
        <f ca="1" t="shared" si="24"/>
        <v>0.820478723404255</v>
      </c>
      <c r="N35" s="6">
        <f ca="1" t="shared" si="25"/>
        <v>0.779905437352246</v>
      </c>
      <c r="O35" s="6">
        <f ca="1" t="shared" si="26"/>
        <v>0.559866499791406</v>
      </c>
      <c r="P35" s="6">
        <f ca="1" t="shared" si="27"/>
        <v>0.788014184397162</v>
      </c>
      <c r="Q35" s="6">
        <f ca="1" t="shared" si="28"/>
        <v>0</v>
      </c>
      <c r="R35" s="6">
        <f ca="1" t="shared" si="29"/>
        <v>0</v>
      </c>
      <c r="S35" s="6">
        <f ca="1" t="shared" si="30"/>
        <v>0</v>
      </c>
      <c r="T35" s="6">
        <f ca="1" t="shared" si="31"/>
        <v>0.718587314003615</v>
      </c>
      <c r="U35" s="11"/>
      <c r="V35" s="11">
        <v>0.65</v>
      </c>
    </row>
    <row r="36" spans="1:22">
      <c r="A36" s="3">
        <v>33</v>
      </c>
      <c r="B36" s="7" t="str">
        <f>'1课程考核方式及成绩组成'!D43</f>
        <v>190301033</v>
      </c>
      <c r="C36" s="8" t="str">
        <f>'1课程考核方式及成绩组成'!E43</f>
        <v>邓淳译</v>
      </c>
      <c r="D36" s="6">
        <f ca="1">OFFSET('4学生课程目标达成度'!J$5,(ROW(D36)-3)*7,)</f>
        <v>0.916666666666667</v>
      </c>
      <c r="E36" s="6">
        <f ca="1">OFFSET('4学生课程目标达成度'!J$6,(ROW(E36)-3)*7,)</f>
        <v>0.75</v>
      </c>
      <c r="F36" s="6">
        <f ca="1">OFFSET('4学生课程目标达成度'!J$7,(ROW(F36)-3)*7,)</f>
        <v>0.5</v>
      </c>
      <c r="G36" s="6">
        <f ca="1">OFFSET('4学生课程目标达成度'!J$8,(ROW(G36)-3)*7,)</f>
        <v>0.88</v>
      </c>
      <c r="H36" s="6">
        <f ca="1">OFFSET('4学生课程目标达成度'!J$9,(ROW(H36)-3)*7,)</f>
        <v>0</v>
      </c>
      <c r="I36" s="6">
        <f ca="1">OFFSET('4学生课程目标达成度'!J$10,(ROW(I36)-3)*7,)</f>
        <v>0</v>
      </c>
      <c r="J36" s="6">
        <f ca="1">OFFSET('4学生课程目标达成度'!J$11,(ROW(J36)-3)*7,)</f>
        <v>0</v>
      </c>
      <c r="K36" s="6">
        <f ca="1">OFFSET('4学生课程目标达成度'!K$5,(ROW(K36)-3)*7,)</f>
        <v>0.7515</v>
      </c>
      <c r="L36" s="11"/>
      <c r="M36" s="6">
        <f ca="1" t="shared" si="24"/>
        <v>0.820478723404255</v>
      </c>
      <c r="N36" s="6">
        <f ca="1" t="shared" si="25"/>
        <v>0.779905437352246</v>
      </c>
      <c r="O36" s="6">
        <f ca="1" t="shared" si="26"/>
        <v>0.559866499791406</v>
      </c>
      <c r="P36" s="6">
        <f ca="1" t="shared" si="27"/>
        <v>0.788014184397162</v>
      </c>
      <c r="Q36" s="6">
        <f ca="1" t="shared" si="28"/>
        <v>0</v>
      </c>
      <c r="R36" s="6">
        <f ca="1" t="shared" si="29"/>
        <v>0</v>
      </c>
      <c r="S36" s="6">
        <f ca="1" t="shared" si="30"/>
        <v>0</v>
      </c>
      <c r="T36" s="6">
        <f ca="1" t="shared" si="31"/>
        <v>0.718587314003615</v>
      </c>
      <c r="U36" s="11"/>
      <c r="V36" s="11">
        <v>0.65</v>
      </c>
    </row>
    <row r="37" spans="1:22">
      <c r="A37" s="3">
        <v>34</v>
      </c>
      <c r="B37" s="7" t="str">
        <f>'1课程考核方式及成绩组成'!D44</f>
        <v>190301034</v>
      </c>
      <c r="C37" s="9" t="str">
        <f>'1课程考核方式及成绩组成'!E44</f>
        <v>郑伟</v>
      </c>
      <c r="D37" s="6">
        <f ca="1">OFFSET('4学生课程目标达成度'!J$5,(ROW(D37)-3)*7,)</f>
        <v>0.972222222222222</v>
      </c>
      <c r="E37" s="6">
        <f ca="1">OFFSET('4学生课程目标达成度'!J$6,(ROW(E37)-3)*7,)</f>
        <v>0.95</v>
      </c>
      <c r="F37" s="6">
        <f ca="1">OFFSET('4学生课程目标达成度'!J$7,(ROW(F37)-3)*7,)</f>
        <v>0.764705882352941</v>
      </c>
      <c r="G37" s="6">
        <f ca="1">OFFSET('4学生课程目标达成度'!J$8,(ROW(G37)-3)*7,)</f>
        <v>0.7</v>
      </c>
      <c r="H37" s="6">
        <f ca="1">OFFSET('4学生课程目标达成度'!J$9,(ROW(H37)-3)*7,)</f>
        <v>0</v>
      </c>
      <c r="I37" s="6">
        <f ca="1">OFFSET('4学生课程目标达成度'!J$10,(ROW(I37)-3)*7,)</f>
        <v>0</v>
      </c>
      <c r="J37" s="6">
        <f ca="1">OFFSET('4学生课程目标达成度'!J$11,(ROW(J37)-3)*7,)</f>
        <v>0</v>
      </c>
      <c r="K37" s="6">
        <f ca="1">OFFSET('4学生课程目标达成度'!K$5,(ROW(K37)-3)*7,)</f>
        <v>0.832009803921569</v>
      </c>
      <c r="L37" s="11"/>
      <c r="M37" s="6">
        <f ca="1" t="shared" si="24"/>
        <v>0.820478723404255</v>
      </c>
      <c r="N37" s="6">
        <f ca="1" t="shared" si="25"/>
        <v>0.779905437352246</v>
      </c>
      <c r="O37" s="6">
        <f ca="1" t="shared" si="26"/>
        <v>0.559866499791406</v>
      </c>
      <c r="P37" s="6">
        <f ca="1" t="shared" si="27"/>
        <v>0.788014184397162</v>
      </c>
      <c r="Q37" s="6">
        <f ca="1" t="shared" si="28"/>
        <v>0</v>
      </c>
      <c r="R37" s="6">
        <f ca="1" t="shared" si="29"/>
        <v>0</v>
      </c>
      <c r="S37" s="6">
        <f ca="1" t="shared" si="30"/>
        <v>0</v>
      </c>
      <c r="T37" s="6">
        <f ca="1" t="shared" si="31"/>
        <v>0.718587314003615</v>
      </c>
      <c r="U37" s="11"/>
      <c r="V37" s="11">
        <v>0.65</v>
      </c>
    </row>
    <row r="38" spans="1:22">
      <c r="A38" s="3">
        <v>35</v>
      </c>
      <c r="B38" s="7" t="str">
        <f>'1课程考核方式及成绩组成'!D45</f>
        <v>190301035</v>
      </c>
      <c r="C38" s="8" t="str">
        <f>'1课程考核方式及成绩组成'!E45</f>
        <v>于涛</v>
      </c>
      <c r="D38" s="6">
        <f ca="1">OFFSET('4学生课程目标达成度'!J$5,(ROW(D38)-3)*7,)</f>
        <v>1</v>
      </c>
      <c r="E38" s="6">
        <f ca="1">OFFSET('4学生课程目标达成度'!J$6,(ROW(E38)-3)*7,)</f>
        <v>0.9</v>
      </c>
      <c r="F38" s="6">
        <f ca="1">OFFSET('4学生课程目标达成度'!J$7,(ROW(F38)-3)*7,)</f>
        <v>0.764705882352941</v>
      </c>
      <c r="G38" s="6">
        <f ca="1">OFFSET('4学生课程目标达成度'!J$8,(ROW(G38)-3)*7,)</f>
        <v>0.77</v>
      </c>
      <c r="H38" s="6">
        <f ca="1">OFFSET('4学生课程目标达成度'!J$9,(ROW(H38)-3)*7,)</f>
        <v>0</v>
      </c>
      <c r="I38" s="6">
        <f ca="1">OFFSET('4学生课程目标达成度'!J$10,(ROW(I38)-3)*7,)</f>
        <v>0</v>
      </c>
      <c r="J38" s="6">
        <f ca="1">OFFSET('4学生课程目标达成度'!J$11,(ROW(J38)-3)*7,)</f>
        <v>0</v>
      </c>
      <c r="K38" s="6">
        <f ca="1">OFFSET('4学生课程目标达成度'!K$5,(ROW(K38)-3)*7,)</f>
        <v>0.842176470588235</v>
      </c>
      <c r="L38" s="11"/>
      <c r="M38" s="6">
        <f ca="1" t="shared" si="24"/>
        <v>0.820478723404255</v>
      </c>
      <c r="N38" s="6">
        <f ca="1" t="shared" si="25"/>
        <v>0.779905437352246</v>
      </c>
      <c r="O38" s="6">
        <f ca="1" t="shared" si="26"/>
        <v>0.559866499791406</v>
      </c>
      <c r="P38" s="6">
        <f ca="1" t="shared" si="27"/>
        <v>0.788014184397162</v>
      </c>
      <c r="Q38" s="6">
        <f ca="1" t="shared" si="28"/>
        <v>0</v>
      </c>
      <c r="R38" s="6">
        <f ca="1" t="shared" si="29"/>
        <v>0</v>
      </c>
      <c r="S38" s="6">
        <f ca="1" t="shared" si="30"/>
        <v>0</v>
      </c>
      <c r="T38" s="6">
        <f ca="1" t="shared" si="31"/>
        <v>0.718587314003615</v>
      </c>
      <c r="U38" s="11"/>
      <c r="V38" s="11">
        <v>0.65</v>
      </c>
    </row>
    <row r="39" spans="1:22">
      <c r="A39" s="3">
        <v>36</v>
      </c>
      <c r="B39" s="7" t="str">
        <f>'1课程考核方式及成绩组成'!D46</f>
        <v>190301037</v>
      </c>
      <c r="C39" s="8" t="str">
        <f>'1课程考核方式及成绩组成'!E46</f>
        <v>王存志</v>
      </c>
      <c r="D39" s="6">
        <f ca="1">OFFSET('4学生课程目标达成度'!J$5,(ROW(D39)-3)*7,)</f>
        <v>0.972222222222222</v>
      </c>
      <c r="E39" s="6">
        <f ca="1">OFFSET('4学生课程目标达成度'!J$6,(ROW(E39)-3)*7,)</f>
        <v>0.983333333333333</v>
      </c>
      <c r="F39" s="6">
        <f ca="1">OFFSET('4学生课程目标达成度'!J$7,(ROW(F39)-3)*7,)</f>
        <v>0.705882352941177</v>
      </c>
      <c r="G39" s="6">
        <f ca="1">OFFSET('4学生课程目标达成度'!J$8,(ROW(G39)-3)*7,)</f>
        <v>0.77</v>
      </c>
      <c r="H39" s="6">
        <f ca="1">OFFSET('4学生课程目标达成度'!J$9,(ROW(H39)-3)*7,)</f>
        <v>0</v>
      </c>
      <c r="I39" s="6">
        <f ca="1">OFFSET('4学生课程目标达成度'!J$10,(ROW(I39)-3)*7,)</f>
        <v>0</v>
      </c>
      <c r="J39" s="6">
        <f ca="1">OFFSET('4学生课程目标达成度'!J$11,(ROW(J39)-3)*7,)</f>
        <v>0</v>
      </c>
      <c r="K39" s="6">
        <f ca="1">OFFSET('4学生课程目标达成度'!K$5,(ROW(K39)-3)*7,)</f>
        <v>0.848303921568627</v>
      </c>
      <c r="L39" s="11"/>
      <c r="M39" s="6">
        <f ca="1" t="shared" si="24"/>
        <v>0.820478723404255</v>
      </c>
      <c r="N39" s="6">
        <f ca="1" t="shared" si="25"/>
        <v>0.779905437352246</v>
      </c>
      <c r="O39" s="6">
        <f ca="1" t="shared" si="26"/>
        <v>0.559866499791406</v>
      </c>
      <c r="P39" s="6">
        <f ca="1" t="shared" si="27"/>
        <v>0.788014184397162</v>
      </c>
      <c r="Q39" s="6">
        <f ca="1" t="shared" si="28"/>
        <v>0</v>
      </c>
      <c r="R39" s="6">
        <f ca="1" t="shared" si="29"/>
        <v>0</v>
      </c>
      <c r="S39" s="6">
        <f ca="1" t="shared" si="30"/>
        <v>0</v>
      </c>
      <c r="T39" s="6">
        <f ca="1" t="shared" si="31"/>
        <v>0.718587314003615</v>
      </c>
      <c r="U39" s="11"/>
      <c r="V39" s="11">
        <v>0.65</v>
      </c>
    </row>
    <row r="40" spans="1:22">
      <c r="A40" s="3">
        <v>37</v>
      </c>
      <c r="B40" s="7" t="str">
        <f>'1课程考核方式及成绩组成'!D47</f>
        <v>190302001</v>
      </c>
      <c r="C40" s="8" t="str">
        <f>'1课程考核方式及成绩组成'!E47</f>
        <v>何洱圳</v>
      </c>
      <c r="D40" s="6">
        <f ca="1">OFFSET('4学生课程目标达成度'!J$5,(ROW(D40)-3)*7,)</f>
        <v>1</v>
      </c>
      <c r="E40" s="6">
        <f ca="1">OFFSET('4学生课程目标达成度'!J$6,(ROW(E40)-3)*7,)</f>
        <v>0.983333333333333</v>
      </c>
      <c r="F40" s="6">
        <f ca="1">OFFSET('4学生课程目标达成度'!J$7,(ROW(F40)-3)*7,)</f>
        <v>0.823529411764706</v>
      </c>
      <c r="G40" s="6">
        <f ca="1">OFFSET('4学生课程目标达成度'!J$8,(ROW(G40)-3)*7,)</f>
        <v>0.87</v>
      </c>
      <c r="H40" s="6">
        <f ca="1">OFFSET('4学生课程目标达成度'!J$9,(ROW(H40)-3)*7,)</f>
        <v>0</v>
      </c>
      <c r="I40" s="6">
        <f ca="1">OFFSET('4学生课程目标达成度'!J$10,(ROW(I40)-3)*7,)</f>
        <v>0</v>
      </c>
      <c r="J40" s="6">
        <f ca="1">OFFSET('4学生课程目标达成度'!J$11,(ROW(J40)-3)*7,)</f>
        <v>0</v>
      </c>
      <c r="K40" s="6">
        <f ca="1">OFFSET('4学生课程目标达成度'!K$5,(ROW(K40)-3)*7,)</f>
        <v>0.911882352941176</v>
      </c>
      <c r="L40" s="11"/>
      <c r="M40" s="6">
        <f ca="1" t="shared" si="24"/>
        <v>0.820478723404255</v>
      </c>
      <c r="N40" s="6">
        <f ca="1" t="shared" si="25"/>
        <v>0.779905437352246</v>
      </c>
      <c r="O40" s="6">
        <f ca="1" t="shared" si="26"/>
        <v>0.559866499791406</v>
      </c>
      <c r="P40" s="6">
        <f ca="1" t="shared" si="27"/>
        <v>0.788014184397162</v>
      </c>
      <c r="Q40" s="6">
        <f ca="1" t="shared" si="28"/>
        <v>0</v>
      </c>
      <c r="R40" s="6">
        <f ca="1" t="shared" si="29"/>
        <v>0</v>
      </c>
      <c r="S40" s="6">
        <f ca="1" t="shared" si="30"/>
        <v>0</v>
      </c>
      <c r="T40" s="6">
        <f ca="1" t="shared" si="31"/>
        <v>0.718587314003615</v>
      </c>
      <c r="U40" s="11"/>
      <c r="V40" s="11">
        <v>0.65</v>
      </c>
    </row>
    <row r="41" spans="1:22">
      <c r="A41" s="3">
        <v>38</v>
      </c>
      <c r="B41" s="7" t="str">
        <f>'1课程考核方式及成绩组成'!D48</f>
        <v>190302002</v>
      </c>
      <c r="C41" s="8" t="str">
        <f>'1课程考核方式及成绩组成'!E48</f>
        <v>石梦军</v>
      </c>
      <c r="D41" s="6">
        <f ca="1">OFFSET('4学生课程目标达成度'!J$5,(ROW(D41)-3)*7,)</f>
        <v>0.972222222222222</v>
      </c>
      <c r="E41" s="6">
        <f ca="1">OFFSET('4学生课程目标达成度'!J$6,(ROW(E41)-3)*7,)</f>
        <v>0.95</v>
      </c>
      <c r="F41" s="6">
        <f ca="1">OFFSET('4学生课程目标达成度'!J$7,(ROW(F41)-3)*7,)</f>
        <v>0.705882352941177</v>
      </c>
      <c r="G41" s="6">
        <f ca="1">OFFSET('4学生课程目标达成度'!J$8,(ROW(G41)-3)*7,)</f>
        <v>0.9</v>
      </c>
      <c r="H41" s="6">
        <f ca="1">OFFSET('4学生课程目标达成度'!J$9,(ROW(H41)-3)*7,)</f>
        <v>0</v>
      </c>
      <c r="I41" s="6">
        <f ca="1">OFFSET('4学生课程目标达成度'!J$10,(ROW(I41)-3)*7,)</f>
        <v>0</v>
      </c>
      <c r="J41" s="6">
        <f ca="1">OFFSET('4学生课程目标达成度'!J$11,(ROW(J41)-3)*7,)</f>
        <v>0</v>
      </c>
      <c r="K41" s="6">
        <f ca="1">OFFSET('4学生课程目标达成度'!K$5,(ROW(K41)-3)*7,)</f>
        <v>0.877303921568627</v>
      </c>
      <c r="L41" s="11"/>
      <c r="M41" s="6">
        <f ca="1" t="shared" si="24"/>
        <v>0.820478723404255</v>
      </c>
      <c r="N41" s="6">
        <f ca="1" t="shared" si="25"/>
        <v>0.779905437352246</v>
      </c>
      <c r="O41" s="6">
        <f ca="1" t="shared" si="26"/>
        <v>0.559866499791406</v>
      </c>
      <c r="P41" s="6">
        <f ca="1" t="shared" si="27"/>
        <v>0.788014184397162</v>
      </c>
      <c r="Q41" s="6">
        <f ca="1" t="shared" si="28"/>
        <v>0</v>
      </c>
      <c r="R41" s="6">
        <f ca="1" t="shared" si="29"/>
        <v>0</v>
      </c>
      <c r="S41" s="6">
        <f ca="1" t="shared" si="30"/>
        <v>0</v>
      </c>
      <c r="T41" s="6">
        <f ca="1" t="shared" si="31"/>
        <v>0.718587314003615</v>
      </c>
      <c r="U41" s="11"/>
      <c r="V41" s="11">
        <v>0.65</v>
      </c>
    </row>
    <row r="42" spans="1:22">
      <c r="A42" s="3">
        <v>39</v>
      </c>
      <c r="B42" s="7" t="str">
        <f>'1课程考核方式及成绩组成'!D49</f>
        <v>190302003</v>
      </c>
      <c r="C42" s="8" t="str">
        <f>'1课程考核方式及成绩组成'!E49</f>
        <v>李森洪</v>
      </c>
      <c r="D42" s="6">
        <f ca="1">OFFSET('4学生课程目标达成度'!J$5,(ROW(D42)-3)*7,)</f>
        <v>0.888888888888889</v>
      </c>
      <c r="E42" s="6">
        <f ca="1">OFFSET('4学生课程目标达成度'!J$6,(ROW(E42)-3)*7,)</f>
        <v>0.8</v>
      </c>
      <c r="F42" s="6">
        <f ca="1">OFFSET('4学生课程目标达成度'!J$7,(ROW(F42)-3)*7,)</f>
        <v>0.558823529411765</v>
      </c>
      <c r="G42" s="6">
        <f ca="1">OFFSET('4学生课程目标达成度'!J$8,(ROW(G42)-3)*7,)</f>
        <v>0.83</v>
      </c>
      <c r="H42" s="6">
        <f ca="1">OFFSET('4学生课程目标达成度'!J$9,(ROW(H42)-3)*7,)</f>
        <v>0</v>
      </c>
      <c r="I42" s="6">
        <f ca="1">OFFSET('4学生课程目标达成度'!J$10,(ROW(I42)-3)*7,)</f>
        <v>0</v>
      </c>
      <c r="J42" s="6">
        <f ca="1">OFFSET('4学生课程目标达成度'!J$11,(ROW(J42)-3)*7,)</f>
        <v>0</v>
      </c>
      <c r="K42" s="6">
        <f ca="1">OFFSET('4学生课程目标达成度'!K$5,(ROW(K42)-3)*7,)</f>
        <v>0.762039215686274</v>
      </c>
      <c r="L42" s="11"/>
      <c r="M42" s="6">
        <f ca="1" t="shared" si="24"/>
        <v>0.820478723404255</v>
      </c>
      <c r="N42" s="6">
        <f ca="1" t="shared" si="25"/>
        <v>0.779905437352246</v>
      </c>
      <c r="O42" s="6">
        <f ca="1" t="shared" si="26"/>
        <v>0.559866499791406</v>
      </c>
      <c r="P42" s="6">
        <f ca="1" t="shared" si="27"/>
        <v>0.788014184397162</v>
      </c>
      <c r="Q42" s="6">
        <f ca="1" t="shared" si="28"/>
        <v>0</v>
      </c>
      <c r="R42" s="6">
        <f ca="1" t="shared" si="29"/>
        <v>0</v>
      </c>
      <c r="S42" s="6">
        <f ca="1" t="shared" si="30"/>
        <v>0</v>
      </c>
      <c r="T42" s="6">
        <f ca="1" t="shared" si="31"/>
        <v>0.718587314003615</v>
      </c>
      <c r="U42" s="11"/>
      <c r="V42" s="11">
        <v>0.65</v>
      </c>
    </row>
    <row r="43" spans="1:22">
      <c r="A43" s="3">
        <v>40</v>
      </c>
      <c r="B43" s="7" t="str">
        <f>'1课程考核方式及成绩组成'!D50</f>
        <v>190302004</v>
      </c>
      <c r="C43" s="8" t="str">
        <f>'1课程考核方式及成绩组成'!E50</f>
        <v>陈鹏</v>
      </c>
      <c r="D43" s="6">
        <f ca="1">OFFSET('4学生课程目标达成度'!J$5,(ROW(D43)-3)*7,)</f>
        <v>0.861111111111111</v>
      </c>
      <c r="E43" s="6">
        <f ca="1">OFFSET('4学生课程目标达成度'!J$6,(ROW(E43)-3)*7,)</f>
        <v>0.733333333333333</v>
      </c>
      <c r="F43" s="6">
        <f ca="1">OFFSET('4学生课程目标达成度'!J$7,(ROW(F43)-3)*7,)</f>
        <v>0.352941176470588</v>
      </c>
      <c r="G43" s="6">
        <f ca="1">OFFSET('4学生课程目标达成度'!J$8,(ROW(G43)-3)*7,)</f>
        <v>0.77</v>
      </c>
      <c r="H43" s="6">
        <f ca="1">OFFSET('4学生课程目标达成度'!J$9,(ROW(H43)-3)*7,)</f>
        <v>0</v>
      </c>
      <c r="I43" s="6">
        <f ca="1">OFFSET('4学生课程目标达成度'!J$10,(ROW(I43)-3)*7,)</f>
        <v>0</v>
      </c>
      <c r="J43" s="6">
        <f ca="1">OFFSET('4学生课程目标达成度'!J$11,(ROW(J43)-3)*7,)</f>
        <v>0</v>
      </c>
      <c r="K43" s="6">
        <f ca="1">OFFSET('4学生课程目标达成度'!K$5,(ROW(K43)-3)*7,)</f>
        <v>0.668401960784314</v>
      </c>
      <c r="L43" s="11"/>
      <c r="M43" s="6">
        <f ca="1" t="shared" ref="M43:M52" si="32">$D$2</f>
        <v>0.820478723404255</v>
      </c>
      <c r="N43" s="6">
        <f ca="1" t="shared" ref="N43:N52" si="33">$E$2</f>
        <v>0.779905437352246</v>
      </c>
      <c r="O43" s="6">
        <f ca="1" t="shared" ref="O43:O52" si="34">$F$2</f>
        <v>0.559866499791406</v>
      </c>
      <c r="P43" s="6">
        <f ca="1" t="shared" ref="P43:P52" si="35">$G$2</f>
        <v>0.788014184397162</v>
      </c>
      <c r="Q43" s="6">
        <f ca="1" t="shared" ref="Q43:Q52" si="36">$H$2</f>
        <v>0</v>
      </c>
      <c r="R43" s="6">
        <f ca="1" t="shared" ref="R43:R52" si="37">$I$2</f>
        <v>0</v>
      </c>
      <c r="S43" s="6">
        <f ca="1" t="shared" ref="S43:S52" si="38">$J$2</f>
        <v>0</v>
      </c>
      <c r="T43" s="6">
        <f ca="1" t="shared" ref="T43:T52" si="39">$K$2</f>
        <v>0.718587314003615</v>
      </c>
      <c r="U43" s="11"/>
      <c r="V43" s="11">
        <v>0.65</v>
      </c>
    </row>
    <row r="44" spans="1:22">
      <c r="A44" s="3">
        <v>41</v>
      </c>
      <c r="B44" s="7" t="str">
        <f>'1课程考核方式及成绩组成'!D51</f>
        <v>190302005</v>
      </c>
      <c r="C44" s="8" t="str">
        <f>'1课程考核方式及成绩组成'!E51</f>
        <v>刘云川</v>
      </c>
      <c r="D44" s="6">
        <f ca="1">OFFSET('4学生课程目标达成度'!J$5,(ROW(D44)-3)*7,)</f>
        <v>0.888888888888889</v>
      </c>
      <c r="E44" s="6">
        <f ca="1">OFFSET('4学生课程目标达成度'!J$6,(ROW(E44)-3)*7,)</f>
        <v>0.766666666666667</v>
      </c>
      <c r="F44" s="6">
        <f ca="1">OFFSET('4学生课程目标达成度'!J$7,(ROW(F44)-3)*7,)</f>
        <v>0.617647058823529</v>
      </c>
      <c r="G44" s="6">
        <f ca="1">OFFSET('4学生课程目标达成度'!J$8,(ROW(G44)-3)*7,)</f>
        <v>0.88</v>
      </c>
      <c r="H44" s="6">
        <f ca="1">OFFSET('4学生课程目标达成度'!J$9,(ROW(H44)-3)*7,)</f>
        <v>0</v>
      </c>
      <c r="I44" s="6">
        <f ca="1">OFFSET('4学生课程目标达成度'!J$10,(ROW(I44)-3)*7,)</f>
        <v>0</v>
      </c>
      <c r="J44" s="6">
        <f ca="1">OFFSET('4学生课程目标达成度'!J$11,(ROW(J44)-3)*7,)</f>
        <v>0</v>
      </c>
      <c r="K44" s="6">
        <f ca="1">OFFSET('4学生课程目标达成度'!K$5,(ROW(K44)-3)*7,)</f>
        <v>0.781745098039216</v>
      </c>
      <c r="L44" s="11"/>
      <c r="M44" s="6">
        <f ca="1" t="shared" si="32"/>
        <v>0.820478723404255</v>
      </c>
      <c r="N44" s="6">
        <f ca="1" t="shared" si="33"/>
        <v>0.779905437352246</v>
      </c>
      <c r="O44" s="6">
        <f ca="1" t="shared" si="34"/>
        <v>0.559866499791406</v>
      </c>
      <c r="P44" s="6">
        <f ca="1" t="shared" si="35"/>
        <v>0.788014184397162</v>
      </c>
      <c r="Q44" s="6">
        <f ca="1" t="shared" si="36"/>
        <v>0</v>
      </c>
      <c r="R44" s="6">
        <f ca="1" t="shared" si="37"/>
        <v>0</v>
      </c>
      <c r="S44" s="6">
        <f ca="1" t="shared" si="38"/>
        <v>0</v>
      </c>
      <c r="T44" s="6">
        <f ca="1" t="shared" si="39"/>
        <v>0.718587314003615</v>
      </c>
      <c r="U44" s="11"/>
      <c r="V44" s="11">
        <v>0.65</v>
      </c>
    </row>
    <row r="45" spans="1:22">
      <c r="A45" s="3">
        <v>42</v>
      </c>
      <c r="B45" s="7" t="str">
        <f>'1课程考核方式及成绩组成'!D52</f>
        <v>190302007</v>
      </c>
      <c r="C45" s="8" t="str">
        <f>'1课程考核方式及成绩组成'!E52</f>
        <v>李秋涵</v>
      </c>
      <c r="D45" s="6">
        <f ca="1">OFFSET('4学生课程目标达成度'!J$5,(ROW(D45)-3)*7,)</f>
        <v>0.888888888888889</v>
      </c>
      <c r="E45" s="6">
        <f ca="1">OFFSET('4学生课程目标达成度'!J$6,(ROW(E45)-3)*7,)</f>
        <v>0.866666666666667</v>
      </c>
      <c r="F45" s="6">
        <f ca="1">OFFSET('4学生课程目标达成度'!J$7,(ROW(F45)-3)*7,)</f>
        <v>0.470588235294118</v>
      </c>
      <c r="G45" s="6">
        <f ca="1">OFFSET('4学生课程目标达成度'!J$8,(ROW(G45)-3)*7,)</f>
        <v>0.67</v>
      </c>
      <c r="H45" s="6">
        <f ca="1">OFFSET('4学生课程目标达成度'!J$9,(ROW(H45)-3)*7,)</f>
        <v>0</v>
      </c>
      <c r="I45" s="6">
        <f ca="1">OFFSET('4学生课程目标达成度'!J$10,(ROW(I45)-3)*7,)</f>
        <v>0</v>
      </c>
      <c r="J45" s="6">
        <f ca="1">OFFSET('4学生课程目标达成度'!J$11,(ROW(J45)-3)*7,)</f>
        <v>0</v>
      </c>
      <c r="K45" s="6">
        <f ca="1">OFFSET('4学生课程目标达成度'!K$5,(ROW(K45)-3)*7,)</f>
        <v>0.711980392156863</v>
      </c>
      <c r="L45" s="11"/>
      <c r="M45" s="6">
        <f ca="1" t="shared" si="32"/>
        <v>0.820478723404255</v>
      </c>
      <c r="N45" s="6">
        <f ca="1" t="shared" si="33"/>
        <v>0.779905437352246</v>
      </c>
      <c r="O45" s="6">
        <f ca="1" t="shared" si="34"/>
        <v>0.559866499791406</v>
      </c>
      <c r="P45" s="6">
        <f ca="1" t="shared" si="35"/>
        <v>0.788014184397162</v>
      </c>
      <c r="Q45" s="6">
        <f ca="1" t="shared" si="36"/>
        <v>0</v>
      </c>
      <c r="R45" s="6">
        <f ca="1" t="shared" si="37"/>
        <v>0</v>
      </c>
      <c r="S45" s="6">
        <f ca="1" t="shared" si="38"/>
        <v>0</v>
      </c>
      <c r="T45" s="6">
        <f ca="1" t="shared" si="39"/>
        <v>0.718587314003615</v>
      </c>
      <c r="U45" s="11"/>
      <c r="V45" s="11">
        <v>0.65</v>
      </c>
    </row>
    <row r="46" spans="1:22">
      <c r="A46" s="3">
        <v>43</v>
      </c>
      <c r="B46" s="7" t="str">
        <f>'1课程考核方式及成绩组成'!D53</f>
        <v>190302008</v>
      </c>
      <c r="C46" s="8" t="str">
        <f>'1课程考核方式及成绩组成'!E53</f>
        <v>周磊</v>
      </c>
      <c r="D46" s="6">
        <f ca="1">OFFSET('4学生课程目标达成度'!J$5,(ROW(D46)-3)*7,)</f>
        <v>0.777777777777778</v>
      </c>
      <c r="E46" s="6">
        <f ca="1">OFFSET('4学生课程目标达成度'!J$6,(ROW(E46)-3)*7,)</f>
        <v>0.8</v>
      </c>
      <c r="F46" s="6">
        <f ca="1">OFFSET('4学生课程目标达成度'!J$7,(ROW(F46)-3)*7,)</f>
        <v>0.441176470588235</v>
      </c>
      <c r="G46" s="6">
        <f ca="1">OFFSET('4学生课程目标达成度'!J$8,(ROW(G46)-3)*7,)</f>
        <v>0.85</v>
      </c>
      <c r="H46" s="6">
        <f ca="1">OFFSET('4学生课程目标达成度'!J$9,(ROW(H46)-3)*7,)</f>
        <v>0</v>
      </c>
      <c r="I46" s="6">
        <f ca="1">OFFSET('4学生课程目标达成度'!J$10,(ROW(I46)-3)*7,)</f>
        <v>0</v>
      </c>
      <c r="J46" s="6">
        <f ca="1">OFFSET('4学生课程目标达成度'!J$11,(ROW(J46)-3)*7,)</f>
        <v>0</v>
      </c>
      <c r="K46" s="6">
        <f ca="1">OFFSET('4学生课程目标达成度'!K$5,(ROW(K46)-3)*7,)</f>
        <v>0.721960784313725</v>
      </c>
      <c r="L46" s="11"/>
      <c r="M46" s="6">
        <f ca="1" t="shared" si="32"/>
        <v>0.820478723404255</v>
      </c>
      <c r="N46" s="6">
        <f ca="1" t="shared" si="33"/>
        <v>0.779905437352246</v>
      </c>
      <c r="O46" s="6">
        <f ca="1" t="shared" si="34"/>
        <v>0.559866499791406</v>
      </c>
      <c r="P46" s="6">
        <f ca="1" t="shared" si="35"/>
        <v>0.788014184397162</v>
      </c>
      <c r="Q46" s="6">
        <f ca="1" t="shared" si="36"/>
        <v>0</v>
      </c>
      <c r="R46" s="6">
        <f ca="1" t="shared" si="37"/>
        <v>0</v>
      </c>
      <c r="S46" s="6">
        <f ca="1" t="shared" si="38"/>
        <v>0</v>
      </c>
      <c r="T46" s="6">
        <f ca="1" t="shared" si="39"/>
        <v>0.718587314003615</v>
      </c>
      <c r="U46" s="11"/>
      <c r="V46" s="11">
        <v>0.65</v>
      </c>
    </row>
    <row r="47" spans="1:22">
      <c r="A47" s="3">
        <v>44</v>
      </c>
      <c r="B47" s="7" t="str">
        <f>'1课程考核方式及成绩组成'!D54</f>
        <v>190302009</v>
      </c>
      <c r="C47" s="9" t="str">
        <f>'1课程考核方式及成绩组成'!E54</f>
        <v>何江龙</v>
      </c>
      <c r="D47" s="6">
        <f ca="1">OFFSET('4学生课程目标达成度'!J$5,(ROW(D47)-3)*7,)</f>
        <v>0.875</v>
      </c>
      <c r="E47" s="6">
        <f ca="1">OFFSET('4学生课程目标达成度'!J$6,(ROW(E47)-3)*7,)</f>
        <v>0.733333333333333</v>
      </c>
      <c r="F47" s="6">
        <f ca="1">OFFSET('4学生课程目标达成度'!J$7,(ROW(F47)-3)*7,)</f>
        <v>0.470588235294118</v>
      </c>
      <c r="G47" s="6">
        <f ca="1">OFFSET('4学生课程目标达成度'!J$8,(ROW(G47)-3)*7,)</f>
        <v>0.85</v>
      </c>
      <c r="H47" s="6">
        <f ca="1">OFFSET('4学生课程目标达成度'!J$9,(ROW(H47)-3)*7,)</f>
        <v>0</v>
      </c>
      <c r="I47" s="6">
        <f ca="1">OFFSET('4学生课程目标达成度'!J$10,(ROW(I47)-3)*7,)</f>
        <v>0</v>
      </c>
      <c r="J47" s="6">
        <f ca="1">OFFSET('4学生课程目标达成度'!J$11,(ROW(J47)-3)*7,)</f>
        <v>0</v>
      </c>
      <c r="K47" s="6">
        <f ca="1">OFFSET('4学生课程目标达成度'!K$5,(ROW(K47)-3)*7,)</f>
        <v>0.723897058823529</v>
      </c>
      <c r="L47" s="11"/>
      <c r="M47" s="6">
        <f ca="1" t="shared" si="32"/>
        <v>0.820478723404255</v>
      </c>
      <c r="N47" s="6">
        <f ca="1" t="shared" si="33"/>
        <v>0.779905437352246</v>
      </c>
      <c r="O47" s="6">
        <f ca="1" t="shared" si="34"/>
        <v>0.559866499791406</v>
      </c>
      <c r="P47" s="6">
        <f ca="1" t="shared" si="35"/>
        <v>0.788014184397162</v>
      </c>
      <c r="Q47" s="6">
        <f ca="1" t="shared" si="36"/>
        <v>0</v>
      </c>
      <c r="R47" s="6">
        <f ca="1" t="shared" si="37"/>
        <v>0</v>
      </c>
      <c r="S47" s="6">
        <f ca="1" t="shared" si="38"/>
        <v>0</v>
      </c>
      <c r="T47" s="6">
        <f ca="1" t="shared" si="39"/>
        <v>0.718587314003615</v>
      </c>
      <c r="U47" s="11"/>
      <c r="V47" s="11">
        <v>0.65</v>
      </c>
    </row>
    <row r="48" spans="1:22">
      <c r="A48" s="3">
        <v>45</v>
      </c>
      <c r="B48" s="7" t="str">
        <f>'1课程考核方式及成绩组成'!D55</f>
        <v>190302010</v>
      </c>
      <c r="C48" s="8" t="str">
        <f>'1课程考核方式及成绩组成'!E55</f>
        <v>郭曜荣</v>
      </c>
      <c r="D48" s="6">
        <f ca="1">OFFSET('4学生课程目标达成度'!J$5,(ROW(D48)-3)*7,)</f>
        <v>0.680555555555556</v>
      </c>
      <c r="E48" s="6">
        <f ca="1">OFFSET('4学生课程目标达成度'!J$6,(ROW(E48)-3)*7,)</f>
        <v>0.833333333333333</v>
      </c>
      <c r="F48" s="6">
        <f ca="1">OFFSET('4学生课程目标达成度'!J$7,(ROW(F48)-3)*7,)</f>
        <v>0.588235294117647</v>
      </c>
      <c r="G48" s="6">
        <f ca="1">OFFSET('4学生课程目标达成度'!J$8,(ROW(G48)-3)*7,)</f>
        <v>0.82</v>
      </c>
      <c r="H48" s="6">
        <f ca="1">OFFSET('4学生课程目标达成度'!J$9,(ROW(H48)-3)*7,)</f>
        <v>0</v>
      </c>
      <c r="I48" s="6">
        <f ca="1">OFFSET('4学生课程目标达成度'!J$10,(ROW(I48)-3)*7,)</f>
        <v>0</v>
      </c>
      <c r="J48" s="6">
        <f ca="1">OFFSET('4学生课程目标达成度'!J$11,(ROW(J48)-3)*7,)</f>
        <v>0</v>
      </c>
      <c r="K48" s="6">
        <f ca="1">OFFSET('4学生课程目标达成度'!K$5,(ROW(K48)-3)*7,)</f>
        <v>0.745142156862745</v>
      </c>
      <c r="L48" s="11"/>
      <c r="M48" s="6">
        <f ca="1" t="shared" si="32"/>
        <v>0.820478723404255</v>
      </c>
      <c r="N48" s="6">
        <f ca="1" t="shared" si="33"/>
        <v>0.779905437352246</v>
      </c>
      <c r="O48" s="6">
        <f ca="1" t="shared" si="34"/>
        <v>0.559866499791406</v>
      </c>
      <c r="P48" s="6">
        <f ca="1" t="shared" si="35"/>
        <v>0.788014184397162</v>
      </c>
      <c r="Q48" s="6">
        <f ca="1" t="shared" si="36"/>
        <v>0</v>
      </c>
      <c r="R48" s="6">
        <f ca="1" t="shared" si="37"/>
        <v>0</v>
      </c>
      <c r="S48" s="6">
        <f ca="1" t="shared" si="38"/>
        <v>0</v>
      </c>
      <c r="T48" s="6">
        <f ca="1" t="shared" si="39"/>
        <v>0.718587314003615</v>
      </c>
      <c r="U48" s="11"/>
      <c r="V48" s="11">
        <v>0.65</v>
      </c>
    </row>
    <row r="49" spans="1:22">
      <c r="A49" s="3">
        <v>46</v>
      </c>
      <c r="B49" s="7" t="str">
        <f>'1课程考核方式及成绩组成'!D56</f>
        <v>190302011</v>
      </c>
      <c r="C49" s="8" t="str">
        <f>'1课程考核方式及成绩组成'!E56</f>
        <v>雷箭舟</v>
      </c>
      <c r="D49" s="6">
        <f ca="1">OFFSET('4学生课程目标达成度'!J$5,(ROW(D49)-3)*7,)</f>
        <v>0.833333333333333</v>
      </c>
      <c r="E49" s="6">
        <f ca="1">OFFSET('4学生课程目标达成度'!J$6,(ROW(E49)-3)*7,)</f>
        <v>0.816666666666667</v>
      </c>
      <c r="F49" s="6">
        <f ca="1">OFFSET('4学生课程目标达成度'!J$7,(ROW(F49)-3)*7,)</f>
        <v>0.588235294117647</v>
      </c>
      <c r="G49" s="6">
        <f ca="1">OFFSET('4学生课程目标达成度'!J$8,(ROW(G49)-3)*7,)</f>
        <v>0.8</v>
      </c>
      <c r="H49" s="6">
        <f ca="1">OFFSET('4学生课程目标达成度'!J$9,(ROW(H49)-3)*7,)</f>
        <v>0</v>
      </c>
      <c r="I49" s="6">
        <f ca="1">OFFSET('4学生课程目标达成度'!J$10,(ROW(I49)-3)*7,)</f>
        <v>0</v>
      </c>
      <c r="J49" s="6">
        <f ca="1">OFFSET('4学生课程目标达成度'!J$11,(ROW(J49)-3)*7,)</f>
        <v>0</v>
      </c>
      <c r="K49" s="6">
        <f ca="1">OFFSET('4学生课程目标达成度'!K$5,(ROW(K49)-3)*7,)</f>
        <v>0.757058823529412</v>
      </c>
      <c r="L49" s="11"/>
      <c r="M49" s="6">
        <f ca="1" t="shared" si="32"/>
        <v>0.820478723404255</v>
      </c>
      <c r="N49" s="6">
        <f ca="1" t="shared" si="33"/>
        <v>0.779905437352246</v>
      </c>
      <c r="O49" s="6">
        <f ca="1" t="shared" si="34"/>
        <v>0.559866499791406</v>
      </c>
      <c r="P49" s="6">
        <f ca="1" t="shared" si="35"/>
        <v>0.788014184397162</v>
      </c>
      <c r="Q49" s="6">
        <f ca="1" t="shared" si="36"/>
        <v>0</v>
      </c>
      <c r="R49" s="6">
        <f ca="1" t="shared" si="37"/>
        <v>0</v>
      </c>
      <c r="S49" s="6">
        <f ca="1" t="shared" si="38"/>
        <v>0</v>
      </c>
      <c r="T49" s="6">
        <f ca="1" t="shared" si="39"/>
        <v>0.718587314003615</v>
      </c>
      <c r="U49" s="11"/>
      <c r="V49" s="11">
        <v>0.65</v>
      </c>
    </row>
    <row r="50" spans="1:22">
      <c r="A50" s="3">
        <v>47</v>
      </c>
      <c r="B50" s="7" t="str">
        <f>'1课程考核方式及成绩组成'!D57</f>
        <v>190302012</v>
      </c>
      <c r="C50" s="8" t="str">
        <f>'1课程考核方式及成绩组成'!E57</f>
        <v>王盛</v>
      </c>
      <c r="D50" s="6">
        <f ca="1">OFFSET('4学生课程目标达成度'!J$5,(ROW(D50)-3)*7,)</f>
        <v>0.916666666666667</v>
      </c>
      <c r="E50" s="6">
        <f ca="1">OFFSET('4学生课程目标达成度'!J$6,(ROW(E50)-3)*7,)</f>
        <v>1</v>
      </c>
      <c r="F50" s="6">
        <f ca="1">OFFSET('4学生课程目标达成度'!J$7,(ROW(F50)-3)*7,)</f>
        <v>0.764705882352941</v>
      </c>
      <c r="G50" s="6">
        <f ca="1">OFFSET('4学生课程目标达成度'!J$8,(ROW(G50)-3)*7,)</f>
        <v>0.88</v>
      </c>
      <c r="H50" s="6">
        <f ca="1">OFFSET('4学生课程目标达成度'!J$9,(ROW(H50)-3)*7,)</f>
        <v>0</v>
      </c>
      <c r="I50" s="6">
        <f ca="1">OFFSET('4学生课程目标达成度'!J$10,(ROW(I50)-3)*7,)</f>
        <v>0</v>
      </c>
      <c r="J50" s="6">
        <f ca="1">OFFSET('4学生课程目标达成度'!J$11,(ROW(J50)-3)*7,)</f>
        <v>0</v>
      </c>
      <c r="K50" s="6">
        <f ca="1">OFFSET('4学生课程目标达成度'!K$5,(ROW(K50)-3)*7,)</f>
        <v>0.892676470588235</v>
      </c>
      <c r="L50" s="11"/>
      <c r="M50" s="6">
        <f ca="1" t="shared" si="32"/>
        <v>0.820478723404255</v>
      </c>
      <c r="N50" s="6">
        <f ca="1" t="shared" si="33"/>
        <v>0.779905437352246</v>
      </c>
      <c r="O50" s="6">
        <f ca="1" t="shared" si="34"/>
        <v>0.559866499791406</v>
      </c>
      <c r="P50" s="6">
        <f ca="1" t="shared" si="35"/>
        <v>0.788014184397162</v>
      </c>
      <c r="Q50" s="6">
        <f ca="1" t="shared" si="36"/>
        <v>0</v>
      </c>
      <c r="R50" s="6">
        <f ca="1" t="shared" si="37"/>
        <v>0</v>
      </c>
      <c r="S50" s="6">
        <f ca="1" t="shared" si="38"/>
        <v>0</v>
      </c>
      <c r="T50" s="6">
        <f ca="1" t="shared" si="39"/>
        <v>0.718587314003615</v>
      </c>
      <c r="U50" s="11"/>
      <c r="V50" s="11">
        <v>0.65</v>
      </c>
    </row>
    <row r="51" spans="1:22">
      <c r="A51" s="3">
        <v>48</v>
      </c>
      <c r="B51" s="7" t="str">
        <f>'1课程考核方式及成绩组成'!D58</f>
        <v>190302013</v>
      </c>
      <c r="C51" s="8" t="str">
        <f>'1课程考核方式及成绩组成'!E58</f>
        <v>张志鹏</v>
      </c>
      <c r="D51" s="6">
        <f ca="1">OFFSET('4学生课程目标达成度'!J$5,(ROW(D51)-3)*7,)</f>
        <v>0.944444444444444</v>
      </c>
      <c r="E51" s="6">
        <f ca="1">OFFSET('4学生课程目标达成度'!J$6,(ROW(E51)-3)*7,)</f>
        <v>0.933333333333333</v>
      </c>
      <c r="F51" s="6">
        <f ca="1">OFFSET('4学生课程目标达成度'!J$7,(ROW(F51)-3)*7,)</f>
        <v>0.647058823529412</v>
      </c>
      <c r="G51" s="6">
        <f ca="1">OFFSET('4学生课程目标达成度'!J$8,(ROW(G51)-3)*7,)</f>
        <v>0.87</v>
      </c>
      <c r="H51" s="6">
        <f ca="1">OFFSET('4学生课程目标达成度'!J$9,(ROW(H51)-3)*7,)</f>
        <v>0</v>
      </c>
      <c r="I51" s="6">
        <f ca="1">OFFSET('4学生课程目标达成度'!J$10,(ROW(I51)-3)*7,)</f>
        <v>0</v>
      </c>
      <c r="J51" s="6">
        <f ca="1">OFFSET('4学生课程目标达成度'!J$11,(ROW(J51)-3)*7,)</f>
        <v>0</v>
      </c>
      <c r="K51" s="6">
        <f ca="1">OFFSET('4学生课程目标达成度'!K$5,(ROW(K51)-3)*7,)</f>
        <v>0.84443137254902</v>
      </c>
      <c r="L51" s="11"/>
      <c r="M51" s="6">
        <f ca="1" t="shared" si="32"/>
        <v>0.820478723404255</v>
      </c>
      <c r="N51" s="6">
        <f ca="1" t="shared" si="33"/>
        <v>0.779905437352246</v>
      </c>
      <c r="O51" s="6">
        <f ca="1" t="shared" si="34"/>
        <v>0.559866499791406</v>
      </c>
      <c r="P51" s="6">
        <f ca="1" t="shared" si="35"/>
        <v>0.788014184397162</v>
      </c>
      <c r="Q51" s="6">
        <f ca="1" t="shared" si="36"/>
        <v>0</v>
      </c>
      <c r="R51" s="6">
        <f ca="1" t="shared" si="37"/>
        <v>0</v>
      </c>
      <c r="S51" s="6">
        <f ca="1" t="shared" si="38"/>
        <v>0</v>
      </c>
      <c r="T51" s="6">
        <f ca="1" t="shared" si="39"/>
        <v>0.718587314003615</v>
      </c>
      <c r="U51" s="11"/>
      <c r="V51" s="11">
        <v>0.65</v>
      </c>
    </row>
    <row r="52" spans="1:22">
      <c r="A52" s="3">
        <v>49</v>
      </c>
      <c r="B52" s="7" t="str">
        <f>'1课程考核方式及成绩组成'!D59</f>
        <v>190302014</v>
      </c>
      <c r="C52" s="8" t="str">
        <f>'1课程考核方式及成绩组成'!E59</f>
        <v>余业伟</v>
      </c>
      <c r="D52" s="6">
        <f ca="1">OFFSET('4学生课程目标达成度'!J$5,(ROW(D52)-3)*7,)</f>
        <v>0.888888888888889</v>
      </c>
      <c r="E52" s="6">
        <f ca="1">OFFSET('4学生课程目标达成度'!J$6,(ROW(E52)-3)*7,)</f>
        <v>0.85</v>
      </c>
      <c r="F52" s="6">
        <f ca="1">OFFSET('4学生课程目标达成度'!J$7,(ROW(F52)-3)*7,)</f>
        <v>0.5</v>
      </c>
      <c r="G52" s="6">
        <f ca="1">OFFSET('4学生课程目标达成度'!J$8,(ROW(G52)-3)*7,)</f>
        <v>0.73</v>
      </c>
      <c r="H52" s="6">
        <f ca="1">OFFSET('4学生课程目标达成度'!J$9,(ROW(H52)-3)*7,)</f>
        <v>0</v>
      </c>
      <c r="I52" s="6">
        <f ca="1">OFFSET('4学生课程目标达成度'!J$10,(ROW(I52)-3)*7,)</f>
        <v>0</v>
      </c>
      <c r="J52" s="6">
        <f ca="1">OFFSET('4学生课程目标达成度'!J$11,(ROW(J52)-3)*7,)</f>
        <v>0</v>
      </c>
      <c r="K52" s="6">
        <f ca="1">OFFSET('4学生课程目标达成度'!K$5,(ROW(K52)-3)*7,)</f>
        <v>0.732333333333333</v>
      </c>
      <c r="L52" s="11"/>
      <c r="M52" s="6">
        <f ca="1" t="shared" si="32"/>
        <v>0.820478723404255</v>
      </c>
      <c r="N52" s="6">
        <f ca="1" t="shared" si="33"/>
        <v>0.779905437352246</v>
      </c>
      <c r="O52" s="6">
        <f ca="1" t="shared" si="34"/>
        <v>0.559866499791406</v>
      </c>
      <c r="P52" s="6">
        <f ca="1" t="shared" si="35"/>
        <v>0.788014184397162</v>
      </c>
      <c r="Q52" s="6">
        <f ca="1" t="shared" si="36"/>
        <v>0</v>
      </c>
      <c r="R52" s="6">
        <f ca="1" t="shared" si="37"/>
        <v>0</v>
      </c>
      <c r="S52" s="6">
        <f ca="1" t="shared" si="38"/>
        <v>0</v>
      </c>
      <c r="T52" s="6">
        <f ca="1" t="shared" si="39"/>
        <v>0.718587314003615</v>
      </c>
      <c r="U52" s="11"/>
      <c r="V52" s="11">
        <v>0.65</v>
      </c>
    </row>
    <row r="53" spans="1:22">
      <c r="A53" s="3">
        <v>50</v>
      </c>
      <c r="B53" s="7" t="str">
        <f>'1课程考核方式及成绩组成'!D60</f>
        <v>190302015</v>
      </c>
      <c r="C53" s="8" t="str">
        <f>'1课程考核方式及成绩组成'!E60</f>
        <v>黄松</v>
      </c>
      <c r="D53" s="6">
        <f ca="1">OFFSET('4学生课程目标达成度'!J$5,(ROW(D53)-3)*7,)</f>
        <v>0.847222222222222</v>
      </c>
      <c r="E53" s="6">
        <f ca="1">OFFSET('4学生课程目标达成度'!J$6,(ROW(E53)-3)*7,)</f>
        <v>0.883333333333333</v>
      </c>
      <c r="F53" s="6">
        <f ca="1">OFFSET('4学生课程目标达成度'!J$7,(ROW(F53)-3)*7,)</f>
        <v>0.617647058823529</v>
      </c>
      <c r="G53" s="6">
        <f ca="1">OFFSET('4学生课程目标达成度'!J$8,(ROW(G53)-3)*7,)</f>
        <v>0.8</v>
      </c>
      <c r="H53" s="6">
        <f ca="1">OFFSET('4学生课程目标达成度'!J$9,(ROW(H53)-3)*7,)</f>
        <v>0</v>
      </c>
      <c r="I53" s="6">
        <f ca="1">OFFSET('4学生课程目标达成度'!J$10,(ROW(I53)-3)*7,)</f>
        <v>0</v>
      </c>
      <c r="J53" s="6">
        <f ca="1">OFFSET('4学生课程目标达成度'!J$11,(ROW(J53)-3)*7,)</f>
        <v>0</v>
      </c>
      <c r="K53" s="6">
        <f ca="1">OFFSET('4学生课程目标达成度'!K$5,(ROW(K53)-3)*7,)</f>
        <v>0.786495098039216</v>
      </c>
      <c r="L53" s="11"/>
      <c r="M53" s="6">
        <f ca="1" t="shared" ref="M53:M62" si="40">$D$2</f>
        <v>0.820478723404255</v>
      </c>
      <c r="N53" s="6">
        <f ca="1" t="shared" ref="N53:N62" si="41">$E$2</f>
        <v>0.779905437352246</v>
      </c>
      <c r="O53" s="6">
        <f ca="1" t="shared" ref="O53:O62" si="42">$F$2</f>
        <v>0.559866499791406</v>
      </c>
      <c r="P53" s="6">
        <f ca="1" t="shared" ref="P53:P62" si="43">$G$2</f>
        <v>0.788014184397162</v>
      </c>
      <c r="Q53" s="6">
        <f ca="1" t="shared" ref="Q53:Q62" si="44">$H$2</f>
        <v>0</v>
      </c>
      <c r="R53" s="6">
        <f ca="1" t="shared" ref="R53:R62" si="45">$I$2</f>
        <v>0</v>
      </c>
      <c r="S53" s="6">
        <f ca="1" t="shared" ref="S53:S62" si="46">$J$2</f>
        <v>0</v>
      </c>
      <c r="T53" s="6">
        <f ca="1" t="shared" ref="T53:T62" si="47">$K$2</f>
        <v>0.718587314003615</v>
      </c>
      <c r="U53" s="11"/>
      <c r="V53" s="11">
        <v>0.65</v>
      </c>
    </row>
    <row r="54" spans="1:22">
      <c r="A54" s="3">
        <v>51</v>
      </c>
      <c r="B54" s="7" t="str">
        <f>'1课程考核方式及成绩组成'!D61</f>
        <v>190302016</v>
      </c>
      <c r="C54" s="8" t="str">
        <f>'1课程考核方式及成绩组成'!E61</f>
        <v>高世国</v>
      </c>
      <c r="D54" s="6">
        <f ca="1">OFFSET('4学生课程目标达成度'!J$5,(ROW(D54)-3)*7,)</f>
        <v>0.930555555555556</v>
      </c>
      <c r="E54" s="6">
        <f ca="1">OFFSET('4学生课程目标达成度'!J$6,(ROW(E54)-3)*7,)</f>
        <v>0.766666666666667</v>
      </c>
      <c r="F54" s="6">
        <f ca="1">OFFSET('4学生课程目标达成度'!J$7,(ROW(F54)-3)*7,)</f>
        <v>0.441176470588235</v>
      </c>
      <c r="G54" s="6">
        <f ca="1">OFFSET('4学生课程目标达成度'!J$8,(ROW(G54)-3)*7,)</f>
        <v>0.83</v>
      </c>
      <c r="H54" s="6">
        <f ca="1">OFFSET('4学生课程目标达成度'!J$9,(ROW(H54)-3)*7,)</f>
        <v>0</v>
      </c>
      <c r="I54" s="6">
        <f ca="1">OFFSET('4学生课程目标达成度'!J$10,(ROW(I54)-3)*7,)</f>
        <v>0</v>
      </c>
      <c r="J54" s="6">
        <f ca="1">OFFSET('4学生课程目标达成度'!J$11,(ROW(J54)-3)*7,)</f>
        <v>0</v>
      </c>
      <c r="K54" s="6">
        <f ca="1">OFFSET('4学生课程目标达成度'!K$5,(ROW(K54)-3)*7,)</f>
        <v>0.728877450980392</v>
      </c>
      <c r="L54" s="11"/>
      <c r="M54" s="6">
        <f ca="1" t="shared" si="40"/>
        <v>0.820478723404255</v>
      </c>
      <c r="N54" s="6">
        <f ca="1" t="shared" si="41"/>
        <v>0.779905437352246</v>
      </c>
      <c r="O54" s="6">
        <f ca="1" t="shared" si="42"/>
        <v>0.559866499791406</v>
      </c>
      <c r="P54" s="6">
        <f ca="1" t="shared" si="43"/>
        <v>0.788014184397162</v>
      </c>
      <c r="Q54" s="6">
        <f ca="1" t="shared" si="44"/>
        <v>0</v>
      </c>
      <c r="R54" s="6">
        <f ca="1" t="shared" si="45"/>
        <v>0</v>
      </c>
      <c r="S54" s="6">
        <f ca="1" t="shared" si="46"/>
        <v>0</v>
      </c>
      <c r="T54" s="6">
        <f ca="1" t="shared" si="47"/>
        <v>0.718587314003615</v>
      </c>
      <c r="U54" s="11"/>
      <c r="V54" s="11">
        <v>0.65</v>
      </c>
    </row>
    <row r="55" spans="1:22">
      <c r="A55" s="3">
        <v>52</v>
      </c>
      <c r="B55" s="7" t="str">
        <f>'1课程考核方式及成绩组成'!D62</f>
        <v>190302017</v>
      </c>
      <c r="C55" s="8" t="str">
        <f>'1课程考核方式及成绩组成'!E62</f>
        <v>王浩然</v>
      </c>
      <c r="D55" s="6">
        <f ca="1">OFFSET('4学生课程目标达成度'!J$5,(ROW(D55)-3)*7,)</f>
        <v>0.972222222222222</v>
      </c>
      <c r="E55" s="6">
        <f ca="1">OFFSET('4学生课程目标达成度'!J$6,(ROW(E55)-3)*7,)</f>
        <v>0.85</v>
      </c>
      <c r="F55" s="6">
        <f ca="1">OFFSET('4学生课程目标达成度'!J$7,(ROW(F55)-3)*7,)</f>
        <v>0.5</v>
      </c>
      <c r="G55" s="6">
        <f ca="1">OFFSET('4学生课程目标达成度'!J$8,(ROW(G55)-3)*7,)</f>
        <v>0.85</v>
      </c>
      <c r="H55" s="6">
        <f ca="1">OFFSET('4学生课程目标达成度'!J$9,(ROW(H55)-3)*7,)</f>
        <v>0</v>
      </c>
      <c r="I55" s="6">
        <f ca="1">OFFSET('4学生课程目标达成度'!J$10,(ROW(I55)-3)*7,)</f>
        <v>0</v>
      </c>
      <c r="J55" s="6">
        <f ca="1">OFFSET('4学生课程目标达成度'!J$11,(ROW(J55)-3)*7,)</f>
        <v>0</v>
      </c>
      <c r="K55" s="6">
        <f ca="1">OFFSET('4学生课程目标达成度'!K$5,(ROW(K55)-3)*7,)</f>
        <v>0.780833333333333</v>
      </c>
      <c r="L55" s="11"/>
      <c r="M55" s="6">
        <f ca="1" t="shared" si="40"/>
        <v>0.820478723404255</v>
      </c>
      <c r="N55" s="6">
        <f ca="1" t="shared" si="41"/>
        <v>0.779905437352246</v>
      </c>
      <c r="O55" s="6">
        <f ca="1" t="shared" si="42"/>
        <v>0.559866499791406</v>
      </c>
      <c r="P55" s="6">
        <f ca="1" t="shared" si="43"/>
        <v>0.788014184397162</v>
      </c>
      <c r="Q55" s="6">
        <f ca="1" t="shared" si="44"/>
        <v>0</v>
      </c>
      <c r="R55" s="6">
        <f ca="1" t="shared" si="45"/>
        <v>0</v>
      </c>
      <c r="S55" s="6">
        <f ca="1" t="shared" si="46"/>
        <v>0</v>
      </c>
      <c r="T55" s="6">
        <f ca="1" t="shared" si="47"/>
        <v>0.718587314003615</v>
      </c>
      <c r="U55" s="11"/>
      <c r="V55" s="11">
        <v>0.65</v>
      </c>
    </row>
    <row r="56" spans="1:22">
      <c r="A56" s="3">
        <v>53</v>
      </c>
      <c r="B56" s="7" t="str">
        <f>'1课程考核方式及成绩组成'!D63</f>
        <v>190302018</v>
      </c>
      <c r="C56" s="8" t="str">
        <f>'1课程考核方式及成绩组成'!E63</f>
        <v>黄文泉</v>
      </c>
      <c r="D56" s="6">
        <f ca="1">OFFSET('4学生课程目标达成度'!J$5,(ROW(D56)-3)*7,)</f>
        <v>0.833333333333333</v>
      </c>
      <c r="E56" s="6">
        <f ca="1">OFFSET('4学生课程目标达成度'!J$6,(ROW(E56)-3)*7,)</f>
        <v>0.85</v>
      </c>
      <c r="F56" s="6">
        <f ca="1">OFFSET('4学生课程目标达成度'!J$7,(ROW(F56)-3)*7,)</f>
        <v>0.470588235294118</v>
      </c>
      <c r="G56" s="6">
        <f ca="1">OFFSET('4学生课程目标达成度'!J$8,(ROW(G56)-3)*7,)</f>
        <v>0.8</v>
      </c>
      <c r="H56" s="6">
        <f ca="1">OFFSET('4学生课程目标达成度'!J$9,(ROW(H56)-3)*7,)</f>
        <v>0</v>
      </c>
      <c r="I56" s="6">
        <f ca="1">OFFSET('4学生课程目标达成度'!J$10,(ROW(I56)-3)*7,)</f>
        <v>0</v>
      </c>
      <c r="J56" s="6">
        <f ca="1">OFFSET('4学生课程目标达成度'!J$11,(ROW(J56)-3)*7,)</f>
        <v>0</v>
      </c>
      <c r="K56" s="6">
        <f ca="1">OFFSET('4学生课程目标达成度'!K$5,(ROW(K56)-3)*7,)</f>
        <v>0.737647058823529</v>
      </c>
      <c r="L56" s="11"/>
      <c r="M56" s="6">
        <f ca="1" t="shared" si="40"/>
        <v>0.820478723404255</v>
      </c>
      <c r="N56" s="6">
        <f ca="1" t="shared" si="41"/>
        <v>0.779905437352246</v>
      </c>
      <c r="O56" s="6">
        <f ca="1" t="shared" si="42"/>
        <v>0.559866499791406</v>
      </c>
      <c r="P56" s="6">
        <f ca="1" t="shared" si="43"/>
        <v>0.788014184397162</v>
      </c>
      <c r="Q56" s="6">
        <f ca="1" t="shared" si="44"/>
        <v>0</v>
      </c>
      <c r="R56" s="6">
        <f ca="1" t="shared" si="45"/>
        <v>0</v>
      </c>
      <c r="S56" s="6">
        <f ca="1" t="shared" si="46"/>
        <v>0</v>
      </c>
      <c r="T56" s="6">
        <f ca="1" t="shared" si="47"/>
        <v>0.718587314003615</v>
      </c>
      <c r="U56" s="11"/>
      <c r="V56" s="11">
        <v>0.65</v>
      </c>
    </row>
    <row r="57" spans="1:22">
      <c r="A57" s="3">
        <v>54</v>
      </c>
      <c r="B57" s="7" t="str">
        <f>'1课程考核方式及成绩组成'!D64</f>
        <v>190302019</v>
      </c>
      <c r="C57" s="9" t="str">
        <f>'1课程考核方式及成绩组成'!E64</f>
        <v>李利婷</v>
      </c>
      <c r="D57" s="6">
        <f ca="1">OFFSET('4学生课程目标达成度'!J$5,(ROW(D57)-3)*7,)</f>
        <v>0.916666666666667</v>
      </c>
      <c r="E57" s="6">
        <f ca="1">OFFSET('4学生课程目标达成度'!J$6,(ROW(E57)-3)*7,)</f>
        <v>0.833333333333333</v>
      </c>
      <c r="F57" s="6">
        <f ca="1">OFFSET('4学生课程目标达成度'!J$7,(ROW(F57)-3)*7,)</f>
        <v>0.529411764705882</v>
      </c>
      <c r="G57" s="6">
        <f ca="1">OFFSET('4学生课程目标达成度'!J$8,(ROW(G57)-3)*7,)</f>
        <v>0.82</v>
      </c>
      <c r="H57" s="6">
        <f ca="1">OFFSET('4学生课程目标达成度'!J$9,(ROW(H57)-3)*7,)</f>
        <v>0</v>
      </c>
      <c r="I57" s="6">
        <f ca="1">OFFSET('4学生课程目标达成度'!J$10,(ROW(I57)-3)*7,)</f>
        <v>0</v>
      </c>
      <c r="J57" s="6">
        <f ca="1">OFFSET('4学生课程目标达成度'!J$11,(ROW(J57)-3)*7,)</f>
        <v>0</v>
      </c>
      <c r="K57" s="6">
        <f ca="1">OFFSET('4学生课程目标达成度'!K$5,(ROW(K57)-3)*7,)</f>
        <v>0.765852941176471</v>
      </c>
      <c r="L57" s="11"/>
      <c r="M57" s="6">
        <f ca="1" t="shared" si="40"/>
        <v>0.820478723404255</v>
      </c>
      <c r="N57" s="6">
        <f ca="1" t="shared" si="41"/>
        <v>0.779905437352246</v>
      </c>
      <c r="O57" s="6">
        <f ca="1" t="shared" si="42"/>
        <v>0.559866499791406</v>
      </c>
      <c r="P57" s="6">
        <f ca="1" t="shared" si="43"/>
        <v>0.788014184397162</v>
      </c>
      <c r="Q57" s="6">
        <f ca="1" t="shared" si="44"/>
        <v>0</v>
      </c>
      <c r="R57" s="6">
        <f ca="1" t="shared" si="45"/>
        <v>0</v>
      </c>
      <c r="S57" s="6">
        <f ca="1" t="shared" si="46"/>
        <v>0</v>
      </c>
      <c r="T57" s="6">
        <f ca="1" t="shared" si="47"/>
        <v>0.718587314003615</v>
      </c>
      <c r="U57" s="11"/>
      <c r="V57" s="11">
        <v>0.65</v>
      </c>
    </row>
    <row r="58" spans="1:22">
      <c r="A58" s="3">
        <v>55</v>
      </c>
      <c r="B58" s="7" t="str">
        <f>'1课程考核方式及成绩组成'!D65</f>
        <v>190302020</v>
      </c>
      <c r="C58" s="8" t="str">
        <f>'1课程考核方式及成绩组成'!E65</f>
        <v>邓家豪</v>
      </c>
      <c r="D58" s="6">
        <f ca="1">OFFSET('4学生课程目标达成度'!J$5,(ROW(D58)-3)*7,)</f>
        <v>0.902777777777778</v>
      </c>
      <c r="E58" s="6">
        <f ca="1">OFFSET('4学生课程目标达成度'!J$6,(ROW(E58)-3)*7,)</f>
        <v>0.75</v>
      </c>
      <c r="F58" s="6">
        <f ca="1">OFFSET('4学生课程目标达成度'!J$7,(ROW(F58)-3)*7,)</f>
        <v>0.5</v>
      </c>
      <c r="G58" s="6">
        <f ca="1">OFFSET('4学生课程目标达成度'!J$8,(ROW(G58)-3)*7,)</f>
        <v>0.88</v>
      </c>
      <c r="H58" s="6">
        <f ca="1">OFFSET('4学生课程目标达成度'!J$9,(ROW(H58)-3)*7,)</f>
        <v>0</v>
      </c>
      <c r="I58" s="6">
        <f ca="1">OFFSET('4学生课程目标达成度'!J$10,(ROW(I58)-3)*7,)</f>
        <v>0</v>
      </c>
      <c r="J58" s="6">
        <f ca="1">OFFSET('4学生课程目标达成度'!J$11,(ROW(J58)-3)*7,)</f>
        <v>0</v>
      </c>
      <c r="K58" s="6">
        <f ca="1">OFFSET('4学生课程目标达成度'!K$5,(ROW(K58)-3)*7,)</f>
        <v>0.749416666666667</v>
      </c>
      <c r="L58" s="11"/>
      <c r="M58" s="6">
        <f ca="1" t="shared" si="40"/>
        <v>0.820478723404255</v>
      </c>
      <c r="N58" s="6">
        <f ca="1" t="shared" si="41"/>
        <v>0.779905437352246</v>
      </c>
      <c r="O58" s="6">
        <f ca="1" t="shared" si="42"/>
        <v>0.559866499791406</v>
      </c>
      <c r="P58" s="6">
        <f ca="1" t="shared" si="43"/>
        <v>0.788014184397162</v>
      </c>
      <c r="Q58" s="6">
        <f ca="1" t="shared" si="44"/>
        <v>0</v>
      </c>
      <c r="R58" s="6">
        <f ca="1" t="shared" si="45"/>
        <v>0</v>
      </c>
      <c r="S58" s="6">
        <f ca="1" t="shared" si="46"/>
        <v>0</v>
      </c>
      <c r="T58" s="6">
        <f ca="1" t="shared" si="47"/>
        <v>0.718587314003615</v>
      </c>
      <c r="U58" s="11"/>
      <c r="V58" s="11">
        <v>0.65</v>
      </c>
    </row>
    <row r="59" spans="1:22">
      <c r="A59" s="3">
        <v>56</v>
      </c>
      <c r="B59" s="7" t="str">
        <f>'1课程考核方式及成绩组成'!D66</f>
        <v>190302021</v>
      </c>
      <c r="C59" s="8" t="str">
        <f>'1课程考核方式及成绩组成'!E66</f>
        <v>杨以坤</v>
      </c>
      <c r="D59" s="6">
        <f ca="1">OFFSET('4学生课程目标达成度'!J$5,(ROW(D59)-3)*7,)</f>
        <v>0.888888888888889</v>
      </c>
      <c r="E59" s="6">
        <f ca="1">OFFSET('4学生课程目标达成度'!J$6,(ROW(E59)-3)*7,)</f>
        <v>0.866666666666667</v>
      </c>
      <c r="F59" s="6">
        <f ca="1">OFFSET('4学生课程目标达成度'!J$7,(ROW(F59)-3)*7,)</f>
        <v>0.764705882352941</v>
      </c>
      <c r="G59" s="6">
        <f ca="1">OFFSET('4学生课程目标达成度'!J$8,(ROW(G59)-3)*7,)</f>
        <v>0.87</v>
      </c>
      <c r="H59" s="6">
        <f ca="1">OFFSET('4学生课程目标达成度'!J$9,(ROW(H59)-3)*7,)</f>
        <v>0</v>
      </c>
      <c r="I59" s="6">
        <f ca="1">OFFSET('4学生课程目标达成度'!J$10,(ROW(I59)-3)*7,)</f>
        <v>0</v>
      </c>
      <c r="J59" s="6">
        <f ca="1">OFFSET('4学生课程目标达成度'!J$11,(ROW(J59)-3)*7,)</f>
        <v>0</v>
      </c>
      <c r="K59" s="6">
        <f ca="1">OFFSET('4学生课程目标达成度'!K$5,(ROW(K59)-3)*7,)</f>
        <v>0.845509803921569</v>
      </c>
      <c r="L59" s="11"/>
      <c r="M59" s="6">
        <f ca="1" t="shared" si="40"/>
        <v>0.820478723404255</v>
      </c>
      <c r="N59" s="6">
        <f ca="1" t="shared" si="41"/>
        <v>0.779905437352246</v>
      </c>
      <c r="O59" s="6">
        <f ca="1" t="shared" si="42"/>
        <v>0.559866499791406</v>
      </c>
      <c r="P59" s="6">
        <f ca="1" t="shared" si="43"/>
        <v>0.788014184397162</v>
      </c>
      <c r="Q59" s="6">
        <f ca="1" t="shared" si="44"/>
        <v>0</v>
      </c>
      <c r="R59" s="6">
        <f ca="1" t="shared" si="45"/>
        <v>0</v>
      </c>
      <c r="S59" s="6">
        <f ca="1" t="shared" si="46"/>
        <v>0</v>
      </c>
      <c r="T59" s="6">
        <f ca="1" t="shared" si="47"/>
        <v>0.718587314003615</v>
      </c>
      <c r="U59" s="11"/>
      <c r="V59" s="11">
        <v>0.65</v>
      </c>
    </row>
    <row r="60" spans="1:22">
      <c r="A60" s="3">
        <v>57</v>
      </c>
      <c r="B60" s="7" t="str">
        <f>'1课程考核方式及成绩组成'!D67</f>
        <v>190302022</v>
      </c>
      <c r="C60" s="8" t="str">
        <f>'1课程考核方式及成绩组成'!E67</f>
        <v>皮成鹏</v>
      </c>
      <c r="D60" s="6">
        <f ca="1">OFFSET('4学生课程目标达成度'!J$5,(ROW(D60)-3)*7,)</f>
        <v>0.972222222222222</v>
      </c>
      <c r="E60" s="6">
        <f ca="1">OFFSET('4学生课程目标达成度'!J$6,(ROW(E60)-3)*7,)</f>
        <v>0.9</v>
      </c>
      <c r="F60" s="6">
        <f ca="1">OFFSET('4学生课程目标达成度'!J$7,(ROW(F60)-3)*7,)</f>
        <v>0.705882352941177</v>
      </c>
      <c r="G60" s="6">
        <f ca="1">OFFSET('4学生课程目标达成度'!J$8,(ROW(G60)-3)*7,)</f>
        <v>0.8</v>
      </c>
      <c r="H60" s="6">
        <f ca="1">OFFSET('4学生课程目标达成度'!J$9,(ROW(H60)-3)*7,)</f>
        <v>0</v>
      </c>
      <c r="I60" s="6">
        <f ca="1">OFFSET('4学生课程目标达成度'!J$10,(ROW(I60)-3)*7,)</f>
        <v>0</v>
      </c>
      <c r="J60" s="6">
        <f ca="1">OFFSET('4学生课程目标达成度'!J$11,(ROW(J60)-3)*7,)</f>
        <v>0</v>
      </c>
      <c r="K60" s="6">
        <f ca="1">OFFSET('4学生课程目标达成度'!K$5,(ROW(K60)-3)*7,)</f>
        <v>0.832303921568627</v>
      </c>
      <c r="L60" s="11"/>
      <c r="M60" s="6">
        <f ca="1" t="shared" si="40"/>
        <v>0.820478723404255</v>
      </c>
      <c r="N60" s="6">
        <f ca="1" t="shared" si="41"/>
        <v>0.779905437352246</v>
      </c>
      <c r="O60" s="6">
        <f ca="1" t="shared" si="42"/>
        <v>0.559866499791406</v>
      </c>
      <c r="P60" s="6">
        <f ca="1" t="shared" si="43"/>
        <v>0.788014184397162</v>
      </c>
      <c r="Q60" s="6">
        <f ca="1" t="shared" si="44"/>
        <v>0</v>
      </c>
      <c r="R60" s="6">
        <f ca="1" t="shared" si="45"/>
        <v>0</v>
      </c>
      <c r="S60" s="6">
        <f ca="1" t="shared" si="46"/>
        <v>0</v>
      </c>
      <c r="T60" s="6">
        <f ca="1" t="shared" si="47"/>
        <v>0.718587314003615</v>
      </c>
      <c r="U60" s="11"/>
      <c r="V60" s="11">
        <v>0.65</v>
      </c>
    </row>
    <row r="61" spans="1:22">
      <c r="A61" s="3">
        <v>58</v>
      </c>
      <c r="B61" s="7" t="str">
        <f>'1课程考核方式及成绩组成'!D68</f>
        <v>190302023</v>
      </c>
      <c r="C61" s="8" t="str">
        <f>'1课程考核方式及成绩组成'!E68</f>
        <v>张罗鑫</v>
      </c>
      <c r="D61" s="6">
        <f ca="1">OFFSET('4学生课程目标达成度'!J$5,(ROW(D61)-3)*7,)</f>
        <v>0.944444444444444</v>
      </c>
      <c r="E61" s="6">
        <f ca="1">OFFSET('4学生课程目标达成度'!J$6,(ROW(E61)-3)*7,)</f>
        <v>0.966666666666667</v>
      </c>
      <c r="F61" s="6">
        <f ca="1">OFFSET('4学生课程目标达成度'!J$7,(ROW(F61)-3)*7,)</f>
        <v>0.764705882352941</v>
      </c>
      <c r="G61" s="6">
        <f ca="1">OFFSET('4学生课程目标达成度'!J$8,(ROW(G61)-3)*7,)</f>
        <v>0.87</v>
      </c>
      <c r="H61" s="6">
        <f ca="1">OFFSET('4学生课程目标达成度'!J$9,(ROW(H61)-3)*7,)</f>
        <v>0</v>
      </c>
      <c r="I61" s="6">
        <f ca="1">OFFSET('4学生课程目标达成度'!J$10,(ROW(I61)-3)*7,)</f>
        <v>0</v>
      </c>
      <c r="J61" s="6">
        <f ca="1">OFFSET('4学生课程目标达成度'!J$11,(ROW(J61)-3)*7,)</f>
        <v>0</v>
      </c>
      <c r="K61" s="6">
        <f ca="1">OFFSET('4学生课程目标达成度'!K$5,(ROW(K61)-3)*7,)</f>
        <v>0.883843137254902</v>
      </c>
      <c r="L61" s="11"/>
      <c r="M61" s="6">
        <f ca="1" t="shared" si="40"/>
        <v>0.820478723404255</v>
      </c>
      <c r="N61" s="6">
        <f ca="1" t="shared" si="41"/>
        <v>0.779905437352246</v>
      </c>
      <c r="O61" s="6">
        <f ca="1" t="shared" si="42"/>
        <v>0.559866499791406</v>
      </c>
      <c r="P61" s="6">
        <f ca="1" t="shared" si="43"/>
        <v>0.788014184397162</v>
      </c>
      <c r="Q61" s="6">
        <f ca="1" t="shared" si="44"/>
        <v>0</v>
      </c>
      <c r="R61" s="6">
        <f ca="1" t="shared" si="45"/>
        <v>0</v>
      </c>
      <c r="S61" s="6">
        <f ca="1" t="shared" si="46"/>
        <v>0</v>
      </c>
      <c r="T61" s="6">
        <f ca="1" t="shared" si="47"/>
        <v>0.718587314003615</v>
      </c>
      <c r="U61" s="11"/>
      <c r="V61" s="11">
        <v>0.65</v>
      </c>
    </row>
    <row r="62" spans="1:22">
      <c r="A62" s="3">
        <v>59</v>
      </c>
      <c r="B62" s="7" t="str">
        <f>'1课程考核方式及成绩组成'!D69</f>
        <v>190302024</v>
      </c>
      <c r="C62" s="8" t="str">
        <f>'1课程考核方式及成绩组成'!E69</f>
        <v>刘新</v>
      </c>
      <c r="D62" s="6">
        <f ca="1">OFFSET('4学生课程目标达成度'!J$5,(ROW(D62)-3)*7,)</f>
        <v>0.888888888888889</v>
      </c>
      <c r="E62" s="6">
        <f ca="1">OFFSET('4学生课程目标达成度'!J$6,(ROW(E62)-3)*7,)</f>
        <v>0.9</v>
      </c>
      <c r="F62" s="6">
        <f ca="1">OFFSET('4学生课程目标达成度'!J$7,(ROW(F62)-3)*7,)</f>
        <v>0.529411764705882</v>
      </c>
      <c r="G62" s="6">
        <f ca="1">OFFSET('4学生课程目标达成度'!J$8,(ROW(G62)-3)*7,)</f>
        <v>0.87</v>
      </c>
      <c r="H62" s="6">
        <f ca="1">OFFSET('4学生课程目标达成度'!J$9,(ROW(H62)-3)*7,)</f>
        <v>0</v>
      </c>
      <c r="I62" s="6">
        <f ca="1">OFFSET('4学生课程目标达成度'!J$10,(ROW(I62)-3)*7,)</f>
        <v>0</v>
      </c>
      <c r="J62" s="6">
        <f ca="1">OFFSET('4学生课程目标达成度'!J$11,(ROW(J62)-3)*7,)</f>
        <v>0</v>
      </c>
      <c r="K62" s="6">
        <f ca="1">OFFSET('4学生课程目标达成度'!K$5,(ROW(K62)-3)*7,)</f>
        <v>0.796686274509804</v>
      </c>
      <c r="L62" s="11"/>
      <c r="M62" s="6">
        <f ca="1" t="shared" si="40"/>
        <v>0.820478723404255</v>
      </c>
      <c r="N62" s="6">
        <f ca="1" t="shared" si="41"/>
        <v>0.779905437352246</v>
      </c>
      <c r="O62" s="6">
        <f ca="1" t="shared" si="42"/>
        <v>0.559866499791406</v>
      </c>
      <c r="P62" s="6">
        <f ca="1" t="shared" si="43"/>
        <v>0.788014184397162</v>
      </c>
      <c r="Q62" s="6">
        <f ca="1" t="shared" si="44"/>
        <v>0</v>
      </c>
      <c r="R62" s="6">
        <f ca="1" t="shared" si="45"/>
        <v>0</v>
      </c>
      <c r="S62" s="6">
        <f ca="1" t="shared" si="46"/>
        <v>0</v>
      </c>
      <c r="T62" s="6">
        <f ca="1" t="shared" si="47"/>
        <v>0.718587314003615</v>
      </c>
      <c r="U62" s="11"/>
      <c r="V62" s="11">
        <v>0.65</v>
      </c>
    </row>
    <row r="63" spans="1:22">
      <c r="A63" s="3">
        <v>60</v>
      </c>
      <c r="B63" s="7" t="str">
        <f>'1课程考核方式及成绩组成'!D70</f>
        <v>190302026</v>
      </c>
      <c r="C63" s="8" t="str">
        <f>'1课程考核方式及成绩组成'!E70</f>
        <v>兰茜</v>
      </c>
      <c r="D63" s="6">
        <f ca="1">OFFSET('4学生课程目标达成度'!J$5,(ROW(D63)-3)*7,)</f>
        <v>0.888888888888889</v>
      </c>
      <c r="E63" s="6">
        <f ca="1">OFFSET('4学生课程目标达成度'!J$6,(ROW(E63)-3)*7,)</f>
        <v>0.9</v>
      </c>
      <c r="F63" s="6">
        <f ca="1">OFFSET('4学生课程目标达成度'!J$7,(ROW(F63)-3)*7,)</f>
        <v>0.529411764705882</v>
      </c>
      <c r="G63" s="6">
        <f ca="1">OFFSET('4学生课程目标达成度'!J$8,(ROW(G63)-3)*7,)</f>
        <v>0.78</v>
      </c>
      <c r="H63" s="6">
        <f ca="1">OFFSET('4学生课程目标达成度'!J$9,(ROW(H63)-3)*7,)</f>
        <v>0</v>
      </c>
      <c r="I63" s="6">
        <f ca="1">OFFSET('4学生课程目标达成度'!J$10,(ROW(I63)-3)*7,)</f>
        <v>0</v>
      </c>
      <c r="J63" s="6">
        <f ca="1">OFFSET('4学生课程目标达成度'!J$11,(ROW(J63)-3)*7,)</f>
        <v>0</v>
      </c>
      <c r="K63" s="6">
        <f ca="1">OFFSET('4学生课程目标达成度'!K$5,(ROW(K63)-3)*7,)</f>
        <v>0.769686274509804</v>
      </c>
      <c r="L63" s="11"/>
      <c r="M63" s="6">
        <f ca="1" t="shared" ref="M63:M72" si="48">$D$2</f>
        <v>0.820478723404255</v>
      </c>
      <c r="N63" s="6">
        <f ca="1" t="shared" ref="N63:N72" si="49">$E$2</f>
        <v>0.779905437352246</v>
      </c>
      <c r="O63" s="6">
        <f ca="1" t="shared" ref="O63:O72" si="50">$F$2</f>
        <v>0.559866499791406</v>
      </c>
      <c r="P63" s="6">
        <f ca="1" t="shared" ref="P63:P72" si="51">$G$2</f>
        <v>0.788014184397162</v>
      </c>
      <c r="Q63" s="6">
        <f ca="1" t="shared" ref="Q63:Q72" si="52">$H$2</f>
        <v>0</v>
      </c>
      <c r="R63" s="6">
        <f ca="1" t="shared" ref="R63:R72" si="53">$I$2</f>
        <v>0</v>
      </c>
      <c r="S63" s="6">
        <f ca="1" t="shared" ref="S63:S72" si="54">$J$2</f>
        <v>0</v>
      </c>
      <c r="T63" s="6">
        <f ca="1" t="shared" ref="T63:T72" si="55">$K$2</f>
        <v>0.718587314003615</v>
      </c>
      <c r="U63" s="11"/>
      <c r="V63" s="11">
        <v>0.65</v>
      </c>
    </row>
    <row r="64" spans="1:22">
      <c r="A64" s="3">
        <v>61</v>
      </c>
      <c r="B64" s="7" t="str">
        <f>'1课程考核方式及成绩组成'!D71</f>
        <v>190302027</v>
      </c>
      <c r="C64" s="8" t="str">
        <f>'1课程考核方式及成绩组成'!E71</f>
        <v>李洪</v>
      </c>
      <c r="D64" s="6">
        <f ca="1">OFFSET('4学生课程目标达成度'!J$5,(ROW(D64)-3)*7,)</f>
        <v>0.972222222222222</v>
      </c>
      <c r="E64" s="6">
        <f ca="1">OFFSET('4学生课程目标达成度'!J$6,(ROW(E64)-3)*7,)</f>
        <v>0.95</v>
      </c>
      <c r="F64" s="6">
        <f ca="1">OFFSET('4学生课程目标达成度'!J$7,(ROW(F64)-3)*7,)</f>
        <v>0.941176470588235</v>
      </c>
      <c r="G64" s="6">
        <f ca="1">OFFSET('4学生课程目标达成度'!J$8,(ROW(G64)-3)*7,)</f>
        <v>0.83</v>
      </c>
      <c r="H64" s="6">
        <f ca="1">OFFSET('4学生课程目标达成度'!J$9,(ROW(H64)-3)*7,)</f>
        <v>0</v>
      </c>
      <c r="I64" s="6">
        <f ca="1">OFFSET('4学生课程目标达成度'!J$10,(ROW(I64)-3)*7,)</f>
        <v>0</v>
      </c>
      <c r="J64" s="6">
        <f ca="1">OFFSET('4学生课程目标达成度'!J$11,(ROW(J64)-3)*7,)</f>
        <v>0</v>
      </c>
      <c r="K64" s="6">
        <f ca="1">OFFSET('4学生课程目标达成度'!K$5,(ROW(K64)-3)*7,)</f>
        <v>0.915127450980392</v>
      </c>
      <c r="L64" s="11"/>
      <c r="M64" s="6">
        <f ca="1" t="shared" si="48"/>
        <v>0.820478723404255</v>
      </c>
      <c r="N64" s="6">
        <f ca="1" t="shared" si="49"/>
        <v>0.779905437352246</v>
      </c>
      <c r="O64" s="6">
        <f ca="1" t="shared" si="50"/>
        <v>0.559866499791406</v>
      </c>
      <c r="P64" s="6">
        <f ca="1" t="shared" si="51"/>
        <v>0.788014184397162</v>
      </c>
      <c r="Q64" s="6">
        <f ca="1" t="shared" si="52"/>
        <v>0</v>
      </c>
      <c r="R64" s="6">
        <f ca="1" t="shared" si="53"/>
        <v>0</v>
      </c>
      <c r="S64" s="6">
        <f ca="1" t="shared" si="54"/>
        <v>0</v>
      </c>
      <c r="T64" s="6">
        <f ca="1" t="shared" si="55"/>
        <v>0.718587314003615</v>
      </c>
      <c r="U64" s="11"/>
      <c r="V64" s="11">
        <v>0.65</v>
      </c>
    </row>
    <row r="65" spans="1:22">
      <c r="A65" s="3">
        <v>62</v>
      </c>
      <c r="B65" s="7" t="str">
        <f>'1课程考核方式及成绩组成'!D72</f>
        <v>190302028</v>
      </c>
      <c r="C65" s="8" t="str">
        <f>'1课程考核方式及成绩组成'!E72</f>
        <v>庞陈杰</v>
      </c>
      <c r="D65" s="6">
        <f ca="1">OFFSET('4学生课程目标达成度'!J$5,(ROW(D65)-3)*7,)</f>
        <v>0.881944444444444</v>
      </c>
      <c r="E65" s="6">
        <f ca="1">OFFSET('4学生课程目标达成度'!J$6,(ROW(E65)-3)*7,)</f>
        <v>0.758333333333333</v>
      </c>
      <c r="F65" s="6">
        <f ca="1">OFFSET('4学生课程目标达成度'!J$7,(ROW(F65)-3)*7,)</f>
        <v>0.588235294117647</v>
      </c>
      <c r="G65" s="6">
        <f ca="1">OFFSET('4学生课程目标达成度'!J$8,(ROW(G65)-3)*7,)</f>
        <v>0.83</v>
      </c>
      <c r="H65" s="6">
        <f ca="1">OFFSET('4学生课程目标达成度'!J$9,(ROW(H65)-3)*7,)</f>
        <v>0</v>
      </c>
      <c r="I65" s="6">
        <f ca="1">OFFSET('4学生课程目标达成度'!J$10,(ROW(I65)-3)*7,)</f>
        <v>0</v>
      </c>
      <c r="J65" s="6">
        <f ca="1">OFFSET('4学生课程目标达成度'!J$11,(ROW(J65)-3)*7,)</f>
        <v>0</v>
      </c>
      <c r="K65" s="6">
        <f ca="1">OFFSET('4学生课程目标达成度'!K$5,(ROW(K65)-3)*7,)</f>
        <v>0.755850490196078</v>
      </c>
      <c r="L65" s="11"/>
      <c r="M65" s="6">
        <f ca="1" t="shared" si="48"/>
        <v>0.820478723404255</v>
      </c>
      <c r="N65" s="6">
        <f ca="1" t="shared" si="49"/>
        <v>0.779905437352246</v>
      </c>
      <c r="O65" s="6">
        <f ca="1" t="shared" si="50"/>
        <v>0.559866499791406</v>
      </c>
      <c r="P65" s="6">
        <f ca="1" t="shared" si="51"/>
        <v>0.788014184397162</v>
      </c>
      <c r="Q65" s="6">
        <f ca="1" t="shared" si="52"/>
        <v>0</v>
      </c>
      <c r="R65" s="6">
        <f ca="1" t="shared" si="53"/>
        <v>0</v>
      </c>
      <c r="S65" s="6">
        <f ca="1" t="shared" si="54"/>
        <v>0</v>
      </c>
      <c r="T65" s="6">
        <f ca="1" t="shared" si="55"/>
        <v>0.718587314003615</v>
      </c>
      <c r="U65" s="11"/>
      <c r="V65" s="11">
        <v>0.65</v>
      </c>
    </row>
    <row r="66" spans="1:22">
      <c r="A66" s="3">
        <v>63</v>
      </c>
      <c r="B66" s="7" t="str">
        <f>'1课程考核方式及成绩组成'!D73</f>
        <v>190302029</v>
      </c>
      <c r="C66" s="8" t="str">
        <f>'1课程考核方式及成绩组成'!E73</f>
        <v>刘畅</v>
      </c>
      <c r="D66" s="6">
        <f ca="1">OFFSET('4学生课程目标达成度'!J$5,(ROW(D66)-3)*7,)</f>
        <v>0.909722222222222</v>
      </c>
      <c r="E66" s="6">
        <f ca="1">OFFSET('4学生课程目标达成度'!J$6,(ROW(E66)-3)*7,)</f>
        <v>0.741666666666667</v>
      </c>
      <c r="F66" s="6">
        <f ca="1">OFFSET('4学生课程目标达成度'!J$7,(ROW(F66)-3)*7,)</f>
        <v>0.617647058823529</v>
      </c>
      <c r="G66" s="6">
        <f ca="1">OFFSET('4学生课程目标达成度'!J$8,(ROW(G66)-3)*7,)</f>
        <v>0.75</v>
      </c>
      <c r="H66" s="6">
        <f ca="1">OFFSET('4学生课程目标达成度'!J$9,(ROW(H66)-3)*7,)</f>
        <v>0</v>
      </c>
      <c r="I66" s="6">
        <f ca="1">OFFSET('4学生课程目标达成度'!J$10,(ROW(I66)-3)*7,)</f>
        <v>0</v>
      </c>
      <c r="J66" s="6">
        <f ca="1">OFFSET('4学生课程目标达成度'!J$11,(ROW(J66)-3)*7,)</f>
        <v>0</v>
      </c>
      <c r="K66" s="6">
        <f ca="1">OFFSET('4学生课程目标达成度'!K$5,(ROW(K66)-3)*7,)</f>
        <v>0.738370098039216</v>
      </c>
      <c r="L66" s="11"/>
      <c r="M66" s="6">
        <f ca="1" t="shared" si="48"/>
        <v>0.820478723404255</v>
      </c>
      <c r="N66" s="6">
        <f ca="1" t="shared" si="49"/>
        <v>0.779905437352246</v>
      </c>
      <c r="O66" s="6">
        <f ca="1" t="shared" si="50"/>
        <v>0.559866499791406</v>
      </c>
      <c r="P66" s="6">
        <f ca="1" t="shared" si="51"/>
        <v>0.788014184397162</v>
      </c>
      <c r="Q66" s="6">
        <f ca="1" t="shared" si="52"/>
        <v>0</v>
      </c>
      <c r="R66" s="6">
        <f ca="1" t="shared" si="53"/>
        <v>0</v>
      </c>
      <c r="S66" s="6">
        <f ca="1" t="shared" si="54"/>
        <v>0</v>
      </c>
      <c r="T66" s="6">
        <f ca="1" t="shared" si="55"/>
        <v>0.718587314003615</v>
      </c>
      <c r="U66" s="11"/>
      <c r="V66" s="11">
        <v>0.65</v>
      </c>
    </row>
    <row r="67" spans="1:22">
      <c r="A67" s="3">
        <v>64</v>
      </c>
      <c r="B67" s="7" t="str">
        <f>'1课程考核方式及成绩组成'!D74</f>
        <v>190302030</v>
      </c>
      <c r="C67" s="9" t="str">
        <f>'1课程考核方式及成绩组成'!E74</f>
        <v>刘宗洋</v>
      </c>
      <c r="D67" s="6">
        <f ca="1">OFFSET('4学生课程目标达成度'!J$5,(ROW(D67)-3)*7,)</f>
        <v>0.909722222222222</v>
      </c>
      <c r="E67" s="6">
        <f ca="1">OFFSET('4学生课程目标达成度'!J$6,(ROW(E67)-3)*7,)</f>
        <v>0.858333333333333</v>
      </c>
      <c r="F67" s="6">
        <f ca="1">OFFSET('4学生课程目标达成度'!J$7,(ROW(F67)-3)*7,)</f>
        <v>0.588235294117647</v>
      </c>
      <c r="G67" s="6">
        <f ca="1">OFFSET('4学生课程目标达成度'!J$8,(ROW(G67)-3)*7,)</f>
        <v>0.63</v>
      </c>
      <c r="H67" s="6">
        <f ca="1">OFFSET('4学生课程目标达成度'!J$9,(ROW(H67)-3)*7,)</f>
        <v>0</v>
      </c>
      <c r="I67" s="6">
        <f ca="1">OFFSET('4学生课程目标达成度'!J$10,(ROW(I67)-3)*7,)</f>
        <v>0</v>
      </c>
      <c r="J67" s="6">
        <f ca="1">OFFSET('4学生课程目标达成度'!J$11,(ROW(J67)-3)*7,)</f>
        <v>0</v>
      </c>
      <c r="K67" s="6">
        <f ca="1">OFFSET('4学生课程目标达成度'!K$5,(ROW(K67)-3)*7,)</f>
        <v>0.730017156862745</v>
      </c>
      <c r="L67" s="11"/>
      <c r="M67" s="6">
        <f ca="1" t="shared" si="48"/>
        <v>0.820478723404255</v>
      </c>
      <c r="N67" s="6">
        <f ca="1" t="shared" si="49"/>
        <v>0.779905437352246</v>
      </c>
      <c r="O67" s="6">
        <f ca="1" t="shared" si="50"/>
        <v>0.559866499791406</v>
      </c>
      <c r="P67" s="6">
        <f ca="1" t="shared" si="51"/>
        <v>0.788014184397162</v>
      </c>
      <c r="Q67" s="6">
        <f ca="1" t="shared" si="52"/>
        <v>0</v>
      </c>
      <c r="R67" s="6">
        <f ca="1" t="shared" si="53"/>
        <v>0</v>
      </c>
      <c r="S67" s="6">
        <f ca="1" t="shared" si="54"/>
        <v>0</v>
      </c>
      <c r="T67" s="6">
        <f ca="1" t="shared" si="55"/>
        <v>0.718587314003615</v>
      </c>
      <c r="U67" s="11"/>
      <c r="V67" s="11">
        <v>0.65</v>
      </c>
    </row>
    <row r="68" spans="1:22">
      <c r="A68" s="3">
        <v>65</v>
      </c>
      <c r="B68" s="7" t="str">
        <f>'1课程考核方式及成绩组成'!D75</f>
        <v>190302032</v>
      </c>
      <c r="C68" s="8" t="str">
        <f>'1课程考核方式及成绩组成'!E75</f>
        <v>胡万全</v>
      </c>
      <c r="D68" s="6">
        <f ca="1">OFFSET('4学生课程目标达成度'!J$5,(ROW(D68)-3)*7,)</f>
        <v>0.916666666666667</v>
      </c>
      <c r="E68" s="6">
        <f ca="1">OFFSET('4学生课程目标达成度'!J$6,(ROW(E68)-3)*7,)</f>
        <v>0.766666666666667</v>
      </c>
      <c r="F68" s="6">
        <f ca="1">OFFSET('4学生课程目标达成度'!J$7,(ROW(F68)-3)*7,)</f>
        <v>0.705882352941177</v>
      </c>
      <c r="G68" s="6">
        <f ca="1">OFFSET('4学生课程目标达成度'!J$8,(ROW(G68)-3)*7,)</f>
        <v>0.8</v>
      </c>
      <c r="H68" s="6">
        <f ca="1">OFFSET('4学生课程目标达成度'!J$9,(ROW(H68)-3)*7,)</f>
        <v>0</v>
      </c>
      <c r="I68" s="6">
        <f ca="1">OFFSET('4学生课程目标达成度'!J$10,(ROW(I68)-3)*7,)</f>
        <v>0</v>
      </c>
      <c r="J68" s="6">
        <f ca="1">OFFSET('4学生课程目标达成度'!J$11,(ROW(J68)-3)*7,)</f>
        <v>0</v>
      </c>
      <c r="K68" s="6">
        <f ca="1">OFFSET('4学生课程目标达成度'!K$5,(ROW(K68)-3)*7,)</f>
        <v>0.783970588235294</v>
      </c>
      <c r="L68" s="11"/>
      <c r="M68" s="6">
        <f ca="1" t="shared" si="48"/>
        <v>0.820478723404255</v>
      </c>
      <c r="N68" s="6">
        <f ca="1" t="shared" si="49"/>
        <v>0.779905437352246</v>
      </c>
      <c r="O68" s="6">
        <f ca="1" t="shared" si="50"/>
        <v>0.559866499791406</v>
      </c>
      <c r="P68" s="6">
        <f ca="1" t="shared" si="51"/>
        <v>0.788014184397162</v>
      </c>
      <c r="Q68" s="6">
        <f ca="1" t="shared" si="52"/>
        <v>0</v>
      </c>
      <c r="R68" s="6">
        <f ca="1" t="shared" si="53"/>
        <v>0</v>
      </c>
      <c r="S68" s="6">
        <f ca="1" t="shared" si="54"/>
        <v>0</v>
      </c>
      <c r="T68" s="6">
        <f ca="1" t="shared" si="55"/>
        <v>0.718587314003615</v>
      </c>
      <c r="U68" s="11"/>
      <c r="V68" s="11">
        <v>0.65</v>
      </c>
    </row>
    <row r="69" spans="1:22">
      <c r="A69" s="3">
        <v>66</v>
      </c>
      <c r="B69" s="7" t="str">
        <f>'1课程考核方式及成绩组成'!D76</f>
        <v>190302033</v>
      </c>
      <c r="C69" s="8" t="str">
        <f>'1课程考核方式及成绩组成'!E76</f>
        <v>夏珑阳</v>
      </c>
      <c r="D69" s="6">
        <f ca="1">OFFSET('4学生课程目标达成度'!J$5,(ROW(D69)-3)*7,)</f>
        <v>0.916666666666667</v>
      </c>
      <c r="E69" s="6">
        <f ca="1">OFFSET('4学生课程目标达成度'!J$6,(ROW(E69)-3)*7,)</f>
        <v>0.933333333333333</v>
      </c>
      <c r="F69" s="6">
        <f ca="1">OFFSET('4学生课程目标达成度'!J$7,(ROW(F69)-3)*7,)</f>
        <v>0.764705882352941</v>
      </c>
      <c r="G69" s="6">
        <f ca="1">OFFSET('4学生课程目标达成度'!J$8,(ROW(G69)-3)*7,)</f>
        <v>0.78</v>
      </c>
      <c r="H69" s="6">
        <f ca="1">OFFSET('4学生课程目标达成度'!J$9,(ROW(H69)-3)*7,)</f>
        <v>0</v>
      </c>
      <c r="I69" s="6">
        <f ca="1">OFFSET('4学生课程目标达成度'!J$10,(ROW(I69)-3)*7,)</f>
        <v>0</v>
      </c>
      <c r="J69" s="6">
        <f ca="1">OFFSET('4学生课程目标达成度'!J$11,(ROW(J69)-3)*7,)</f>
        <v>0</v>
      </c>
      <c r="K69" s="6">
        <f ca="1">OFFSET('4学生课程目标达成度'!K$5,(ROW(K69)-3)*7,)</f>
        <v>0.842676470588235</v>
      </c>
      <c r="L69" s="11"/>
      <c r="M69" s="6">
        <f ca="1" t="shared" si="48"/>
        <v>0.820478723404255</v>
      </c>
      <c r="N69" s="6">
        <f ca="1" t="shared" si="49"/>
        <v>0.779905437352246</v>
      </c>
      <c r="O69" s="6">
        <f ca="1" t="shared" si="50"/>
        <v>0.559866499791406</v>
      </c>
      <c r="P69" s="6">
        <f ca="1" t="shared" si="51"/>
        <v>0.788014184397162</v>
      </c>
      <c r="Q69" s="6">
        <f ca="1" t="shared" si="52"/>
        <v>0</v>
      </c>
      <c r="R69" s="6">
        <f ca="1" t="shared" si="53"/>
        <v>0</v>
      </c>
      <c r="S69" s="6">
        <f ca="1" t="shared" si="54"/>
        <v>0</v>
      </c>
      <c r="T69" s="6">
        <f ca="1" t="shared" si="55"/>
        <v>0.718587314003615</v>
      </c>
      <c r="U69" s="11"/>
      <c r="V69" s="11">
        <v>0.65</v>
      </c>
    </row>
    <row r="70" spans="1:22">
      <c r="A70" s="3">
        <v>67</v>
      </c>
      <c r="B70" s="7" t="str">
        <f>'1课程考核方式及成绩组成'!D77</f>
        <v>190302034</v>
      </c>
      <c r="C70" s="8" t="str">
        <f>'1课程考核方式及成绩组成'!E77</f>
        <v>陈淇</v>
      </c>
      <c r="D70" s="6">
        <f ca="1">OFFSET('4学生课程目标达成度'!J$5,(ROW(D70)-3)*7,)</f>
        <v>0.819444444444444</v>
      </c>
      <c r="E70" s="6">
        <f ca="1">OFFSET('4学生课程目标达成度'!J$6,(ROW(E70)-3)*7,)</f>
        <v>0.833333333333333</v>
      </c>
      <c r="F70" s="6">
        <f ca="1">OFFSET('4学生课程目标达成度'!J$7,(ROW(F70)-3)*7,)</f>
        <v>0.5</v>
      </c>
      <c r="G70" s="6">
        <f ca="1">OFFSET('4学生课程目标达成度'!J$8,(ROW(G70)-3)*7,)</f>
        <v>0.8</v>
      </c>
      <c r="H70" s="6">
        <f ca="1">OFFSET('4学生课程目标达成度'!J$9,(ROW(H70)-3)*7,)</f>
        <v>0</v>
      </c>
      <c r="I70" s="6">
        <f ca="1">OFFSET('4学生课程目标达成度'!J$10,(ROW(I70)-3)*7,)</f>
        <v>0</v>
      </c>
      <c r="J70" s="6">
        <f ca="1">OFFSET('4学生课程目标达成度'!J$11,(ROW(J70)-3)*7,)</f>
        <v>0</v>
      </c>
      <c r="K70" s="6">
        <f ca="1">OFFSET('4学生课程目标达成度'!K$5,(ROW(K70)-3)*7,)</f>
        <v>0.737916666666667</v>
      </c>
      <c r="L70" s="11"/>
      <c r="M70" s="6">
        <f ca="1" t="shared" si="48"/>
        <v>0.820478723404255</v>
      </c>
      <c r="N70" s="6">
        <f ca="1" t="shared" si="49"/>
        <v>0.779905437352246</v>
      </c>
      <c r="O70" s="6">
        <f ca="1" t="shared" si="50"/>
        <v>0.559866499791406</v>
      </c>
      <c r="P70" s="6">
        <f ca="1" t="shared" si="51"/>
        <v>0.788014184397162</v>
      </c>
      <c r="Q70" s="6">
        <f ca="1" t="shared" si="52"/>
        <v>0</v>
      </c>
      <c r="R70" s="6">
        <f ca="1" t="shared" si="53"/>
        <v>0</v>
      </c>
      <c r="S70" s="6">
        <f ca="1" t="shared" si="54"/>
        <v>0</v>
      </c>
      <c r="T70" s="6">
        <f ca="1" t="shared" si="55"/>
        <v>0.718587314003615</v>
      </c>
      <c r="U70" s="11"/>
      <c r="V70" s="11">
        <v>0.65</v>
      </c>
    </row>
    <row r="71" spans="1:22">
      <c r="A71" s="3">
        <v>68</v>
      </c>
      <c r="B71" s="7" t="str">
        <f>'1课程考核方式及成绩组成'!D78</f>
        <v>190302035</v>
      </c>
      <c r="C71" s="8" t="str">
        <f>'1课程考核方式及成绩组成'!E78</f>
        <v>李欣原</v>
      </c>
      <c r="D71" s="6">
        <f ca="1">OFFSET('4学生课程目标达成度'!J$5,(ROW(D71)-3)*7,)</f>
        <v>0.944444444444444</v>
      </c>
      <c r="E71" s="6">
        <f ca="1">OFFSET('4学生课程目标达成度'!J$6,(ROW(E71)-3)*7,)</f>
        <v>1</v>
      </c>
      <c r="F71" s="6">
        <f ca="1">OFFSET('4学生课程目标达成度'!J$7,(ROW(F71)-3)*7,)</f>
        <v>0.823529411764706</v>
      </c>
      <c r="G71" s="6">
        <f ca="1">OFFSET('4学生课程目标达成度'!J$8,(ROW(G71)-3)*7,)</f>
        <v>0.93</v>
      </c>
      <c r="H71" s="6">
        <f ca="1">OFFSET('4学生课程目标达成度'!J$9,(ROW(H71)-3)*7,)</f>
        <v>0</v>
      </c>
      <c r="I71" s="6">
        <f ca="1">OFFSET('4学生课程目标达成度'!J$10,(ROW(I71)-3)*7,)</f>
        <v>0</v>
      </c>
      <c r="J71" s="6">
        <f ca="1">OFFSET('4学生课程目标达成度'!J$11,(ROW(J71)-3)*7,)</f>
        <v>0</v>
      </c>
      <c r="K71" s="6">
        <f ca="1">OFFSET('4学生课程目标达成度'!K$5,(ROW(K71)-3)*7,)</f>
        <v>0.926549019607843</v>
      </c>
      <c r="L71" s="11"/>
      <c r="M71" s="6">
        <f ca="1" t="shared" si="48"/>
        <v>0.820478723404255</v>
      </c>
      <c r="N71" s="6">
        <f ca="1" t="shared" si="49"/>
        <v>0.779905437352246</v>
      </c>
      <c r="O71" s="6">
        <f ca="1" t="shared" si="50"/>
        <v>0.559866499791406</v>
      </c>
      <c r="P71" s="6">
        <f ca="1" t="shared" si="51"/>
        <v>0.788014184397162</v>
      </c>
      <c r="Q71" s="6">
        <f ca="1" t="shared" si="52"/>
        <v>0</v>
      </c>
      <c r="R71" s="6">
        <f ca="1" t="shared" si="53"/>
        <v>0</v>
      </c>
      <c r="S71" s="6">
        <f ca="1" t="shared" si="54"/>
        <v>0</v>
      </c>
      <c r="T71" s="6">
        <f ca="1" t="shared" si="55"/>
        <v>0.718587314003615</v>
      </c>
      <c r="U71" s="11"/>
      <c r="V71" s="11">
        <v>0.65</v>
      </c>
    </row>
    <row r="72" spans="1:22">
      <c r="A72" s="3">
        <v>69</v>
      </c>
      <c r="B72" s="7" t="str">
        <f>'1课程考核方式及成绩组成'!D79</f>
        <v>190302036</v>
      </c>
      <c r="C72" s="8" t="str">
        <f>'1课程考核方式及成绩组成'!E79</f>
        <v>胡力</v>
      </c>
      <c r="D72" s="6">
        <f ca="1">OFFSET('4学生课程目标达成度'!J$5,(ROW(D72)-3)*7,)</f>
        <v>0.694444444444444</v>
      </c>
      <c r="E72" s="6">
        <f ca="1">OFFSET('4学生课程目标达成度'!J$6,(ROW(E72)-3)*7,)</f>
        <v>0.616666666666667</v>
      </c>
      <c r="F72" s="6">
        <f ca="1">OFFSET('4学生课程目标达成度'!J$7,(ROW(F72)-3)*7,)</f>
        <v>0.235294117647059</v>
      </c>
      <c r="G72" s="6">
        <f ca="1">OFFSET('4学生课程目标达成度'!J$8,(ROW(G72)-3)*7,)</f>
        <v>0.67</v>
      </c>
      <c r="H72" s="6">
        <f ca="1">OFFSET('4学生课程目标达成度'!J$9,(ROW(H72)-3)*7,)</f>
        <v>0</v>
      </c>
      <c r="I72" s="6">
        <f ca="1">OFFSET('4学生课程目标达成度'!J$10,(ROW(I72)-3)*7,)</f>
        <v>0</v>
      </c>
      <c r="J72" s="6">
        <f ca="1">OFFSET('4学生课程目标达成度'!J$11,(ROW(J72)-3)*7,)</f>
        <v>0</v>
      </c>
      <c r="K72" s="6">
        <f ca="1">OFFSET('4学生课程目标达成度'!K$5,(ROW(K72)-3)*7,)</f>
        <v>0.548990196078431</v>
      </c>
      <c r="L72" s="11"/>
      <c r="M72" s="6">
        <f ca="1" t="shared" si="48"/>
        <v>0.820478723404255</v>
      </c>
      <c r="N72" s="6">
        <f ca="1" t="shared" si="49"/>
        <v>0.779905437352246</v>
      </c>
      <c r="O72" s="6">
        <f ca="1" t="shared" si="50"/>
        <v>0.559866499791406</v>
      </c>
      <c r="P72" s="6">
        <f ca="1" t="shared" si="51"/>
        <v>0.788014184397162</v>
      </c>
      <c r="Q72" s="6">
        <f ca="1" t="shared" si="52"/>
        <v>0</v>
      </c>
      <c r="R72" s="6">
        <f ca="1" t="shared" si="53"/>
        <v>0</v>
      </c>
      <c r="S72" s="6">
        <f ca="1" t="shared" si="54"/>
        <v>0</v>
      </c>
      <c r="T72" s="6">
        <f ca="1" t="shared" si="55"/>
        <v>0.718587314003615</v>
      </c>
      <c r="U72" s="11"/>
      <c r="V72" s="11">
        <v>0.65</v>
      </c>
    </row>
    <row r="73" spans="1:22">
      <c r="A73" s="3">
        <v>70</v>
      </c>
      <c r="B73" s="7" t="str">
        <f>'1课程考核方式及成绩组成'!D80</f>
        <v>190706024</v>
      </c>
      <c r="C73" s="8" t="str">
        <f>'1课程考核方式及成绩组成'!E80</f>
        <v>余银涛</v>
      </c>
      <c r="D73" s="6">
        <f ca="1">OFFSET('4学生课程目标达成度'!J$5,(ROW(D73)-3)*7,)</f>
        <v>0.861111111111111</v>
      </c>
      <c r="E73" s="6">
        <f ca="1">OFFSET('4学生课程目标达成度'!J$6,(ROW(E73)-3)*7,)</f>
        <v>1</v>
      </c>
      <c r="F73" s="6">
        <f ca="1">OFFSET('4学生课程目标达成度'!J$7,(ROW(F73)-3)*7,)</f>
        <v>0.705882352941177</v>
      </c>
      <c r="G73" s="6">
        <f ca="1">OFFSET('4学生课程目标达成度'!J$8,(ROW(G73)-3)*7,)</f>
        <v>0.87</v>
      </c>
      <c r="H73" s="6">
        <f ca="1">OFFSET('4学生课程目标达成度'!J$9,(ROW(H73)-3)*7,)</f>
        <v>0</v>
      </c>
      <c r="I73" s="6">
        <f ca="1">OFFSET('4学生课程目标达成度'!J$10,(ROW(I73)-3)*7,)</f>
        <v>0</v>
      </c>
      <c r="J73" s="6">
        <f ca="1">OFFSET('4学生课程目标达成度'!J$11,(ROW(J73)-3)*7,)</f>
        <v>0</v>
      </c>
      <c r="K73" s="6">
        <f ca="1">OFFSET('4学生课程目标达成度'!K$5,(ROW(K73)-3)*7,)</f>
        <v>0.866637254901961</v>
      </c>
      <c r="L73" s="11"/>
      <c r="M73" s="6">
        <f ca="1" t="shared" ref="M73:M82" si="56">$D$2</f>
        <v>0.820478723404255</v>
      </c>
      <c r="N73" s="6">
        <f ca="1" t="shared" ref="N73:N82" si="57">$E$2</f>
        <v>0.779905437352246</v>
      </c>
      <c r="O73" s="6">
        <f ca="1" t="shared" ref="O73:O82" si="58">$F$2</f>
        <v>0.559866499791406</v>
      </c>
      <c r="P73" s="6">
        <f ca="1" t="shared" ref="P73:P82" si="59">$G$2</f>
        <v>0.788014184397162</v>
      </c>
      <c r="Q73" s="6">
        <f ca="1" t="shared" ref="Q73:Q82" si="60">$H$2</f>
        <v>0</v>
      </c>
      <c r="R73" s="6">
        <f ca="1" t="shared" ref="R73:R82" si="61">$I$2</f>
        <v>0</v>
      </c>
      <c r="S73" s="6">
        <f ca="1" t="shared" ref="S73:S82" si="62">$J$2</f>
        <v>0</v>
      </c>
      <c r="T73" s="6">
        <f ca="1" t="shared" ref="T73:T82" si="63">$K$2</f>
        <v>0.718587314003615</v>
      </c>
      <c r="U73" s="11"/>
      <c r="V73" s="11">
        <v>0.65</v>
      </c>
    </row>
    <row r="74" spans="1:22">
      <c r="A74" s="3">
        <v>71</v>
      </c>
      <c r="B74" s="7" t="str">
        <f>'1课程考核方式及成绩组成'!D81</f>
        <v>190706029</v>
      </c>
      <c r="C74" s="8" t="str">
        <f>'1课程考核方式及成绩组成'!E81</f>
        <v>谢玉婷</v>
      </c>
      <c r="D74" s="6">
        <f ca="1">OFFSET('4学生课程目标达成度'!J$5,(ROW(D74)-3)*7,)</f>
        <v>0.847222222222222</v>
      </c>
      <c r="E74" s="6">
        <f ca="1">OFFSET('4学生课程目标达成度'!J$6,(ROW(E74)-3)*7,)</f>
        <v>0.866666666666667</v>
      </c>
      <c r="F74" s="6">
        <f ca="1">OFFSET('4学生课程目标达成度'!J$7,(ROW(F74)-3)*7,)</f>
        <v>0.529411764705882</v>
      </c>
      <c r="G74" s="6">
        <f ca="1">OFFSET('4学生课程目标达成度'!J$8,(ROW(G74)-3)*7,)</f>
        <v>0.82</v>
      </c>
      <c r="H74" s="6">
        <f ca="1">OFFSET('4学生课程目标达成度'!J$9,(ROW(H74)-3)*7,)</f>
        <v>0</v>
      </c>
      <c r="I74" s="6">
        <f ca="1">OFFSET('4学生课程目标达成度'!J$10,(ROW(I74)-3)*7,)</f>
        <v>0</v>
      </c>
      <c r="J74" s="6">
        <f ca="1">OFFSET('4学生课程目标达成度'!J$11,(ROW(J74)-3)*7,)</f>
        <v>0</v>
      </c>
      <c r="K74" s="6">
        <f ca="1">OFFSET('4学生课程目标达成度'!K$5,(ROW(K74)-3)*7,)</f>
        <v>0.765436274509804</v>
      </c>
      <c r="L74" s="11"/>
      <c r="M74" s="6">
        <f ca="1" t="shared" si="56"/>
        <v>0.820478723404255</v>
      </c>
      <c r="N74" s="6">
        <f ca="1" t="shared" si="57"/>
        <v>0.779905437352246</v>
      </c>
      <c r="O74" s="6">
        <f ca="1" t="shared" si="58"/>
        <v>0.559866499791406</v>
      </c>
      <c r="P74" s="6">
        <f ca="1" t="shared" si="59"/>
        <v>0.788014184397162</v>
      </c>
      <c r="Q74" s="6">
        <f ca="1" t="shared" si="60"/>
        <v>0</v>
      </c>
      <c r="R74" s="6">
        <f ca="1" t="shared" si="61"/>
        <v>0</v>
      </c>
      <c r="S74" s="6">
        <f ca="1" t="shared" si="62"/>
        <v>0</v>
      </c>
      <c r="T74" s="6">
        <f ca="1" t="shared" si="63"/>
        <v>0.718587314003615</v>
      </c>
      <c r="U74" s="11"/>
      <c r="V74" s="11">
        <v>0.65</v>
      </c>
    </row>
    <row r="75" spans="1:22">
      <c r="A75" s="3">
        <v>72</v>
      </c>
      <c r="B75" s="7" t="str">
        <f>'1课程考核方式及成绩组成'!D82</f>
        <v>190706030</v>
      </c>
      <c r="C75" s="8" t="str">
        <f>'1课程考核方式及成绩组成'!E82</f>
        <v>魏雨婷</v>
      </c>
      <c r="D75" s="6">
        <f ca="1">OFFSET('4学生课程目标达成度'!J$5,(ROW(D75)-3)*7,)</f>
        <v>0.861111111111111</v>
      </c>
      <c r="E75" s="6">
        <f ca="1">OFFSET('4学生课程目标达成度'!J$6,(ROW(E75)-3)*7,)</f>
        <v>0.8</v>
      </c>
      <c r="F75" s="6">
        <f ca="1">OFFSET('4学生课程目标达成度'!J$7,(ROW(F75)-3)*7,)</f>
        <v>0.411764705882353</v>
      </c>
      <c r="G75" s="6">
        <f ca="1">OFFSET('4学生课程目标达成度'!J$8,(ROW(G75)-3)*7,)</f>
        <v>0.87</v>
      </c>
      <c r="H75" s="6">
        <f ca="1">OFFSET('4学生课程目标达成度'!J$9,(ROW(H75)-3)*7,)</f>
        <v>0</v>
      </c>
      <c r="I75" s="6">
        <f ca="1">OFFSET('4学生课程目标达成度'!J$10,(ROW(I75)-3)*7,)</f>
        <v>0</v>
      </c>
      <c r="J75" s="6">
        <f ca="1">OFFSET('4学生课程目标达成度'!J$11,(ROW(J75)-3)*7,)</f>
        <v>0</v>
      </c>
      <c r="K75" s="6">
        <f ca="1">OFFSET('4学生课程目标达成度'!K$5,(ROW(K75)-3)*7,)</f>
        <v>0.733107843137255</v>
      </c>
      <c r="L75" s="11"/>
      <c r="M75" s="6">
        <f ca="1" t="shared" si="56"/>
        <v>0.820478723404255</v>
      </c>
      <c r="N75" s="6">
        <f ca="1" t="shared" si="57"/>
        <v>0.779905437352246</v>
      </c>
      <c r="O75" s="6">
        <f ca="1" t="shared" si="58"/>
        <v>0.559866499791406</v>
      </c>
      <c r="P75" s="6">
        <f ca="1" t="shared" si="59"/>
        <v>0.788014184397162</v>
      </c>
      <c r="Q75" s="6">
        <f ca="1" t="shared" si="60"/>
        <v>0</v>
      </c>
      <c r="R75" s="6">
        <f ca="1" t="shared" si="61"/>
        <v>0</v>
      </c>
      <c r="S75" s="6">
        <f ca="1" t="shared" si="62"/>
        <v>0</v>
      </c>
      <c r="T75" s="6">
        <f ca="1" t="shared" si="63"/>
        <v>0.718587314003615</v>
      </c>
      <c r="U75" s="11"/>
      <c r="V75" s="11">
        <v>0.65</v>
      </c>
    </row>
    <row r="76" spans="1:22">
      <c r="A76" s="3">
        <v>73</v>
      </c>
      <c r="B76" s="7" t="str">
        <f>'1课程考核方式及成绩组成'!D83</f>
        <v>210110106</v>
      </c>
      <c r="C76" s="8" t="str">
        <f>'1课程考核方式及成绩组成'!E83</f>
        <v>田磊</v>
      </c>
      <c r="D76" s="6">
        <f ca="1">OFFSET('4学生课程目标达成度'!J$5,(ROW(D76)-3)*7,)</f>
        <v>0.730555555555556</v>
      </c>
      <c r="E76" s="6">
        <f ca="1">OFFSET('4学生课程目标达成度'!J$6,(ROW(E76)-3)*7,)</f>
        <v>0.708333333333333</v>
      </c>
      <c r="F76" s="6">
        <f ca="1">OFFSET('4学生课程目标达成度'!J$7,(ROW(F76)-3)*7,)</f>
        <v>0.588235294117647</v>
      </c>
      <c r="G76" s="6">
        <f ca="1">OFFSET('4学生课程目标达成度'!J$8,(ROW(G76)-3)*7,)</f>
        <v>0.79</v>
      </c>
      <c r="H76" s="6">
        <f ca="1">OFFSET('4学生课程目标达成度'!J$9,(ROW(H76)-3)*7,)</f>
        <v>0</v>
      </c>
      <c r="I76" s="6">
        <f ca="1">OFFSET('4学生课程目标达成度'!J$10,(ROW(I76)-3)*7,)</f>
        <v>0</v>
      </c>
      <c r="J76" s="6">
        <f ca="1">OFFSET('4学生课程目标达成度'!J$11,(ROW(J76)-3)*7,)</f>
        <v>0</v>
      </c>
      <c r="K76" s="6">
        <f ca="1">OFFSET('4学生课程目标达成度'!K$5,(ROW(K76)-3)*7,)</f>
        <v>0.706142156862745</v>
      </c>
      <c r="L76" s="11"/>
      <c r="M76" s="6">
        <f ca="1" t="shared" si="56"/>
        <v>0.820478723404255</v>
      </c>
      <c r="N76" s="6">
        <f ca="1" t="shared" si="57"/>
        <v>0.779905437352246</v>
      </c>
      <c r="O76" s="6">
        <f ca="1" t="shared" si="58"/>
        <v>0.559866499791406</v>
      </c>
      <c r="P76" s="6">
        <f ca="1" t="shared" si="59"/>
        <v>0.788014184397162</v>
      </c>
      <c r="Q76" s="6">
        <f ca="1" t="shared" si="60"/>
        <v>0</v>
      </c>
      <c r="R76" s="6">
        <f ca="1" t="shared" si="61"/>
        <v>0</v>
      </c>
      <c r="S76" s="6">
        <f ca="1" t="shared" si="62"/>
        <v>0</v>
      </c>
      <c r="T76" s="6">
        <f ca="1" t="shared" si="63"/>
        <v>0.718587314003615</v>
      </c>
      <c r="U76" s="11"/>
      <c r="V76" s="11">
        <v>0.65</v>
      </c>
    </row>
    <row r="77" spans="1:22">
      <c r="A77" s="3">
        <v>74</v>
      </c>
      <c r="B77" s="7" t="str">
        <f>'1课程考核方式及成绩组成'!D84</f>
        <v>210402111</v>
      </c>
      <c r="C77" s="9" t="str">
        <f>'1课程考核方式及成绩组成'!E84</f>
        <v>汪博伦</v>
      </c>
      <c r="D77" s="6">
        <f ca="1">OFFSET('4学生课程目标达成度'!J$5,(ROW(D77)-3)*7,)</f>
        <v>0.705555555555556</v>
      </c>
      <c r="E77" s="6">
        <f ca="1">OFFSET('4学生课程目标达成度'!J$6,(ROW(E77)-3)*7,)</f>
        <v>0.6</v>
      </c>
      <c r="F77" s="6">
        <f ca="1">OFFSET('4学生课程目标达成度'!J$7,(ROW(F77)-3)*7,)</f>
        <v>0.441176470588235</v>
      </c>
      <c r="G77" s="6">
        <f ca="1">OFFSET('4学生课程目标达成度'!J$8,(ROW(G77)-3)*7,)</f>
        <v>0.82</v>
      </c>
      <c r="H77" s="6">
        <f ca="1">OFFSET('4学生课程目标达成度'!J$9,(ROW(H77)-3)*7,)</f>
        <v>0</v>
      </c>
      <c r="I77" s="6">
        <f ca="1">OFFSET('4学生课程目标达成度'!J$10,(ROW(I77)-3)*7,)</f>
        <v>0</v>
      </c>
      <c r="J77" s="6">
        <f ca="1">OFFSET('4学生课程目标达成度'!J$11,(ROW(J77)-3)*7,)</f>
        <v>0</v>
      </c>
      <c r="K77" s="6">
        <f ca="1">OFFSET('4学生课程目标达成度'!K$5,(ROW(K77)-3)*7,)</f>
        <v>0.642127450980392</v>
      </c>
      <c r="L77" s="11"/>
      <c r="M77" s="6">
        <f ca="1" t="shared" si="56"/>
        <v>0.820478723404255</v>
      </c>
      <c r="N77" s="6">
        <f ca="1" t="shared" si="57"/>
        <v>0.779905437352246</v>
      </c>
      <c r="O77" s="6">
        <f ca="1" t="shared" si="58"/>
        <v>0.559866499791406</v>
      </c>
      <c r="P77" s="6">
        <f ca="1" t="shared" si="59"/>
        <v>0.788014184397162</v>
      </c>
      <c r="Q77" s="6">
        <f ca="1" t="shared" si="60"/>
        <v>0</v>
      </c>
      <c r="R77" s="6">
        <f ca="1" t="shared" si="61"/>
        <v>0</v>
      </c>
      <c r="S77" s="6">
        <f ca="1" t="shared" si="62"/>
        <v>0</v>
      </c>
      <c r="T77" s="6">
        <f ca="1" t="shared" si="63"/>
        <v>0.718587314003615</v>
      </c>
      <c r="U77" s="11"/>
      <c r="V77" s="11">
        <v>0.65</v>
      </c>
    </row>
    <row r="78" spans="1:22">
      <c r="A78" s="3">
        <v>75</v>
      </c>
      <c r="B78" s="7" t="str">
        <f>'1课程考核方式及成绩组成'!D85</f>
        <v>210402112</v>
      </c>
      <c r="C78" s="8" t="str">
        <f>'1课程考核方式及成绩组成'!E85</f>
        <v>李乐斌</v>
      </c>
      <c r="D78" s="6">
        <f ca="1">OFFSET('4学生课程目标达成度'!J$5,(ROW(D78)-3)*7,)</f>
        <v>0.758333333333333</v>
      </c>
      <c r="E78" s="6">
        <f ca="1">OFFSET('4学生课程目标达成度'!J$6,(ROW(E78)-3)*7,)</f>
        <v>0.708333333333333</v>
      </c>
      <c r="F78" s="6">
        <f ca="1">OFFSET('4学生课程目标达成度'!J$7,(ROW(F78)-3)*7,)</f>
        <v>0.588235294117647</v>
      </c>
      <c r="G78" s="6">
        <f ca="1">OFFSET('4学生课程目标达成度'!J$8,(ROW(G78)-3)*7,)</f>
        <v>0.74</v>
      </c>
      <c r="H78" s="6">
        <f ca="1">OFFSET('4学生课程目标达成度'!J$9,(ROW(H78)-3)*7,)</f>
        <v>0</v>
      </c>
      <c r="I78" s="6">
        <f ca="1">OFFSET('4学生课程目标达成度'!J$10,(ROW(I78)-3)*7,)</f>
        <v>0</v>
      </c>
      <c r="J78" s="6">
        <f ca="1">OFFSET('4学生课程目标达成度'!J$11,(ROW(J78)-3)*7,)</f>
        <v>0</v>
      </c>
      <c r="K78" s="6">
        <f ca="1">OFFSET('4学生课程目标达成度'!K$5,(ROW(K78)-3)*7,)</f>
        <v>0.695308823529412</v>
      </c>
      <c r="L78" s="11"/>
      <c r="M78" s="6">
        <f ca="1" t="shared" si="56"/>
        <v>0.820478723404255</v>
      </c>
      <c r="N78" s="6">
        <f ca="1" t="shared" si="57"/>
        <v>0.779905437352246</v>
      </c>
      <c r="O78" s="6">
        <f ca="1" t="shared" si="58"/>
        <v>0.559866499791406</v>
      </c>
      <c r="P78" s="6">
        <f ca="1" t="shared" si="59"/>
        <v>0.788014184397162</v>
      </c>
      <c r="Q78" s="6">
        <f ca="1" t="shared" si="60"/>
        <v>0</v>
      </c>
      <c r="R78" s="6">
        <f ca="1" t="shared" si="61"/>
        <v>0</v>
      </c>
      <c r="S78" s="6">
        <f ca="1" t="shared" si="62"/>
        <v>0</v>
      </c>
      <c r="T78" s="6">
        <f ca="1" t="shared" si="63"/>
        <v>0.718587314003615</v>
      </c>
      <c r="U78" s="11"/>
      <c r="V78" s="11">
        <v>0.65</v>
      </c>
    </row>
    <row r="79" spans="1:22">
      <c r="A79" s="3">
        <v>76</v>
      </c>
      <c r="B79" s="7" t="str">
        <f>'1课程考核方式及成绩组成'!D86</f>
        <v>210504123</v>
      </c>
      <c r="C79" s="8" t="str">
        <f>'1课程考核方式及成绩组成'!E86</f>
        <v>陈小愉</v>
      </c>
      <c r="D79" s="6">
        <f ca="1">OFFSET('4学生课程目标达成度'!J$5,(ROW(D79)-3)*7,)</f>
        <v>0.608333333333333</v>
      </c>
      <c r="E79" s="6">
        <f ca="1">OFFSET('4学生课程目标达成度'!J$6,(ROW(E79)-3)*7,)</f>
        <v>0.616666666666667</v>
      </c>
      <c r="F79" s="6">
        <f ca="1">OFFSET('4学生课程目标达成度'!J$7,(ROW(F79)-3)*7,)</f>
        <v>0.323529411764706</v>
      </c>
      <c r="G79" s="6">
        <f ca="1">OFFSET('4学生课程目标达成度'!J$8,(ROW(G79)-3)*7,)</f>
        <v>0.72</v>
      </c>
      <c r="H79" s="6">
        <f ca="1">OFFSET('4学生课程目标达成度'!J$9,(ROW(H79)-3)*7,)</f>
        <v>0</v>
      </c>
      <c r="I79" s="6">
        <f ca="1">OFFSET('4学生课程目标达成度'!J$10,(ROW(I79)-3)*7,)</f>
        <v>0</v>
      </c>
      <c r="J79" s="6">
        <f ca="1">OFFSET('4学生课程目标达成度'!J$11,(ROW(J79)-3)*7,)</f>
        <v>0</v>
      </c>
      <c r="K79" s="6">
        <f ca="1">OFFSET('4学生课程目标达成度'!K$5,(ROW(K79)-3)*7,)</f>
        <v>0.573132352941176</v>
      </c>
      <c r="L79" s="11"/>
      <c r="M79" s="6">
        <f ca="1" t="shared" si="56"/>
        <v>0.820478723404255</v>
      </c>
      <c r="N79" s="6">
        <f ca="1" t="shared" si="57"/>
        <v>0.779905437352246</v>
      </c>
      <c r="O79" s="6">
        <f ca="1" t="shared" si="58"/>
        <v>0.559866499791406</v>
      </c>
      <c r="P79" s="6">
        <f ca="1" t="shared" si="59"/>
        <v>0.788014184397162</v>
      </c>
      <c r="Q79" s="6">
        <f ca="1" t="shared" si="60"/>
        <v>0</v>
      </c>
      <c r="R79" s="6">
        <f ca="1" t="shared" si="61"/>
        <v>0</v>
      </c>
      <c r="S79" s="6">
        <f ca="1" t="shared" si="62"/>
        <v>0</v>
      </c>
      <c r="T79" s="6">
        <f ca="1" t="shared" si="63"/>
        <v>0.718587314003615</v>
      </c>
      <c r="U79" s="11"/>
      <c r="V79" s="11">
        <v>0.65</v>
      </c>
    </row>
    <row r="80" spans="1:22">
      <c r="A80" s="3">
        <v>77</v>
      </c>
      <c r="B80" s="7" t="str">
        <f>'1课程考核方式及成绩组成'!D87</f>
        <v>220106101</v>
      </c>
      <c r="C80" s="8" t="str">
        <f>'1课程考核方式及成绩组成'!E87</f>
        <v>伍海涵</v>
      </c>
      <c r="D80" s="6">
        <f ca="1">OFFSET('4学生课程目标达成度'!J$5,(ROW(D80)-3)*7,)</f>
        <v>0.580555555555556</v>
      </c>
      <c r="E80" s="6">
        <f ca="1">OFFSET('4学生课程目标达成度'!J$6,(ROW(E80)-3)*7,)</f>
        <v>0.716666666666667</v>
      </c>
      <c r="F80" s="6">
        <f ca="1">OFFSET('4学生课程目标达成度'!J$7,(ROW(F80)-3)*7,)</f>
        <v>0.411764705882353</v>
      </c>
      <c r="G80" s="6">
        <f ca="1">OFFSET('4学生课程目标达成度'!J$8,(ROW(G80)-3)*7,)</f>
        <v>0.79</v>
      </c>
      <c r="H80" s="6">
        <f ca="1">OFFSET('4学生课程目标达成度'!J$9,(ROW(H80)-3)*7,)</f>
        <v>0</v>
      </c>
      <c r="I80" s="6">
        <f ca="1">OFFSET('4学生课程目标达成度'!J$10,(ROW(I80)-3)*7,)</f>
        <v>0</v>
      </c>
      <c r="J80" s="6">
        <f ca="1">OFFSET('4学生课程目标达成度'!J$11,(ROW(J80)-3)*7,)</f>
        <v>0</v>
      </c>
      <c r="K80" s="6">
        <f ca="1">OFFSET('4学生课程目标达成度'!K$5,(ROW(K80)-3)*7,)</f>
        <v>0.642024509803922</v>
      </c>
      <c r="L80" s="11"/>
      <c r="M80" s="6">
        <f ca="1" t="shared" si="56"/>
        <v>0.820478723404255</v>
      </c>
      <c r="N80" s="6">
        <f ca="1" t="shared" si="57"/>
        <v>0.779905437352246</v>
      </c>
      <c r="O80" s="6">
        <f ca="1" t="shared" si="58"/>
        <v>0.559866499791406</v>
      </c>
      <c r="P80" s="6">
        <f ca="1" t="shared" si="59"/>
        <v>0.788014184397162</v>
      </c>
      <c r="Q80" s="6">
        <f ca="1" t="shared" si="60"/>
        <v>0</v>
      </c>
      <c r="R80" s="6">
        <f ca="1" t="shared" si="61"/>
        <v>0</v>
      </c>
      <c r="S80" s="6">
        <f ca="1" t="shared" si="62"/>
        <v>0</v>
      </c>
      <c r="T80" s="6">
        <f ca="1" t="shared" si="63"/>
        <v>0.718587314003615</v>
      </c>
      <c r="U80" s="11"/>
      <c r="V80" s="11">
        <v>0.65</v>
      </c>
    </row>
    <row r="81" spans="1:22">
      <c r="A81" s="3">
        <v>78</v>
      </c>
      <c r="B81" s="7" t="str">
        <f>'1课程考核方式及成绩组成'!D88</f>
        <v>220106102</v>
      </c>
      <c r="C81" s="8" t="str">
        <f>'1课程考核方式及成绩组成'!E88</f>
        <v>周雍丁</v>
      </c>
      <c r="D81" s="6">
        <f ca="1">OFFSET('4学生课程目标达成度'!J$5,(ROW(D81)-3)*7,)</f>
        <v>0.841666666666667</v>
      </c>
      <c r="E81" s="6">
        <f ca="1">OFFSET('4学生课程目标达成度'!J$6,(ROW(E81)-3)*7,)</f>
        <v>0.816666666666667</v>
      </c>
      <c r="F81" s="6">
        <f ca="1">OFFSET('4学生课程目标达成度'!J$7,(ROW(F81)-3)*7,)</f>
        <v>0.676470588235294</v>
      </c>
      <c r="G81" s="6">
        <f ca="1">OFFSET('4学生课程目标达成度'!J$8,(ROW(G81)-3)*7,)</f>
        <v>0.82</v>
      </c>
      <c r="H81" s="6">
        <f ca="1">OFFSET('4学生课程目标达成度'!J$9,(ROW(H81)-3)*7,)</f>
        <v>0</v>
      </c>
      <c r="I81" s="6">
        <f ca="1">OFFSET('4学生课程目标达成度'!J$10,(ROW(I81)-3)*7,)</f>
        <v>0</v>
      </c>
      <c r="J81" s="6">
        <f ca="1">OFFSET('4学生课程目标达成度'!J$11,(ROW(J81)-3)*7,)</f>
        <v>0</v>
      </c>
      <c r="K81" s="6">
        <f ca="1">OFFSET('4学生课程目标达成度'!K$5,(ROW(K81)-3)*7,)</f>
        <v>0.786367647058823</v>
      </c>
      <c r="L81" s="11"/>
      <c r="M81" s="6">
        <f ca="1" t="shared" si="56"/>
        <v>0.820478723404255</v>
      </c>
      <c r="N81" s="6">
        <f ca="1" t="shared" si="57"/>
        <v>0.779905437352246</v>
      </c>
      <c r="O81" s="6">
        <f ca="1" t="shared" si="58"/>
        <v>0.559866499791406</v>
      </c>
      <c r="P81" s="6">
        <f ca="1" t="shared" si="59"/>
        <v>0.788014184397162</v>
      </c>
      <c r="Q81" s="6">
        <f ca="1" t="shared" si="60"/>
        <v>0</v>
      </c>
      <c r="R81" s="6">
        <f ca="1" t="shared" si="61"/>
        <v>0</v>
      </c>
      <c r="S81" s="6">
        <f ca="1" t="shared" si="62"/>
        <v>0</v>
      </c>
      <c r="T81" s="6">
        <f ca="1" t="shared" si="63"/>
        <v>0.718587314003615</v>
      </c>
      <c r="U81" s="11"/>
      <c r="V81" s="11">
        <v>0.65</v>
      </c>
    </row>
    <row r="82" spans="1:22">
      <c r="A82" s="3">
        <v>79</v>
      </c>
      <c r="B82" s="7" t="str">
        <f>'1课程考核方式及成绩组成'!D89</f>
        <v>220106103</v>
      </c>
      <c r="C82" s="8" t="str">
        <f>'1课程考核方式及成绩组成'!E89</f>
        <v>李玲</v>
      </c>
      <c r="D82" s="6">
        <f ca="1">OFFSET('4学生课程目标达成度'!J$5,(ROW(D82)-3)*7,)</f>
        <v>0.788888888888889</v>
      </c>
      <c r="E82" s="6">
        <f ca="1">OFFSET('4学生课程目标达成度'!J$6,(ROW(E82)-3)*7,)</f>
        <v>0.683333333333333</v>
      </c>
      <c r="F82" s="6">
        <f ca="1">OFFSET('4学生课程目标达成度'!J$7,(ROW(F82)-3)*7,)</f>
        <v>0.588235294117647</v>
      </c>
      <c r="G82" s="6">
        <f ca="1">OFFSET('4学生课程目标达成度'!J$8,(ROW(G82)-3)*7,)</f>
        <v>0.73</v>
      </c>
      <c r="H82" s="6">
        <f ca="1">OFFSET('4学生课程目标达成度'!J$9,(ROW(H82)-3)*7,)</f>
        <v>0</v>
      </c>
      <c r="I82" s="6">
        <f ca="1">OFFSET('4学生课程目标达成度'!J$10,(ROW(I82)-3)*7,)</f>
        <v>0</v>
      </c>
      <c r="J82" s="6">
        <f ca="1">OFFSET('4学生课程目标达成度'!J$11,(ROW(J82)-3)*7,)</f>
        <v>0</v>
      </c>
      <c r="K82" s="6">
        <f ca="1">OFFSET('4学生课程目标达成度'!K$5,(ROW(K82)-3)*7,)</f>
        <v>0.689392156862745</v>
      </c>
      <c r="L82" s="11"/>
      <c r="M82" s="6">
        <f ca="1" t="shared" si="56"/>
        <v>0.820478723404255</v>
      </c>
      <c r="N82" s="6">
        <f ca="1" t="shared" si="57"/>
        <v>0.779905437352246</v>
      </c>
      <c r="O82" s="6">
        <f ca="1" t="shared" si="58"/>
        <v>0.559866499791406</v>
      </c>
      <c r="P82" s="6">
        <f ca="1" t="shared" si="59"/>
        <v>0.788014184397162</v>
      </c>
      <c r="Q82" s="6">
        <f ca="1" t="shared" si="60"/>
        <v>0</v>
      </c>
      <c r="R82" s="6">
        <f ca="1" t="shared" si="61"/>
        <v>0</v>
      </c>
      <c r="S82" s="6">
        <f ca="1" t="shared" si="62"/>
        <v>0</v>
      </c>
      <c r="T82" s="6">
        <f ca="1" t="shared" si="63"/>
        <v>0.718587314003615</v>
      </c>
      <c r="U82" s="11"/>
      <c r="V82" s="11">
        <v>0.65</v>
      </c>
    </row>
    <row r="83" spans="1:22">
      <c r="A83" s="3">
        <v>80</v>
      </c>
      <c r="B83" s="7" t="str">
        <f>'1课程考核方式及成绩组成'!D90</f>
        <v>220106104</v>
      </c>
      <c r="C83" s="8" t="str">
        <f>'1课程考核方式及成绩组成'!E90</f>
        <v>刘川</v>
      </c>
      <c r="D83" s="6">
        <f ca="1">OFFSET('4学生课程目标达成度'!J$5,(ROW(D83)-3)*7,)</f>
        <v>0.813888888888889</v>
      </c>
      <c r="E83" s="6">
        <f ca="1">OFFSET('4学生课程目标达成度'!J$6,(ROW(E83)-3)*7,)</f>
        <v>0.808333333333333</v>
      </c>
      <c r="F83" s="6">
        <f ca="1">OFFSET('4学生课程目标达成度'!J$7,(ROW(F83)-3)*7,)</f>
        <v>0.735294117647059</v>
      </c>
      <c r="G83" s="6">
        <f ca="1">OFFSET('4学生课程目标达成度'!J$8,(ROW(G83)-3)*7,)</f>
        <v>0.85</v>
      </c>
      <c r="H83" s="6">
        <f ca="1">OFFSET('4学生课程目标达成度'!J$9,(ROW(H83)-3)*7,)</f>
        <v>0</v>
      </c>
      <c r="I83" s="6">
        <f ca="1">OFFSET('4学生课程目标达成度'!J$10,(ROW(I83)-3)*7,)</f>
        <v>0</v>
      </c>
      <c r="J83" s="6">
        <f ca="1">OFFSET('4学生课程目标达成度'!J$11,(ROW(J83)-3)*7,)</f>
        <v>0</v>
      </c>
      <c r="K83" s="6">
        <f ca="1">OFFSET('4学生课程目标达成度'!K$5,(ROW(K83)-3)*7,)</f>
        <v>0.803406862745098</v>
      </c>
      <c r="L83" s="11"/>
      <c r="M83" s="6">
        <f ca="1" t="shared" ref="M83:M92" si="64">$D$2</f>
        <v>0.820478723404255</v>
      </c>
      <c r="N83" s="6">
        <f ca="1" t="shared" ref="N83:N92" si="65">$E$2</f>
        <v>0.779905437352246</v>
      </c>
      <c r="O83" s="6">
        <f ca="1" t="shared" ref="O83:O92" si="66">$F$2</f>
        <v>0.559866499791406</v>
      </c>
      <c r="P83" s="6">
        <f ca="1" t="shared" ref="P83:P92" si="67">$G$2</f>
        <v>0.788014184397162</v>
      </c>
      <c r="Q83" s="6">
        <f ca="1" t="shared" ref="Q83:Q92" si="68">$H$2</f>
        <v>0</v>
      </c>
      <c r="R83" s="6">
        <f ca="1" t="shared" ref="R83:R92" si="69">$I$2</f>
        <v>0</v>
      </c>
      <c r="S83" s="6">
        <f ca="1" t="shared" ref="S83:S92" si="70">$J$2</f>
        <v>0</v>
      </c>
      <c r="T83" s="6">
        <f ca="1" t="shared" ref="T83:T92" si="71">$K$2</f>
        <v>0.718587314003615</v>
      </c>
      <c r="U83" s="11"/>
      <c r="V83" s="11">
        <v>0.65</v>
      </c>
    </row>
    <row r="84" spans="1:22">
      <c r="A84" s="3">
        <v>81</v>
      </c>
      <c r="B84" s="7" t="str">
        <f>'1课程考核方式及成绩组成'!D91</f>
        <v>220106105</v>
      </c>
      <c r="C84" s="8" t="str">
        <f>'1课程考核方式及成绩组成'!E91</f>
        <v>王瑶</v>
      </c>
      <c r="D84" s="6">
        <f ca="1">OFFSET('4学生课程目标达成度'!J$5,(ROW(D84)-3)*7,)</f>
        <v>0.772222222222222</v>
      </c>
      <c r="E84" s="6">
        <f ca="1">OFFSET('4学生课程目标达成度'!J$6,(ROW(E84)-3)*7,)</f>
        <v>0.625</v>
      </c>
      <c r="F84" s="6">
        <f ca="1">OFFSET('4学生课程目标达成度'!J$7,(ROW(F84)-3)*7,)</f>
        <v>0.352941176470588</v>
      </c>
      <c r="G84" s="6">
        <f ca="1">OFFSET('4学生课程目标达成度'!J$8,(ROW(G84)-3)*7,)</f>
        <v>0.75</v>
      </c>
      <c r="H84" s="6">
        <f ca="1">OFFSET('4学生课程目标达成度'!J$9,(ROW(H84)-3)*7,)</f>
        <v>0</v>
      </c>
      <c r="I84" s="6">
        <f ca="1">OFFSET('4学生课程目标达成度'!J$10,(ROW(I84)-3)*7,)</f>
        <v>0</v>
      </c>
      <c r="J84" s="6">
        <f ca="1">OFFSET('4学生课程目标达成度'!J$11,(ROW(J84)-3)*7,)</f>
        <v>0</v>
      </c>
      <c r="K84" s="6">
        <f ca="1">OFFSET('4学生课程目标达成度'!K$5,(ROW(K84)-3)*7,)</f>
        <v>0.61656862745098</v>
      </c>
      <c r="L84" s="11"/>
      <c r="M84" s="6">
        <f ca="1" t="shared" si="64"/>
        <v>0.820478723404255</v>
      </c>
      <c r="N84" s="6">
        <f ca="1" t="shared" si="65"/>
        <v>0.779905437352246</v>
      </c>
      <c r="O84" s="6">
        <f ca="1" t="shared" si="66"/>
        <v>0.559866499791406</v>
      </c>
      <c r="P84" s="6">
        <f ca="1" t="shared" si="67"/>
        <v>0.788014184397162</v>
      </c>
      <c r="Q84" s="6">
        <f ca="1" t="shared" si="68"/>
        <v>0</v>
      </c>
      <c r="R84" s="6">
        <f ca="1" t="shared" si="69"/>
        <v>0</v>
      </c>
      <c r="S84" s="6">
        <f ca="1" t="shared" si="70"/>
        <v>0</v>
      </c>
      <c r="T84" s="6">
        <f ca="1" t="shared" si="71"/>
        <v>0.718587314003615</v>
      </c>
      <c r="U84" s="11"/>
      <c r="V84" s="11">
        <v>0.65</v>
      </c>
    </row>
    <row r="85" spans="1:22">
      <c r="A85" s="3">
        <v>82</v>
      </c>
      <c r="B85" s="7" t="str">
        <f>'1课程考核方式及成绩组成'!D92</f>
        <v>220106106</v>
      </c>
      <c r="C85" s="8" t="str">
        <f>'1课程考核方式及成绩组成'!E92</f>
        <v>吴耀东</v>
      </c>
      <c r="D85" s="6">
        <f ca="1">OFFSET('4学生课程目标达成度'!J$5,(ROW(D85)-3)*7,)</f>
        <v>0.772222222222222</v>
      </c>
      <c r="E85" s="6">
        <f ca="1">OFFSET('4学生课程目标达成度'!J$6,(ROW(E85)-3)*7,)</f>
        <v>0.641666666666667</v>
      </c>
      <c r="F85" s="6">
        <f ca="1">OFFSET('4学生课程目标达成度'!J$7,(ROW(F85)-3)*7,)</f>
        <v>0.647058823529412</v>
      </c>
      <c r="G85" s="6">
        <f ca="1">OFFSET('4学生课程目标达成度'!J$8,(ROW(G85)-3)*7,)</f>
        <v>0.89</v>
      </c>
      <c r="H85" s="6">
        <f ca="1">OFFSET('4学生课程目标达成度'!J$9,(ROW(H85)-3)*7,)</f>
        <v>0</v>
      </c>
      <c r="I85" s="6">
        <f ca="1">OFFSET('4学生课程目标达成度'!J$10,(ROW(I85)-3)*7,)</f>
        <v>0</v>
      </c>
      <c r="J85" s="6">
        <f ca="1">OFFSET('4学生课程目标达成度'!J$11,(ROW(J85)-3)*7,)</f>
        <v>0</v>
      </c>
      <c r="K85" s="6">
        <f ca="1">OFFSET('4学生课程目标达成度'!K$5,(ROW(K85)-3)*7,)</f>
        <v>0.737098039215686</v>
      </c>
      <c r="L85" s="11"/>
      <c r="M85" s="6">
        <f ca="1" t="shared" si="64"/>
        <v>0.820478723404255</v>
      </c>
      <c r="N85" s="6">
        <f ca="1" t="shared" si="65"/>
        <v>0.779905437352246</v>
      </c>
      <c r="O85" s="6">
        <f ca="1" t="shared" si="66"/>
        <v>0.559866499791406</v>
      </c>
      <c r="P85" s="6">
        <f ca="1" t="shared" si="67"/>
        <v>0.788014184397162</v>
      </c>
      <c r="Q85" s="6">
        <f ca="1" t="shared" si="68"/>
        <v>0</v>
      </c>
      <c r="R85" s="6">
        <f ca="1" t="shared" si="69"/>
        <v>0</v>
      </c>
      <c r="S85" s="6">
        <f ca="1" t="shared" si="70"/>
        <v>0</v>
      </c>
      <c r="T85" s="6">
        <f ca="1" t="shared" si="71"/>
        <v>0.718587314003615</v>
      </c>
      <c r="U85" s="11"/>
      <c r="V85" s="11">
        <v>0.65</v>
      </c>
    </row>
    <row r="86" spans="1:22">
      <c r="A86" s="3">
        <v>83</v>
      </c>
      <c r="B86" s="7" t="str">
        <f>'1课程考核方式及成绩组成'!D93</f>
        <v>220106107</v>
      </c>
      <c r="C86" s="8" t="str">
        <f>'1课程考核方式及成绩组成'!E93</f>
        <v>段高飞</v>
      </c>
      <c r="D86" s="6">
        <f ca="1">OFFSET('4学生课程目标达成度'!J$5,(ROW(D86)-3)*7,)</f>
        <v>0.869444444444444</v>
      </c>
      <c r="E86" s="6">
        <f ca="1">OFFSET('4学生课程目标达成度'!J$6,(ROW(E86)-3)*7,)</f>
        <v>0.791666666666667</v>
      </c>
      <c r="F86" s="6">
        <f ca="1">OFFSET('4学生课程目标达成度'!J$7,(ROW(F86)-3)*7,)</f>
        <v>0.647058823529412</v>
      </c>
      <c r="G86" s="6">
        <f ca="1">OFFSET('4学生课程目标达成度'!J$8,(ROW(G86)-3)*7,)</f>
        <v>0.84</v>
      </c>
      <c r="H86" s="6">
        <f ca="1">OFFSET('4学生课程目标达成度'!J$9,(ROW(H86)-3)*7,)</f>
        <v>0</v>
      </c>
      <c r="I86" s="6">
        <f ca="1">OFFSET('4学生课程目标达成度'!J$10,(ROW(I86)-3)*7,)</f>
        <v>0</v>
      </c>
      <c r="J86" s="6">
        <f ca="1">OFFSET('4学生课程目标达成度'!J$11,(ROW(J86)-3)*7,)</f>
        <v>0</v>
      </c>
      <c r="K86" s="6">
        <f ca="1">OFFSET('4学生课程目标达成度'!K$5,(ROW(K86)-3)*7,)</f>
        <v>0.78168137254902</v>
      </c>
      <c r="L86" s="11"/>
      <c r="M86" s="6">
        <f ca="1" t="shared" si="64"/>
        <v>0.820478723404255</v>
      </c>
      <c r="N86" s="6">
        <f ca="1" t="shared" si="65"/>
        <v>0.779905437352246</v>
      </c>
      <c r="O86" s="6">
        <f ca="1" t="shared" si="66"/>
        <v>0.559866499791406</v>
      </c>
      <c r="P86" s="6">
        <f ca="1" t="shared" si="67"/>
        <v>0.788014184397162</v>
      </c>
      <c r="Q86" s="6">
        <f ca="1" t="shared" si="68"/>
        <v>0</v>
      </c>
      <c r="R86" s="6">
        <f ca="1" t="shared" si="69"/>
        <v>0</v>
      </c>
      <c r="S86" s="6">
        <f ca="1" t="shared" si="70"/>
        <v>0</v>
      </c>
      <c r="T86" s="6">
        <f ca="1" t="shared" si="71"/>
        <v>0.718587314003615</v>
      </c>
      <c r="U86" s="11"/>
      <c r="V86" s="11">
        <v>0.65</v>
      </c>
    </row>
    <row r="87" spans="1:22">
      <c r="A87" s="3">
        <v>84</v>
      </c>
      <c r="B87" s="7" t="str">
        <f>'1课程考核方式及成绩组成'!D94</f>
        <v>220106108</v>
      </c>
      <c r="C87" s="8" t="str">
        <f>'1课程考核方式及成绩组成'!E94</f>
        <v>马明月</v>
      </c>
      <c r="D87" s="6">
        <f ca="1">OFFSET('4学生课程目标达成度'!J$5,(ROW(D87)-3)*7,)</f>
        <v>0.733333333333333</v>
      </c>
      <c r="E87" s="6">
        <f ca="1">OFFSET('4学生课程目标达成度'!J$6,(ROW(E87)-3)*7,)</f>
        <v>0.75</v>
      </c>
      <c r="F87" s="6">
        <f ca="1">OFFSET('4学生课程目标达成度'!J$7,(ROW(F87)-3)*7,)</f>
        <v>0.411764705882353</v>
      </c>
      <c r="G87" s="6">
        <f ca="1">OFFSET('4学生课程目标达成度'!J$8,(ROW(G87)-3)*7,)</f>
        <v>0.82</v>
      </c>
      <c r="H87" s="6">
        <f ca="1">OFFSET('4学生课程目标达成度'!J$9,(ROW(H87)-3)*7,)</f>
        <v>0</v>
      </c>
      <c r="I87" s="6">
        <f ca="1">OFFSET('4学生课程目标达成度'!J$10,(ROW(I87)-3)*7,)</f>
        <v>0</v>
      </c>
      <c r="J87" s="6">
        <f ca="1">OFFSET('4学生课程目标达成度'!J$11,(ROW(J87)-3)*7,)</f>
        <v>0</v>
      </c>
      <c r="K87" s="6">
        <f ca="1">OFFSET('4学生课程目标达成度'!K$5,(ROW(K87)-3)*7,)</f>
        <v>0.683941176470588</v>
      </c>
      <c r="L87" s="11"/>
      <c r="M87" s="6">
        <f ca="1" t="shared" si="64"/>
        <v>0.820478723404255</v>
      </c>
      <c r="N87" s="6">
        <f ca="1" t="shared" si="65"/>
        <v>0.779905437352246</v>
      </c>
      <c r="O87" s="6">
        <f ca="1" t="shared" si="66"/>
        <v>0.559866499791406</v>
      </c>
      <c r="P87" s="6">
        <f ca="1" t="shared" si="67"/>
        <v>0.788014184397162</v>
      </c>
      <c r="Q87" s="6">
        <f ca="1" t="shared" si="68"/>
        <v>0</v>
      </c>
      <c r="R87" s="6">
        <f ca="1" t="shared" si="69"/>
        <v>0</v>
      </c>
      <c r="S87" s="6">
        <f ca="1" t="shared" si="70"/>
        <v>0</v>
      </c>
      <c r="T87" s="6">
        <f ca="1" t="shared" si="71"/>
        <v>0.718587314003615</v>
      </c>
      <c r="U87" s="11"/>
      <c r="V87" s="11">
        <v>0.65</v>
      </c>
    </row>
    <row r="88" spans="1:22">
      <c r="A88" s="3">
        <v>85</v>
      </c>
      <c r="B88" s="7" t="str">
        <f>'1课程考核方式及成绩组成'!D95</f>
        <v>220106109</v>
      </c>
      <c r="C88" s="8" t="str">
        <f>'1课程考核方式及成绩组成'!E95</f>
        <v>余乐</v>
      </c>
      <c r="D88" s="6">
        <f ca="1">OFFSET('4学生课程目标达成度'!J$5,(ROW(D88)-3)*7,)</f>
        <v>0.856944444444444</v>
      </c>
      <c r="E88" s="6">
        <f ca="1">OFFSET('4学生课程目标达成度'!J$6,(ROW(E88)-3)*7,)</f>
        <v>0.658333333333333</v>
      </c>
      <c r="F88" s="6">
        <f ca="1">OFFSET('4学生课程目标达成度'!J$7,(ROW(F88)-3)*7,)</f>
        <v>0.441176470588235</v>
      </c>
      <c r="G88" s="6">
        <f ca="1">OFFSET('4学生课程目标达成度'!J$8,(ROW(G88)-3)*7,)</f>
        <v>0.74</v>
      </c>
      <c r="H88" s="6">
        <f ca="1">OFFSET('4学生课程目标达成度'!J$9,(ROW(H88)-3)*7,)</f>
        <v>0</v>
      </c>
      <c r="I88" s="6">
        <f ca="1">OFFSET('4学生课程目标达成度'!J$10,(ROW(I88)-3)*7,)</f>
        <v>0</v>
      </c>
      <c r="J88" s="6">
        <f ca="1">OFFSET('4学生课程目标达成度'!J$11,(ROW(J88)-3)*7,)</f>
        <v>0</v>
      </c>
      <c r="K88" s="6">
        <f ca="1">OFFSET('4学生课程目标达成度'!K$5,(ROW(K88)-3)*7,)</f>
        <v>0.658335784313726</v>
      </c>
      <c r="L88" s="11"/>
      <c r="M88" s="6">
        <f ca="1" t="shared" si="64"/>
        <v>0.820478723404255</v>
      </c>
      <c r="N88" s="6">
        <f ca="1" t="shared" si="65"/>
        <v>0.779905437352246</v>
      </c>
      <c r="O88" s="6">
        <f ca="1" t="shared" si="66"/>
        <v>0.559866499791406</v>
      </c>
      <c r="P88" s="6">
        <f ca="1" t="shared" si="67"/>
        <v>0.788014184397162</v>
      </c>
      <c r="Q88" s="6">
        <f ca="1" t="shared" si="68"/>
        <v>0</v>
      </c>
      <c r="R88" s="6">
        <f ca="1" t="shared" si="69"/>
        <v>0</v>
      </c>
      <c r="S88" s="6">
        <f ca="1" t="shared" si="70"/>
        <v>0</v>
      </c>
      <c r="T88" s="6">
        <f ca="1" t="shared" si="71"/>
        <v>0.718587314003615</v>
      </c>
      <c r="U88" s="11"/>
      <c r="V88" s="11">
        <v>0.65</v>
      </c>
    </row>
    <row r="89" spans="1:22">
      <c r="A89" s="3">
        <v>86</v>
      </c>
      <c r="B89" s="7" t="str">
        <f>'1课程考核方式及成绩组成'!D96</f>
        <v>220106110</v>
      </c>
      <c r="C89" s="8" t="str">
        <f>'1课程考核方式及成绩组成'!E96</f>
        <v>任金凤</v>
      </c>
      <c r="D89" s="6">
        <f ca="1">OFFSET('4学生课程目标达成度'!J$5,(ROW(D89)-3)*7,)</f>
        <v>0.65</v>
      </c>
      <c r="E89" s="6">
        <f ca="1">OFFSET('4学生课程目标达成度'!J$6,(ROW(E89)-3)*7,)</f>
        <v>0.716666666666667</v>
      </c>
      <c r="F89" s="6">
        <f ca="1">OFFSET('4学生课程目标达成度'!J$7,(ROW(F89)-3)*7,)</f>
        <v>0.411764705882353</v>
      </c>
      <c r="G89" s="6">
        <f ca="1">OFFSET('4学生课程目标达成度'!J$8,(ROW(G89)-3)*7,)</f>
        <v>0.83</v>
      </c>
      <c r="H89" s="6">
        <f ca="1">OFFSET('4学生课程目标达成度'!J$9,(ROW(H89)-3)*7,)</f>
        <v>0</v>
      </c>
      <c r="I89" s="6">
        <f ca="1">OFFSET('4学生课程目标达成度'!J$10,(ROW(I89)-3)*7,)</f>
        <v>0</v>
      </c>
      <c r="J89" s="6">
        <f ca="1">OFFSET('4学生课程目标达成度'!J$11,(ROW(J89)-3)*7,)</f>
        <v>0</v>
      </c>
      <c r="K89" s="6">
        <f ca="1">OFFSET('4学生课程目标达成度'!K$5,(ROW(K89)-3)*7,)</f>
        <v>0.664441176470588</v>
      </c>
      <c r="L89" s="11"/>
      <c r="M89" s="6">
        <f ca="1" t="shared" si="64"/>
        <v>0.820478723404255</v>
      </c>
      <c r="N89" s="6">
        <f ca="1" t="shared" si="65"/>
        <v>0.779905437352246</v>
      </c>
      <c r="O89" s="6">
        <f ca="1" t="shared" si="66"/>
        <v>0.559866499791406</v>
      </c>
      <c r="P89" s="6">
        <f ca="1" t="shared" si="67"/>
        <v>0.788014184397162</v>
      </c>
      <c r="Q89" s="6">
        <f ca="1" t="shared" si="68"/>
        <v>0</v>
      </c>
      <c r="R89" s="6">
        <f ca="1" t="shared" si="69"/>
        <v>0</v>
      </c>
      <c r="S89" s="6">
        <f ca="1" t="shared" si="70"/>
        <v>0</v>
      </c>
      <c r="T89" s="6">
        <f ca="1" t="shared" si="71"/>
        <v>0.718587314003615</v>
      </c>
      <c r="U89" s="11"/>
      <c r="V89" s="11">
        <v>0.65</v>
      </c>
    </row>
    <row r="90" spans="1:22">
      <c r="A90" s="3">
        <v>87</v>
      </c>
      <c r="B90" s="7" t="str">
        <f>'1课程考核方式及成绩组成'!D97</f>
        <v>220106111</v>
      </c>
      <c r="C90" s="8" t="str">
        <f>'1课程考核方式及成绩组成'!E97</f>
        <v>陈俊明</v>
      </c>
      <c r="D90" s="6">
        <f ca="1">OFFSET('4学生课程目标达成度'!J$5,(ROW(D90)-3)*7,)</f>
        <v>0.772222222222222</v>
      </c>
      <c r="E90" s="6">
        <f ca="1">OFFSET('4学生课程目标达成度'!J$6,(ROW(E90)-3)*7,)</f>
        <v>0.825</v>
      </c>
      <c r="F90" s="6">
        <f ca="1">OFFSET('4学生课程目标达成度'!J$7,(ROW(F90)-3)*7,)</f>
        <v>0.676470588235294</v>
      </c>
      <c r="G90" s="6">
        <f ca="1">OFFSET('4学生课程目标达成度'!J$8,(ROW(G90)-3)*7,)</f>
        <v>0.82</v>
      </c>
      <c r="H90" s="6">
        <f ca="1">OFFSET('4学生课程目标达成度'!J$9,(ROW(H90)-3)*7,)</f>
        <v>0</v>
      </c>
      <c r="I90" s="6">
        <f ca="1">OFFSET('4学生课程目标达成度'!J$10,(ROW(I90)-3)*7,)</f>
        <v>0</v>
      </c>
      <c r="J90" s="6">
        <f ca="1">OFFSET('4学生课程目标达成度'!J$11,(ROW(J90)-3)*7,)</f>
        <v>0</v>
      </c>
      <c r="K90" s="6">
        <f ca="1">OFFSET('4学生课程目标达成度'!K$5,(ROW(K90)-3)*7,)</f>
        <v>0.778450980392157</v>
      </c>
      <c r="L90" s="11"/>
      <c r="M90" s="6">
        <f ca="1" t="shared" si="64"/>
        <v>0.820478723404255</v>
      </c>
      <c r="N90" s="6">
        <f ca="1" t="shared" si="65"/>
        <v>0.779905437352246</v>
      </c>
      <c r="O90" s="6">
        <f ca="1" t="shared" si="66"/>
        <v>0.559866499791406</v>
      </c>
      <c r="P90" s="6">
        <f ca="1" t="shared" si="67"/>
        <v>0.788014184397162</v>
      </c>
      <c r="Q90" s="6">
        <f ca="1" t="shared" si="68"/>
        <v>0</v>
      </c>
      <c r="R90" s="6">
        <f ca="1" t="shared" si="69"/>
        <v>0</v>
      </c>
      <c r="S90" s="6">
        <f ca="1" t="shared" si="70"/>
        <v>0</v>
      </c>
      <c r="T90" s="6">
        <f ca="1" t="shared" si="71"/>
        <v>0.718587314003615</v>
      </c>
      <c r="U90" s="11"/>
      <c r="V90" s="11">
        <v>0.65</v>
      </c>
    </row>
    <row r="91" spans="1:22">
      <c r="A91" s="3">
        <v>88</v>
      </c>
      <c r="B91" s="7" t="str">
        <f>'1课程考核方式及成绩组成'!D98</f>
        <v>220106112</v>
      </c>
      <c r="C91" s="8" t="str">
        <f>'1课程考核方式及成绩组成'!E98</f>
        <v>闻璋</v>
      </c>
      <c r="D91" s="6">
        <f ca="1">OFFSET('4学生课程目标达成度'!J$5,(ROW(D91)-3)*7,)</f>
        <v>0.841666666666667</v>
      </c>
      <c r="E91" s="6">
        <f ca="1">OFFSET('4学生课程目标达成度'!J$6,(ROW(E91)-3)*7,)</f>
        <v>0.708333333333333</v>
      </c>
      <c r="F91" s="6">
        <f ca="1">OFFSET('4学生课程目标达成度'!J$7,(ROW(F91)-3)*7,)</f>
        <v>0.441176470588235</v>
      </c>
      <c r="G91" s="6">
        <f ca="1">OFFSET('4学生课程目标达成度'!J$8,(ROW(G91)-3)*7,)</f>
        <v>0.82</v>
      </c>
      <c r="H91" s="6">
        <f ca="1">OFFSET('4学生课程目标达成度'!J$9,(ROW(H91)-3)*7,)</f>
        <v>0</v>
      </c>
      <c r="I91" s="6">
        <f ca="1">OFFSET('4学生课程目标达成度'!J$10,(ROW(I91)-3)*7,)</f>
        <v>0</v>
      </c>
      <c r="J91" s="6">
        <f ca="1">OFFSET('4学生课程目标达成度'!J$11,(ROW(J91)-3)*7,)</f>
        <v>0</v>
      </c>
      <c r="K91" s="6">
        <f ca="1">OFFSET('4学生课程目标达成度'!K$5,(ROW(K91)-3)*7,)</f>
        <v>0.695044117647059</v>
      </c>
      <c r="L91" s="11"/>
      <c r="M91" s="6">
        <f ca="1" t="shared" si="64"/>
        <v>0.820478723404255</v>
      </c>
      <c r="N91" s="6">
        <f ca="1" t="shared" si="65"/>
        <v>0.779905437352246</v>
      </c>
      <c r="O91" s="6">
        <f ca="1" t="shared" si="66"/>
        <v>0.559866499791406</v>
      </c>
      <c r="P91" s="6">
        <f ca="1" t="shared" si="67"/>
        <v>0.788014184397162</v>
      </c>
      <c r="Q91" s="6">
        <f ca="1" t="shared" si="68"/>
        <v>0</v>
      </c>
      <c r="R91" s="6">
        <f ca="1" t="shared" si="69"/>
        <v>0</v>
      </c>
      <c r="S91" s="6">
        <f ca="1" t="shared" si="70"/>
        <v>0</v>
      </c>
      <c r="T91" s="6">
        <f ca="1" t="shared" si="71"/>
        <v>0.718587314003615</v>
      </c>
      <c r="U91" s="11"/>
      <c r="V91" s="11">
        <v>0.65</v>
      </c>
    </row>
    <row r="92" spans="1:22">
      <c r="A92" s="3">
        <v>89</v>
      </c>
      <c r="B92" s="7" t="str">
        <f>'1课程考核方式及成绩组成'!D99</f>
        <v>220106113</v>
      </c>
      <c r="C92" s="8" t="str">
        <f>'1课程考核方式及成绩组成'!E99</f>
        <v>刘海</v>
      </c>
      <c r="D92" s="6">
        <f ca="1">OFFSET('4学生课程目标达成度'!J$5,(ROW(D92)-3)*7,)</f>
        <v>0.816666666666667</v>
      </c>
      <c r="E92" s="6">
        <f ca="1">OFFSET('4学生课程目标达成度'!J$6,(ROW(E92)-3)*7,)</f>
        <v>0.766666666666667</v>
      </c>
      <c r="F92" s="6">
        <f ca="1">OFFSET('4学生课程目标达成度'!J$7,(ROW(F92)-3)*7,)</f>
        <v>0.529411764705882</v>
      </c>
      <c r="G92" s="6">
        <f ca="1">OFFSET('4学生课程目标达成度'!J$8,(ROW(G92)-3)*7,)</f>
        <v>0.82</v>
      </c>
      <c r="H92" s="6">
        <f ca="1">OFFSET('4学生课程目标达成度'!J$9,(ROW(H92)-3)*7,)</f>
        <v>0</v>
      </c>
      <c r="I92" s="6">
        <f ca="1">OFFSET('4学生课程目标达成度'!J$10,(ROW(I92)-3)*7,)</f>
        <v>0</v>
      </c>
      <c r="J92" s="6">
        <f ca="1">OFFSET('4学生课程目标达成度'!J$11,(ROW(J92)-3)*7,)</f>
        <v>0</v>
      </c>
      <c r="K92" s="6">
        <f ca="1">OFFSET('4学生课程目标达成度'!K$5,(ROW(K92)-3)*7,)</f>
        <v>0.730852941176471</v>
      </c>
      <c r="L92" s="11"/>
      <c r="M92" s="6">
        <f ca="1" t="shared" si="64"/>
        <v>0.820478723404255</v>
      </c>
      <c r="N92" s="6">
        <f ca="1" t="shared" si="65"/>
        <v>0.779905437352246</v>
      </c>
      <c r="O92" s="6">
        <f ca="1" t="shared" si="66"/>
        <v>0.559866499791406</v>
      </c>
      <c r="P92" s="6">
        <f ca="1" t="shared" si="67"/>
        <v>0.788014184397162</v>
      </c>
      <c r="Q92" s="6">
        <f ca="1" t="shared" si="68"/>
        <v>0</v>
      </c>
      <c r="R92" s="6">
        <f ca="1" t="shared" si="69"/>
        <v>0</v>
      </c>
      <c r="S92" s="6">
        <f ca="1" t="shared" si="70"/>
        <v>0</v>
      </c>
      <c r="T92" s="6">
        <f ca="1" t="shared" si="71"/>
        <v>0.718587314003615</v>
      </c>
      <c r="U92" s="11"/>
      <c r="V92" s="11">
        <v>0.65</v>
      </c>
    </row>
    <row r="93" spans="1:22">
      <c r="A93" s="3">
        <v>90</v>
      </c>
      <c r="B93" s="7" t="str">
        <f>'1课程考核方式及成绩组成'!D100</f>
        <v>220106114</v>
      </c>
      <c r="C93" s="8" t="str">
        <f>'1课程考核方式及成绩组成'!E100</f>
        <v>季明伟</v>
      </c>
      <c r="D93" s="6">
        <f ca="1">OFFSET('4学生课程目标达成度'!J$5,(ROW(D93)-3)*7,)</f>
        <v>0.758333333333333</v>
      </c>
      <c r="E93" s="6">
        <f ca="1">OFFSET('4学生课程目标达成度'!J$6,(ROW(E93)-3)*7,)</f>
        <v>0.9</v>
      </c>
      <c r="F93" s="6">
        <f ca="1">OFFSET('4学生课程目标达成度'!J$7,(ROW(F93)-3)*7,)</f>
        <v>0.852941176470588</v>
      </c>
      <c r="G93" s="6">
        <f ca="1">OFFSET('4学生课程目标达成度'!J$8,(ROW(G93)-3)*7,)</f>
        <v>0.91</v>
      </c>
      <c r="H93" s="6">
        <f ca="1">OFFSET('4学生课程目标达成度'!J$9,(ROW(H93)-3)*7,)</f>
        <v>0</v>
      </c>
      <c r="I93" s="6">
        <f ca="1">OFFSET('4学生课程目标达成度'!J$10,(ROW(I93)-3)*7,)</f>
        <v>0</v>
      </c>
      <c r="J93" s="6">
        <f ca="1">OFFSET('4学生课程目标达成度'!J$11,(ROW(J93)-3)*7,)</f>
        <v>0</v>
      </c>
      <c r="K93" s="6">
        <f ca="1">OFFSET('4学生课程目标达成度'!K$5,(ROW(K93)-3)*7,)</f>
        <v>0.869985294117647</v>
      </c>
      <c r="L93" s="11"/>
      <c r="M93" s="6">
        <f ca="1" t="shared" ref="M93:M102" si="72">$D$2</f>
        <v>0.820478723404255</v>
      </c>
      <c r="N93" s="6">
        <f ca="1" t="shared" ref="N93:N102" si="73">$E$2</f>
        <v>0.779905437352246</v>
      </c>
      <c r="O93" s="6">
        <f ca="1" t="shared" ref="O93:O102" si="74">$F$2</f>
        <v>0.559866499791406</v>
      </c>
      <c r="P93" s="6">
        <f ca="1" t="shared" ref="P93:P102" si="75">$G$2</f>
        <v>0.788014184397162</v>
      </c>
      <c r="Q93" s="6">
        <f ca="1" t="shared" ref="Q93:Q102" si="76">$H$2</f>
        <v>0</v>
      </c>
      <c r="R93" s="6">
        <f ca="1" t="shared" ref="R93:R102" si="77">$I$2</f>
        <v>0</v>
      </c>
      <c r="S93" s="6">
        <f ca="1" t="shared" ref="S93:S102" si="78">$J$2</f>
        <v>0</v>
      </c>
      <c r="T93" s="6">
        <f ca="1" t="shared" ref="T93:T102" si="79">$K$2</f>
        <v>0.718587314003615</v>
      </c>
      <c r="U93" s="11"/>
      <c r="V93" s="11">
        <v>0.65</v>
      </c>
    </row>
    <row r="94" spans="1:22">
      <c r="A94" s="3">
        <v>91</v>
      </c>
      <c r="B94" s="7" t="str">
        <f>'1课程考核方式及成绩组成'!D101</f>
        <v>220106115</v>
      </c>
      <c r="C94" s="8" t="str">
        <f>'1课程考核方式及成绩组成'!E101</f>
        <v>刘芫宏</v>
      </c>
      <c r="D94" s="6">
        <f ca="1">OFFSET('4学生课程目标达成度'!J$5,(ROW(D94)-3)*7,)</f>
        <v>0.841666666666667</v>
      </c>
      <c r="E94" s="6">
        <f ca="1">OFFSET('4学生课程目标达成度'!J$6,(ROW(E94)-3)*7,)</f>
        <v>0.758333333333333</v>
      </c>
      <c r="F94" s="6">
        <f ca="1">OFFSET('4学生课程目标达成度'!J$7,(ROW(F94)-3)*7,)</f>
        <v>0.617647058823529</v>
      </c>
      <c r="G94" s="6">
        <f ca="1">OFFSET('4学生课程目标达成度'!J$8,(ROW(G94)-3)*7,)</f>
        <v>0.76</v>
      </c>
      <c r="H94" s="6">
        <f ca="1">OFFSET('4学生课程目标达成度'!J$9,(ROW(H94)-3)*7,)</f>
        <v>0</v>
      </c>
      <c r="I94" s="6">
        <f ca="1">OFFSET('4学生课程目标达成度'!J$10,(ROW(I94)-3)*7,)</f>
        <v>0</v>
      </c>
      <c r="J94" s="6">
        <f ca="1">OFFSET('4学生课程目标达成度'!J$11,(ROW(J94)-3)*7,)</f>
        <v>0</v>
      </c>
      <c r="K94" s="6">
        <f ca="1">OFFSET('4学生课程目标达成度'!K$5,(ROW(K94)-3)*7,)</f>
        <v>0.736161764705882</v>
      </c>
      <c r="L94" s="11"/>
      <c r="M94" s="6">
        <f ca="1" t="shared" si="72"/>
        <v>0.820478723404255</v>
      </c>
      <c r="N94" s="6">
        <f ca="1" t="shared" si="73"/>
        <v>0.779905437352246</v>
      </c>
      <c r="O94" s="6">
        <f ca="1" t="shared" si="74"/>
        <v>0.559866499791406</v>
      </c>
      <c r="P94" s="6">
        <f ca="1" t="shared" si="75"/>
        <v>0.788014184397162</v>
      </c>
      <c r="Q94" s="6">
        <f ca="1" t="shared" si="76"/>
        <v>0</v>
      </c>
      <c r="R94" s="6">
        <f ca="1" t="shared" si="77"/>
        <v>0</v>
      </c>
      <c r="S94" s="6">
        <f ca="1" t="shared" si="78"/>
        <v>0</v>
      </c>
      <c r="T94" s="6">
        <f ca="1" t="shared" si="79"/>
        <v>0.718587314003615</v>
      </c>
      <c r="U94" s="11"/>
      <c r="V94" s="11">
        <v>0.65</v>
      </c>
    </row>
    <row r="95" spans="1:22">
      <c r="A95" s="3">
        <v>92</v>
      </c>
      <c r="B95" s="7" t="str">
        <f>'1课程考核方式及成绩组成'!D102</f>
        <v>220106116</v>
      </c>
      <c r="C95" s="8" t="str">
        <f>'1课程考核方式及成绩组成'!E102</f>
        <v>李云伟</v>
      </c>
      <c r="D95" s="6">
        <f ca="1">OFFSET('4学生课程目标达成度'!J$5,(ROW(D95)-3)*7,)</f>
        <v>0.826388888888889</v>
      </c>
      <c r="E95" s="6">
        <f ca="1">OFFSET('4学生课程目标达成度'!J$6,(ROW(E95)-3)*7,)</f>
        <v>0.725</v>
      </c>
      <c r="F95" s="6">
        <f ca="1">OFFSET('4学生课程目标达成度'!J$7,(ROW(F95)-3)*7,)</f>
        <v>0.558823529411765</v>
      </c>
      <c r="G95" s="6">
        <f ca="1">OFFSET('4学生课程目标达成度'!J$8,(ROW(G95)-3)*7,)</f>
        <v>0.78</v>
      </c>
      <c r="H95" s="6">
        <f ca="1">OFFSET('4学生课程目标达成度'!J$9,(ROW(H95)-3)*7,)</f>
        <v>0</v>
      </c>
      <c r="I95" s="6">
        <f ca="1">OFFSET('4学生课程目标达成度'!J$10,(ROW(I95)-3)*7,)</f>
        <v>0</v>
      </c>
      <c r="J95" s="6">
        <f ca="1">OFFSET('4学生课程目标达成度'!J$11,(ROW(J95)-3)*7,)</f>
        <v>0</v>
      </c>
      <c r="K95" s="6">
        <f ca="1">OFFSET('4学生课程目标达成度'!K$5,(ROW(K95)-3)*7,)</f>
        <v>0.715164215686275</v>
      </c>
      <c r="L95" s="11"/>
      <c r="M95" s="6">
        <f ca="1" t="shared" si="72"/>
        <v>0.820478723404255</v>
      </c>
      <c r="N95" s="6">
        <f ca="1" t="shared" si="73"/>
        <v>0.779905437352246</v>
      </c>
      <c r="O95" s="6">
        <f ca="1" t="shared" si="74"/>
        <v>0.559866499791406</v>
      </c>
      <c r="P95" s="6">
        <f ca="1" t="shared" si="75"/>
        <v>0.788014184397162</v>
      </c>
      <c r="Q95" s="6">
        <f ca="1" t="shared" si="76"/>
        <v>0</v>
      </c>
      <c r="R95" s="6">
        <f ca="1" t="shared" si="77"/>
        <v>0</v>
      </c>
      <c r="S95" s="6">
        <f ca="1" t="shared" si="78"/>
        <v>0</v>
      </c>
      <c r="T95" s="6">
        <f ca="1" t="shared" si="79"/>
        <v>0.718587314003615</v>
      </c>
      <c r="U95" s="11"/>
      <c r="V95" s="11">
        <v>0.65</v>
      </c>
    </row>
    <row r="96" spans="1:22">
      <c r="A96" s="3">
        <v>93</v>
      </c>
      <c r="B96" s="7" t="str">
        <f>'1课程考核方式及成绩组成'!D103</f>
        <v>220106117</v>
      </c>
      <c r="C96" s="8" t="str">
        <f>'1课程考核方式及成绩组成'!E103</f>
        <v>黄立平</v>
      </c>
      <c r="D96" s="6">
        <f ca="1">OFFSET('4学生课程目标达成度'!J$5,(ROW(D96)-3)*7,)</f>
        <v>0.661111111111111</v>
      </c>
      <c r="E96" s="6">
        <f ca="1">OFFSET('4学生课程目标达成度'!J$6,(ROW(E96)-3)*7,)</f>
        <v>0.675</v>
      </c>
      <c r="F96" s="6">
        <f ca="1">OFFSET('4学生课程目标达成度'!J$7,(ROW(F96)-3)*7,)</f>
        <v>0.382352941176471</v>
      </c>
      <c r="G96" s="6">
        <f ca="1">OFFSET('4学生课程目标达成度'!J$8,(ROW(G96)-3)*7,)</f>
        <v>0.79</v>
      </c>
      <c r="H96" s="6">
        <f ca="1">OFFSET('4学生课程目标达成度'!J$9,(ROW(H96)-3)*7,)</f>
        <v>0</v>
      </c>
      <c r="I96" s="6">
        <f ca="1">OFFSET('4学生课程目标达成度'!J$10,(ROW(I96)-3)*7,)</f>
        <v>0</v>
      </c>
      <c r="J96" s="6">
        <f ca="1">OFFSET('4学生课程目标达成度'!J$11,(ROW(J96)-3)*7,)</f>
        <v>0</v>
      </c>
      <c r="K96" s="6">
        <f ca="1">OFFSET('4学生课程目标达成度'!K$5,(ROW(K96)-3)*7,)</f>
        <v>0.634254901960784</v>
      </c>
      <c r="L96" s="11"/>
      <c r="M96" s="6">
        <f ca="1" t="shared" si="72"/>
        <v>0.820478723404255</v>
      </c>
      <c r="N96" s="6">
        <f ca="1" t="shared" si="73"/>
        <v>0.779905437352246</v>
      </c>
      <c r="O96" s="6">
        <f ca="1" t="shared" si="74"/>
        <v>0.559866499791406</v>
      </c>
      <c r="P96" s="6">
        <f ca="1" t="shared" si="75"/>
        <v>0.788014184397162</v>
      </c>
      <c r="Q96" s="6">
        <f ca="1" t="shared" si="76"/>
        <v>0</v>
      </c>
      <c r="R96" s="6">
        <f ca="1" t="shared" si="77"/>
        <v>0</v>
      </c>
      <c r="S96" s="6">
        <f ca="1" t="shared" si="78"/>
        <v>0</v>
      </c>
      <c r="T96" s="6">
        <f ca="1" t="shared" si="79"/>
        <v>0.718587314003615</v>
      </c>
      <c r="U96" s="11"/>
      <c r="V96" s="11">
        <v>0.65</v>
      </c>
    </row>
    <row r="97" spans="1:22">
      <c r="A97" s="3">
        <v>94</v>
      </c>
      <c r="B97" s="7" t="str">
        <f>'1课程考核方式及成绩组成'!D104</f>
        <v>220106118</v>
      </c>
      <c r="C97" s="8" t="str">
        <f>'1课程考核方式及成绩组成'!E104</f>
        <v>黄佳南</v>
      </c>
      <c r="D97" s="6">
        <f ca="1">OFFSET('4学生课程目标达成度'!J$5,(ROW(D97)-3)*7,)</f>
        <v>0.869444444444444</v>
      </c>
      <c r="E97" s="6">
        <f ca="1">OFFSET('4学生课程目标达成度'!J$6,(ROW(E97)-3)*7,)</f>
        <v>0.816666666666667</v>
      </c>
      <c r="F97" s="6">
        <f ca="1">OFFSET('4学生课程目标达成度'!J$7,(ROW(F97)-3)*7,)</f>
        <v>0.705882352941177</v>
      </c>
      <c r="G97" s="6">
        <f ca="1">OFFSET('4学生课程目标达成度'!J$8,(ROW(G97)-3)*7,)</f>
        <v>0.83</v>
      </c>
      <c r="H97" s="6">
        <f ca="1">OFFSET('4学生课程目标达成度'!J$9,(ROW(H97)-3)*7,)</f>
        <v>0</v>
      </c>
      <c r="I97" s="6">
        <f ca="1">OFFSET('4学生课程目标达成度'!J$10,(ROW(I97)-3)*7,)</f>
        <v>0</v>
      </c>
      <c r="J97" s="6">
        <f ca="1">OFFSET('4学生课程目标达成度'!J$11,(ROW(J97)-3)*7,)</f>
        <v>0</v>
      </c>
      <c r="K97" s="6">
        <f ca="1">OFFSET('4学生课程目标达成度'!K$5,(ROW(K97)-3)*7,)</f>
        <v>0.800887254901961</v>
      </c>
      <c r="L97" s="11"/>
      <c r="M97" s="6">
        <f ca="1" t="shared" si="72"/>
        <v>0.820478723404255</v>
      </c>
      <c r="N97" s="6">
        <f ca="1" t="shared" si="73"/>
        <v>0.779905437352246</v>
      </c>
      <c r="O97" s="6">
        <f ca="1" t="shared" si="74"/>
        <v>0.559866499791406</v>
      </c>
      <c r="P97" s="6">
        <f ca="1" t="shared" si="75"/>
        <v>0.788014184397162</v>
      </c>
      <c r="Q97" s="6">
        <f ca="1" t="shared" si="76"/>
        <v>0</v>
      </c>
      <c r="R97" s="6">
        <f ca="1" t="shared" si="77"/>
        <v>0</v>
      </c>
      <c r="S97" s="6">
        <f ca="1" t="shared" si="78"/>
        <v>0</v>
      </c>
      <c r="T97" s="6">
        <f ca="1" t="shared" si="79"/>
        <v>0.718587314003615</v>
      </c>
      <c r="U97" s="11"/>
      <c r="V97" s="11">
        <v>0.65</v>
      </c>
    </row>
    <row r="98" spans="1:22">
      <c r="A98" s="3">
        <v>95</v>
      </c>
      <c r="B98" s="7" t="str">
        <f>'1课程考核方式及成绩组成'!D105</f>
        <v>220106119</v>
      </c>
      <c r="C98" s="8" t="str">
        <f>'1课程考核方式及成绩组成'!E105</f>
        <v>王栋</v>
      </c>
      <c r="D98" s="6">
        <f ca="1">OFFSET('4学生课程目标达成度'!J$5,(ROW(D98)-3)*7,)</f>
        <v>0.841666666666667</v>
      </c>
      <c r="E98" s="6">
        <f ca="1">OFFSET('4学生课程目标达成度'!J$6,(ROW(E98)-3)*7,)</f>
        <v>0.841666666666667</v>
      </c>
      <c r="F98" s="6">
        <f ca="1">OFFSET('4学生课程目标达成度'!J$7,(ROW(F98)-3)*7,)</f>
        <v>0.676470588235294</v>
      </c>
      <c r="G98" s="6">
        <f ca="1">OFFSET('4学生课程目标达成度'!J$8,(ROW(G98)-3)*7,)</f>
        <v>0.87</v>
      </c>
      <c r="H98" s="6">
        <f ca="1">OFFSET('4学生课程目标达成度'!J$9,(ROW(H98)-3)*7,)</f>
        <v>0</v>
      </c>
      <c r="I98" s="6">
        <f ca="1">OFFSET('4学生课程目标达成度'!J$10,(ROW(I98)-3)*7,)</f>
        <v>0</v>
      </c>
      <c r="J98" s="6">
        <f ca="1">OFFSET('4学生课程目标达成度'!J$11,(ROW(J98)-3)*7,)</f>
        <v>0</v>
      </c>
      <c r="K98" s="6">
        <f ca="1">OFFSET('4学生课程目标达成度'!K$5,(ROW(K98)-3)*7,)</f>
        <v>0.808867647058824</v>
      </c>
      <c r="L98" s="11"/>
      <c r="M98" s="6">
        <f ca="1" t="shared" si="72"/>
        <v>0.820478723404255</v>
      </c>
      <c r="N98" s="6">
        <f ca="1" t="shared" si="73"/>
        <v>0.779905437352246</v>
      </c>
      <c r="O98" s="6">
        <f ca="1" t="shared" si="74"/>
        <v>0.559866499791406</v>
      </c>
      <c r="P98" s="6">
        <f ca="1" t="shared" si="75"/>
        <v>0.788014184397162</v>
      </c>
      <c r="Q98" s="6">
        <f ca="1" t="shared" si="76"/>
        <v>0</v>
      </c>
      <c r="R98" s="6">
        <f ca="1" t="shared" si="77"/>
        <v>0</v>
      </c>
      <c r="S98" s="6">
        <f ca="1" t="shared" si="78"/>
        <v>0</v>
      </c>
      <c r="T98" s="6">
        <f ca="1" t="shared" si="79"/>
        <v>0.718587314003615</v>
      </c>
      <c r="U98" s="11"/>
      <c r="V98" s="11">
        <v>0.65</v>
      </c>
    </row>
    <row r="99" spans="1:22">
      <c r="A99" s="3">
        <v>96</v>
      </c>
      <c r="B99" s="7" t="str">
        <f>'1课程考核方式及成绩组成'!D106</f>
        <v>220106120</v>
      </c>
      <c r="C99" s="8" t="str">
        <f>'1课程考核方式及成绩组成'!E106</f>
        <v>庞思民</v>
      </c>
      <c r="D99" s="6">
        <f ca="1">OFFSET('4学生课程目标达成度'!J$5,(ROW(D99)-3)*7,)</f>
        <v>0.758333333333333</v>
      </c>
      <c r="E99" s="6">
        <f ca="1">OFFSET('4学生课程目标达成度'!J$6,(ROW(E99)-3)*7,)</f>
        <v>0.691666666666667</v>
      </c>
      <c r="F99" s="6">
        <f ca="1">OFFSET('4学生课程目标达成度'!J$7,(ROW(F99)-3)*7,)</f>
        <v>0.441176470588235</v>
      </c>
      <c r="G99" s="6">
        <f ca="1">OFFSET('4学生课程目标达成度'!J$8,(ROW(G99)-3)*7,)</f>
        <v>0.8</v>
      </c>
      <c r="H99" s="6">
        <f ca="1">OFFSET('4学生课程目标达成度'!J$9,(ROW(H99)-3)*7,)</f>
        <v>0</v>
      </c>
      <c r="I99" s="6">
        <f ca="1">OFFSET('4学生课程目标达成度'!J$10,(ROW(I99)-3)*7,)</f>
        <v>0</v>
      </c>
      <c r="J99" s="6">
        <f ca="1">OFFSET('4学生课程目标达成度'!J$11,(ROW(J99)-3)*7,)</f>
        <v>0</v>
      </c>
      <c r="K99" s="6">
        <f ca="1">OFFSET('4学生课程目标达成度'!K$5,(ROW(K99)-3)*7,)</f>
        <v>0.671544117647059</v>
      </c>
      <c r="L99" s="11"/>
      <c r="M99" s="6">
        <f ca="1" t="shared" si="72"/>
        <v>0.820478723404255</v>
      </c>
      <c r="N99" s="6">
        <f ca="1" t="shared" si="73"/>
        <v>0.779905437352246</v>
      </c>
      <c r="O99" s="6">
        <f ca="1" t="shared" si="74"/>
        <v>0.559866499791406</v>
      </c>
      <c r="P99" s="6">
        <f ca="1" t="shared" si="75"/>
        <v>0.788014184397162</v>
      </c>
      <c r="Q99" s="6">
        <f ca="1" t="shared" si="76"/>
        <v>0</v>
      </c>
      <c r="R99" s="6">
        <f ca="1" t="shared" si="77"/>
        <v>0</v>
      </c>
      <c r="S99" s="6">
        <f ca="1" t="shared" si="78"/>
        <v>0</v>
      </c>
      <c r="T99" s="6">
        <f ca="1" t="shared" si="79"/>
        <v>0.718587314003615</v>
      </c>
      <c r="U99" s="11"/>
      <c r="V99" s="11">
        <v>0.65</v>
      </c>
    </row>
    <row r="100" spans="1:22">
      <c r="A100" s="3">
        <v>97</v>
      </c>
      <c r="B100" s="7" t="str">
        <f>'1课程考核方式及成绩组成'!D107</f>
        <v>220106121</v>
      </c>
      <c r="C100" s="8" t="str">
        <f>'1课程考核方式及成绩组成'!E107</f>
        <v>高涵</v>
      </c>
      <c r="D100" s="6">
        <f ca="1">OFFSET('4学生课程目标达成度'!J$5,(ROW(D100)-3)*7,)</f>
        <v>0.731944444444444</v>
      </c>
      <c r="E100" s="6">
        <f ca="1">OFFSET('4学生课程目标达成度'!J$6,(ROW(E100)-3)*7,)</f>
        <v>0.625</v>
      </c>
      <c r="F100" s="6">
        <f ca="1">OFFSET('4学生课程目标达成度'!J$7,(ROW(F100)-3)*7,)</f>
        <v>0.382352941176471</v>
      </c>
      <c r="G100" s="6">
        <f ca="1">OFFSET('4学生课程目标达成度'!J$8,(ROW(G100)-3)*7,)</f>
        <v>0.79</v>
      </c>
      <c r="H100" s="6">
        <f ca="1">OFFSET('4学生课程目标达成度'!J$9,(ROW(H100)-3)*7,)</f>
        <v>0</v>
      </c>
      <c r="I100" s="6">
        <f ca="1">OFFSET('4学生课程目标达成度'!J$10,(ROW(I100)-3)*7,)</f>
        <v>0</v>
      </c>
      <c r="J100" s="6">
        <f ca="1">OFFSET('4学生课程目标达成度'!J$11,(ROW(J100)-3)*7,)</f>
        <v>0</v>
      </c>
      <c r="K100" s="6">
        <f ca="1">OFFSET('4学生课程目标达成度'!K$5,(ROW(K100)-3)*7,)</f>
        <v>0.629879901960784</v>
      </c>
      <c r="L100" s="11"/>
      <c r="M100" s="6">
        <f ca="1" t="shared" si="72"/>
        <v>0.820478723404255</v>
      </c>
      <c r="N100" s="6">
        <f ca="1" t="shared" si="73"/>
        <v>0.779905437352246</v>
      </c>
      <c r="O100" s="6">
        <f ca="1" t="shared" si="74"/>
        <v>0.559866499791406</v>
      </c>
      <c r="P100" s="6">
        <f ca="1" t="shared" si="75"/>
        <v>0.788014184397162</v>
      </c>
      <c r="Q100" s="6">
        <f ca="1" t="shared" si="76"/>
        <v>0</v>
      </c>
      <c r="R100" s="6">
        <f ca="1" t="shared" si="77"/>
        <v>0</v>
      </c>
      <c r="S100" s="6">
        <f ca="1" t="shared" si="78"/>
        <v>0</v>
      </c>
      <c r="T100" s="6">
        <f ca="1" t="shared" si="79"/>
        <v>0.718587314003615</v>
      </c>
      <c r="U100" s="11"/>
      <c r="V100" s="11">
        <v>0.65</v>
      </c>
    </row>
    <row r="101" spans="1:22">
      <c r="A101" s="3">
        <v>98</v>
      </c>
      <c r="B101" s="7" t="str">
        <f>'1课程考核方式及成绩组成'!D108</f>
        <v>220106122</v>
      </c>
      <c r="C101" s="8" t="str">
        <f>'1课程考核方式及成绩组成'!E108</f>
        <v>谢光宗</v>
      </c>
      <c r="D101" s="6">
        <f ca="1">OFFSET('4学生课程目标达成度'!J$5,(ROW(D101)-3)*7,)</f>
        <v>0.716666666666667</v>
      </c>
      <c r="E101" s="6">
        <f ca="1">OFFSET('4学生课程目标达成度'!J$6,(ROW(E101)-3)*7,)</f>
        <v>0.725</v>
      </c>
      <c r="F101" s="6">
        <f ca="1">OFFSET('4学生课程目标达成度'!J$7,(ROW(F101)-3)*7,)</f>
        <v>0.529411764705882</v>
      </c>
      <c r="G101" s="6">
        <f ca="1">OFFSET('4学生课程目标达成度'!J$8,(ROW(G101)-3)*7,)</f>
        <v>0.84</v>
      </c>
      <c r="H101" s="6">
        <f ca="1">OFFSET('4学生课程目标达成度'!J$9,(ROW(H101)-3)*7,)</f>
        <v>0</v>
      </c>
      <c r="I101" s="6">
        <f ca="1">OFFSET('4学生课程目标达成度'!J$10,(ROW(I101)-3)*7,)</f>
        <v>0</v>
      </c>
      <c r="J101" s="6">
        <f ca="1">OFFSET('4学生课程目标达成度'!J$11,(ROW(J101)-3)*7,)</f>
        <v>0</v>
      </c>
      <c r="K101" s="6">
        <f ca="1">OFFSET('4学生课程目标达成度'!K$5,(ROW(K101)-3)*7,)</f>
        <v>0.709352941176471</v>
      </c>
      <c r="L101" s="11"/>
      <c r="M101" s="6">
        <f ca="1" t="shared" si="72"/>
        <v>0.820478723404255</v>
      </c>
      <c r="N101" s="6">
        <f ca="1" t="shared" si="73"/>
        <v>0.779905437352246</v>
      </c>
      <c r="O101" s="6">
        <f ca="1" t="shared" si="74"/>
        <v>0.559866499791406</v>
      </c>
      <c r="P101" s="6">
        <f ca="1" t="shared" si="75"/>
        <v>0.788014184397162</v>
      </c>
      <c r="Q101" s="6">
        <f ca="1" t="shared" si="76"/>
        <v>0</v>
      </c>
      <c r="R101" s="6">
        <f ca="1" t="shared" si="77"/>
        <v>0</v>
      </c>
      <c r="S101" s="6">
        <f ca="1" t="shared" si="78"/>
        <v>0</v>
      </c>
      <c r="T101" s="6">
        <f ca="1" t="shared" si="79"/>
        <v>0.718587314003615</v>
      </c>
      <c r="U101" s="11"/>
      <c r="V101" s="11">
        <v>0.65</v>
      </c>
    </row>
    <row r="102" spans="1:22">
      <c r="A102" s="3">
        <v>99</v>
      </c>
      <c r="B102" s="7" t="str">
        <f>'1课程考核方式及成绩组成'!D109</f>
        <v>220106123</v>
      </c>
      <c r="C102" s="8" t="str">
        <f>'1课程考核方式及成绩组成'!E109</f>
        <v>陈巧玲</v>
      </c>
      <c r="D102" s="6">
        <f ca="1">OFFSET('4学生课程目标达成度'!J$5,(ROW(D102)-3)*7,)</f>
        <v>0.6625</v>
      </c>
      <c r="E102" s="6">
        <f ca="1">OFFSET('4学生课程目标达成度'!J$6,(ROW(E102)-3)*7,)</f>
        <v>0.733333333333333</v>
      </c>
      <c r="F102" s="6">
        <f ca="1">OFFSET('4学生课程目标达成度'!J$7,(ROW(F102)-3)*7,)</f>
        <v>0.470588235294118</v>
      </c>
      <c r="G102" s="6">
        <f ca="1">OFFSET('4学生课程目标达成度'!J$8,(ROW(G102)-3)*7,)</f>
        <v>0.83</v>
      </c>
      <c r="H102" s="6">
        <f ca="1">OFFSET('4学生课程目标达成度'!J$9,(ROW(H102)-3)*7,)</f>
        <v>0</v>
      </c>
      <c r="I102" s="6">
        <f ca="1">OFFSET('4学生课程目标达成度'!J$10,(ROW(I102)-3)*7,)</f>
        <v>0</v>
      </c>
      <c r="J102" s="6">
        <f ca="1">OFFSET('4学生课程目标达成度'!J$11,(ROW(J102)-3)*7,)</f>
        <v>0</v>
      </c>
      <c r="K102" s="6">
        <f ca="1">OFFSET('4学生课程目标达成度'!K$5,(ROW(K102)-3)*7,)</f>
        <v>0.686022058823529</v>
      </c>
      <c r="L102" s="11"/>
      <c r="M102" s="6">
        <f ca="1" t="shared" si="72"/>
        <v>0.820478723404255</v>
      </c>
      <c r="N102" s="6">
        <f ca="1" t="shared" si="73"/>
        <v>0.779905437352246</v>
      </c>
      <c r="O102" s="6">
        <f ca="1" t="shared" si="74"/>
        <v>0.559866499791406</v>
      </c>
      <c r="P102" s="6">
        <f ca="1" t="shared" si="75"/>
        <v>0.788014184397162</v>
      </c>
      <c r="Q102" s="6">
        <f ca="1" t="shared" si="76"/>
        <v>0</v>
      </c>
      <c r="R102" s="6">
        <f ca="1" t="shared" si="77"/>
        <v>0</v>
      </c>
      <c r="S102" s="6">
        <f ca="1" t="shared" si="78"/>
        <v>0</v>
      </c>
      <c r="T102" s="6">
        <f ca="1" t="shared" si="79"/>
        <v>0.718587314003615</v>
      </c>
      <c r="U102" s="11"/>
      <c r="V102" s="11">
        <v>0.65</v>
      </c>
    </row>
    <row r="103" spans="1:22">
      <c r="A103" s="3">
        <v>100</v>
      </c>
      <c r="B103" s="7" t="str">
        <f>'1课程考核方式及成绩组成'!D110</f>
        <v>220106124</v>
      </c>
      <c r="C103" s="8" t="str">
        <f>'1课程考核方式及成绩组成'!E110</f>
        <v>蒋春宇</v>
      </c>
      <c r="D103" s="6">
        <f ca="1">OFFSET('4学生课程目标达成度'!J$5,(ROW(D103)-3)*7,)</f>
        <v>0.869444444444444</v>
      </c>
      <c r="E103" s="6">
        <f ca="1">OFFSET('4学生课程目标达成度'!J$6,(ROW(E103)-3)*7,)</f>
        <v>0.691666666666667</v>
      </c>
      <c r="F103" s="6">
        <f ca="1">OFFSET('4学生课程目标达成度'!J$7,(ROW(F103)-3)*7,)</f>
        <v>0.5</v>
      </c>
      <c r="G103" s="6">
        <f ca="1">OFFSET('4学生课程目标达成度'!J$8,(ROW(G103)-3)*7,)</f>
        <v>0.85</v>
      </c>
      <c r="H103" s="6">
        <f ca="1">OFFSET('4学生课程目标达成度'!J$9,(ROW(H103)-3)*7,)</f>
        <v>0</v>
      </c>
      <c r="I103" s="6">
        <f ca="1">OFFSET('4学生课程目标达成度'!J$10,(ROW(I103)-3)*7,)</f>
        <v>0</v>
      </c>
      <c r="J103" s="6">
        <f ca="1">OFFSET('4学生课程目标达成度'!J$11,(ROW(J103)-3)*7,)</f>
        <v>0</v>
      </c>
      <c r="K103" s="6">
        <f ca="1">OFFSET('4学生课程目标达成度'!K$5,(ROW(K103)-3)*7,)</f>
        <v>0.717916666666667</v>
      </c>
      <c r="L103" s="11"/>
      <c r="M103" s="6">
        <f ca="1" t="shared" ref="M103:M112" si="80">$D$2</f>
        <v>0.820478723404255</v>
      </c>
      <c r="N103" s="6">
        <f ca="1" t="shared" ref="N103:N112" si="81">$E$2</f>
        <v>0.779905437352246</v>
      </c>
      <c r="O103" s="6">
        <f ca="1" t="shared" ref="O103:O112" si="82">$F$2</f>
        <v>0.559866499791406</v>
      </c>
      <c r="P103" s="6">
        <f ca="1" t="shared" ref="P103:P112" si="83">$G$2</f>
        <v>0.788014184397162</v>
      </c>
      <c r="Q103" s="6">
        <f ca="1" t="shared" ref="Q103:Q112" si="84">$H$2</f>
        <v>0</v>
      </c>
      <c r="R103" s="6">
        <f ca="1" t="shared" ref="R103:R112" si="85">$I$2</f>
        <v>0</v>
      </c>
      <c r="S103" s="6">
        <f ca="1" t="shared" ref="S103:S112" si="86">$J$2</f>
        <v>0</v>
      </c>
      <c r="T103" s="6">
        <f ca="1" t="shared" ref="T103:T112" si="87">$K$2</f>
        <v>0.718587314003615</v>
      </c>
      <c r="U103" s="11"/>
      <c r="V103" s="11">
        <v>0.65</v>
      </c>
    </row>
    <row r="104" spans="1:22">
      <c r="A104" s="3">
        <v>101</v>
      </c>
      <c r="B104" s="7" t="str">
        <f>'1课程考核方式及成绩组成'!D111</f>
        <v>220106125</v>
      </c>
      <c r="C104" s="8" t="str">
        <f>'1课程考核方式及成绩组成'!E111</f>
        <v>卢攀</v>
      </c>
      <c r="D104" s="6">
        <f ca="1">OFFSET('4学生课程目标达成度'!J$5,(ROW(D104)-3)*7,)</f>
        <v>0.730555555555556</v>
      </c>
      <c r="E104" s="6">
        <f ca="1">OFFSET('4学生课程目标达成度'!J$6,(ROW(E104)-3)*7,)</f>
        <v>0.758333333333333</v>
      </c>
      <c r="F104" s="6">
        <f ca="1">OFFSET('4学生课程目标达成度'!J$7,(ROW(F104)-3)*7,)</f>
        <v>0.441176470588235</v>
      </c>
      <c r="G104" s="6">
        <f ca="1">OFFSET('4学生课程目标达成度'!J$8,(ROW(G104)-3)*7,)</f>
        <v>0.77</v>
      </c>
      <c r="H104" s="6">
        <f ca="1">OFFSET('4学生课程目标达成度'!J$9,(ROW(H104)-3)*7,)</f>
        <v>0</v>
      </c>
      <c r="I104" s="6">
        <f ca="1">OFFSET('4学生课程目标达成度'!J$10,(ROW(I104)-3)*7,)</f>
        <v>0</v>
      </c>
      <c r="J104" s="6">
        <f ca="1">OFFSET('4学生课程目标达成度'!J$11,(ROW(J104)-3)*7,)</f>
        <v>0</v>
      </c>
      <c r="K104" s="6">
        <f ca="1">OFFSET('4学生课程目标达成度'!K$5,(ROW(K104)-3)*7,)</f>
        <v>0.678377450980392</v>
      </c>
      <c r="L104" s="11"/>
      <c r="M104" s="6">
        <f ca="1" t="shared" si="80"/>
        <v>0.820478723404255</v>
      </c>
      <c r="N104" s="6">
        <f ca="1" t="shared" si="81"/>
        <v>0.779905437352246</v>
      </c>
      <c r="O104" s="6">
        <f ca="1" t="shared" si="82"/>
        <v>0.559866499791406</v>
      </c>
      <c r="P104" s="6">
        <f ca="1" t="shared" si="83"/>
        <v>0.788014184397162</v>
      </c>
      <c r="Q104" s="6">
        <f ca="1" t="shared" si="84"/>
        <v>0</v>
      </c>
      <c r="R104" s="6">
        <f ca="1" t="shared" si="85"/>
        <v>0</v>
      </c>
      <c r="S104" s="6">
        <f ca="1" t="shared" si="86"/>
        <v>0</v>
      </c>
      <c r="T104" s="6">
        <f ca="1" t="shared" si="87"/>
        <v>0.718587314003615</v>
      </c>
      <c r="U104" s="11"/>
      <c r="V104" s="11">
        <v>0.65</v>
      </c>
    </row>
    <row r="105" spans="1:22">
      <c r="A105" s="3">
        <v>102</v>
      </c>
      <c r="B105" s="7" t="str">
        <f>'1课程考核方式及成绩组成'!D112</f>
        <v>220106127</v>
      </c>
      <c r="C105" s="8" t="str">
        <f>'1课程考核方式及成绩组成'!E112</f>
        <v>廖子豪</v>
      </c>
      <c r="D105" s="6">
        <f ca="1">OFFSET('4学生课程目标达成度'!J$5,(ROW(D105)-3)*7,)</f>
        <v>0.633333333333333</v>
      </c>
      <c r="E105" s="6">
        <f ca="1">OFFSET('4学生课程目标达成度'!J$6,(ROW(E105)-3)*7,)</f>
        <v>0.641666666666667</v>
      </c>
      <c r="F105" s="6">
        <f ca="1">OFFSET('4学生课程目标达成度'!J$7,(ROW(F105)-3)*7,)</f>
        <v>0.382352941176471</v>
      </c>
      <c r="G105" s="6">
        <f ca="1">OFFSET('4学生课程目标达成度'!J$8,(ROW(G105)-3)*7,)</f>
        <v>0.82</v>
      </c>
      <c r="H105" s="6">
        <f ca="1">OFFSET('4学生课程目标达成度'!J$9,(ROW(H105)-3)*7,)</f>
        <v>0</v>
      </c>
      <c r="I105" s="6">
        <f ca="1">OFFSET('4学生课程目标达成度'!J$10,(ROW(I105)-3)*7,)</f>
        <v>0</v>
      </c>
      <c r="J105" s="6">
        <f ca="1">OFFSET('4学生课程目标达成度'!J$11,(ROW(J105)-3)*7,)</f>
        <v>0</v>
      </c>
      <c r="K105" s="6">
        <f ca="1">OFFSET('4学生课程目标达成度'!K$5,(ROW(K105)-3)*7,)</f>
        <v>0.629088235294118</v>
      </c>
      <c r="L105" s="11"/>
      <c r="M105" s="6">
        <f ca="1" t="shared" si="80"/>
        <v>0.820478723404255</v>
      </c>
      <c r="N105" s="6">
        <f ca="1" t="shared" si="81"/>
        <v>0.779905437352246</v>
      </c>
      <c r="O105" s="6">
        <f ca="1" t="shared" si="82"/>
        <v>0.559866499791406</v>
      </c>
      <c r="P105" s="6">
        <f ca="1" t="shared" si="83"/>
        <v>0.788014184397162</v>
      </c>
      <c r="Q105" s="6">
        <f ca="1" t="shared" si="84"/>
        <v>0</v>
      </c>
      <c r="R105" s="6">
        <f ca="1" t="shared" si="85"/>
        <v>0</v>
      </c>
      <c r="S105" s="6">
        <f ca="1" t="shared" si="86"/>
        <v>0</v>
      </c>
      <c r="T105" s="6">
        <f ca="1" t="shared" si="87"/>
        <v>0.718587314003615</v>
      </c>
      <c r="U105" s="11"/>
      <c r="V105" s="11">
        <v>0.65</v>
      </c>
    </row>
    <row r="106" spans="1:22">
      <c r="A106" s="3">
        <v>103</v>
      </c>
      <c r="B106" s="7" t="str">
        <f>'1课程考核方式及成绩组成'!D113</f>
        <v>220106128</v>
      </c>
      <c r="C106" s="8" t="str">
        <f>'1课程考核方式及成绩组成'!E113</f>
        <v>秦浩</v>
      </c>
      <c r="D106" s="6">
        <f ca="1">OFFSET('4学生课程目标达成度'!J$5,(ROW(D106)-3)*7,)</f>
        <v>0.718055555555556</v>
      </c>
      <c r="E106" s="6">
        <f ca="1">OFFSET('4学生课程目标达成度'!J$6,(ROW(E106)-3)*7,)</f>
        <v>0.591666666666667</v>
      </c>
      <c r="F106" s="6">
        <f ca="1">OFFSET('4学生课程目标达成度'!J$7,(ROW(F106)-3)*7,)</f>
        <v>0.441176470588235</v>
      </c>
      <c r="G106" s="6">
        <f ca="1">OFFSET('4学生课程目标达成度'!J$8,(ROW(G106)-3)*7,)</f>
        <v>0.88</v>
      </c>
      <c r="H106" s="6">
        <f ca="1">OFFSET('4学生课程目标达成度'!J$9,(ROW(H106)-3)*7,)</f>
        <v>0</v>
      </c>
      <c r="I106" s="6">
        <f ca="1">OFFSET('4学生课程目标达成度'!J$10,(ROW(I106)-3)*7,)</f>
        <v>0</v>
      </c>
      <c r="J106" s="6">
        <f ca="1">OFFSET('4学生课程目标达成度'!J$11,(ROW(J106)-3)*7,)</f>
        <v>0</v>
      </c>
      <c r="K106" s="6">
        <f ca="1">OFFSET('4学生课程目标达成度'!K$5,(ROW(K106)-3)*7,)</f>
        <v>0.659502450980392</v>
      </c>
      <c r="L106" s="11"/>
      <c r="M106" s="6">
        <f ca="1" t="shared" si="80"/>
        <v>0.820478723404255</v>
      </c>
      <c r="N106" s="6">
        <f ca="1" t="shared" si="81"/>
        <v>0.779905437352246</v>
      </c>
      <c r="O106" s="6">
        <f ca="1" t="shared" si="82"/>
        <v>0.559866499791406</v>
      </c>
      <c r="P106" s="6">
        <f ca="1" t="shared" si="83"/>
        <v>0.788014184397162</v>
      </c>
      <c r="Q106" s="6">
        <f ca="1" t="shared" si="84"/>
        <v>0</v>
      </c>
      <c r="R106" s="6">
        <f ca="1" t="shared" si="85"/>
        <v>0</v>
      </c>
      <c r="S106" s="6">
        <f ca="1" t="shared" si="86"/>
        <v>0</v>
      </c>
      <c r="T106" s="6">
        <f ca="1" t="shared" si="87"/>
        <v>0.718587314003615</v>
      </c>
      <c r="U106" s="11"/>
      <c r="V106" s="11">
        <v>0.65</v>
      </c>
    </row>
    <row r="107" spans="1:22">
      <c r="A107" s="3">
        <v>104</v>
      </c>
      <c r="B107" s="7" t="str">
        <f>'1课程考核方式及成绩组成'!D114</f>
        <v>220106129</v>
      </c>
      <c r="C107" s="8" t="str">
        <f>'1课程考核方式及成绩组成'!E114</f>
        <v>阳文杰</v>
      </c>
      <c r="D107" s="6">
        <f ca="1">OFFSET('4学生课程目标达成度'!J$5,(ROW(D107)-3)*7,)</f>
        <v>0.608333333333333</v>
      </c>
      <c r="E107" s="6">
        <f ca="1">OFFSET('4学生课程目标达成度'!J$6,(ROW(E107)-3)*7,)</f>
        <v>0.55</v>
      </c>
      <c r="F107" s="6">
        <f ca="1">OFFSET('4学生课程目标达成度'!J$7,(ROW(F107)-3)*7,)</f>
        <v>0.411764705882353</v>
      </c>
      <c r="G107" s="6">
        <f ca="1">OFFSET('4学生课程目标达成度'!J$8,(ROW(G107)-3)*7,)</f>
        <v>0.7</v>
      </c>
      <c r="H107" s="6">
        <f ca="1">OFFSET('4学生课程目标达成度'!J$9,(ROW(H107)-3)*7,)</f>
        <v>0</v>
      </c>
      <c r="I107" s="6">
        <f ca="1">OFFSET('4学生课程目标达成度'!J$10,(ROW(I107)-3)*7,)</f>
        <v>0</v>
      </c>
      <c r="J107" s="6">
        <f ca="1">OFFSET('4学生课程目标达成度'!J$11,(ROW(J107)-3)*7,)</f>
        <v>0</v>
      </c>
      <c r="K107" s="6">
        <f ca="1">OFFSET('4学生课程目标达成度'!K$5,(ROW(K107)-3)*7,)</f>
        <v>0.569191176470588</v>
      </c>
      <c r="L107" s="11"/>
      <c r="M107" s="6">
        <f ca="1" t="shared" si="80"/>
        <v>0.820478723404255</v>
      </c>
      <c r="N107" s="6">
        <f ca="1" t="shared" si="81"/>
        <v>0.779905437352246</v>
      </c>
      <c r="O107" s="6">
        <f ca="1" t="shared" si="82"/>
        <v>0.559866499791406</v>
      </c>
      <c r="P107" s="6">
        <f ca="1" t="shared" si="83"/>
        <v>0.788014184397162</v>
      </c>
      <c r="Q107" s="6">
        <f ca="1" t="shared" si="84"/>
        <v>0</v>
      </c>
      <c r="R107" s="6">
        <f ca="1" t="shared" si="85"/>
        <v>0</v>
      </c>
      <c r="S107" s="6">
        <f ca="1" t="shared" si="86"/>
        <v>0</v>
      </c>
      <c r="T107" s="6">
        <f ca="1" t="shared" si="87"/>
        <v>0.718587314003615</v>
      </c>
      <c r="U107" s="11"/>
      <c r="V107" s="11">
        <v>0.65</v>
      </c>
    </row>
    <row r="108" spans="1:22">
      <c r="A108" s="3">
        <v>105</v>
      </c>
      <c r="B108" s="7" t="str">
        <f>'1课程考核方式及成绩组成'!D115</f>
        <v>220106130</v>
      </c>
      <c r="C108" s="8" t="str">
        <f>'1课程考核方式及成绩组成'!E115</f>
        <v>陈康</v>
      </c>
      <c r="D108" s="6">
        <f ca="1">OFFSET('4学生课程目标达成度'!J$5,(ROW(D108)-3)*7,)</f>
        <v>0.866666666666667</v>
      </c>
      <c r="E108" s="6">
        <f ca="1">OFFSET('4学生课程目标达成度'!J$6,(ROW(E108)-3)*7,)</f>
        <v>0.916666666666667</v>
      </c>
      <c r="F108" s="6">
        <f ca="1">OFFSET('4学生课程目标达成度'!J$7,(ROW(F108)-3)*7,)</f>
        <v>0.764705882352941</v>
      </c>
      <c r="G108" s="6">
        <f ca="1">OFFSET('4学生课程目标达成度'!J$8,(ROW(G108)-3)*7,)</f>
        <v>0.83</v>
      </c>
      <c r="H108" s="6">
        <f ca="1">OFFSET('4学生课程目标达成度'!J$9,(ROW(H108)-3)*7,)</f>
        <v>0</v>
      </c>
      <c r="I108" s="6">
        <f ca="1">OFFSET('4学生课程目标达成度'!J$10,(ROW(I108)-3)*7,)</f>
        <v>0</v>
      </c>
      <c r="J108" s="6">
        <f ca="1">OFFSET('4学生课程目标达成度'!J$11,(ROW(J108)-3)*7,)</f>
        <v>0</v>
      </c>
      <c r="K108" s="6">
        <f ca="1">OFFSET('4学生课程目标达成度'!K$5,(ROW(K108)-3)*7,)</f>
        <v>0.845176470588235</v>
      </c>
      <c r="L108" s="11"/>
      <c r="M108" s="6">
        <f ca="1" t="shared" si="80"/>
        <v>0.820478723404255</v>
      </c>
      <c r="N108" s="6">
        <f ca="1" t="shared" si="81"/>
        <v>0.779905437352246</v>
      </c>
      <c r="O108" s="6">
        <f ca="1" t="shared" si="82"/>
        <v>0.559866499791406</v>
      </c>
      <c r="P108" s="6">
        <f ca="1" t="shared" si="83"/>
        <v>0.788014184397162</v>
      </c>
      <c r="Q108" s="6">
        <f ca="1" t="shared" si="84"/>
        <v>0</v>
      </c>
      <c r="R108" s="6">
        <f ca="1" t="shared" si="85"/>
        <v>0</v>
      </c>
      <c r="S108" s="6">
        <f ca="1" t="shared" si="86"/>
        <v>0</v>
      </c>
      <c r="T108" s="6">
        <f ca="1" t="shared" si="87"/>
        <v>0.718587314003615</v>
      </c>
      <c r="U108" s="11"/>
      <c r="V108" s="11">
        <v>0.65</v>
      </c>
    </row>
    <row r="109" spans="1:22">
      <c r="A109" s="3">
        <v>106</v>
      </c>
      <c r="B109" s="7" t="str">
        <f>'1课程考核方式及成绩组成'!D116</f>
        <v>220106131</v>
      </c>
      <c r="C109" s="8" t="str">
        <f>'1课程考核方式及成绩组成'!E116</f>
        <v>段海潮</v>
      </c>
      <c r="D109" s="6">
        <f ca="1">OFFSET('4学生课程目标达成度'!J$5,(ROW(D109)-3)*7,)</f>
        <v>0.869444444444444</v>
      </c>
      <c r="E109" s="6">
        <f ca="1">OFFSET('4学生课程目标达成度'!J$6,(ROW(E109)-3)*7,)</f>
        <v>0.9</v>
      </c>
      <c r="F109" s="6">
        <f ca="1">OFFSET('4学生课程目标达成度'!J$7,(ROW(F109)-3)*7,)</f>
        <v>0.617647058823529</v>
      </c>
      <c r="G109" s="6">
        <f ca="1">OFFSET('4学生课程目标达成度'!J$8,(ROW(G109)-3)*7,)</f>
        <v>0.8</v>
      </c>
      <c r="H109" s="6">
        <f ca="1">OFFSET('4学生课程目标达成度'!J$9,(ROW(H109)-3)*7,)</f>
        <v>0</v>
      </c>
      <c r="I109" s="6">
        <f ca="1">OFFSET('4学生课程目标达成度'!J$10,(ROW(I109)-3)*7,)</f>
        <v>0</v>
      </c>
      <c r="J109" s="6">
        <f ca="1">OFFSET('4学生课程目标达成度'!J$11,(ROW(J109)-3)*7,)</f>
        <v>0</v>
      </c>
      <c r="K109" s="6">
        <f ca="1">OFFSET('4学生课程目标达成度'!K$5,(ROW(K109)-3)*7,)</f>
        <v>0.794828431372549</v>
      </c>
      <c r="L109" s="11"/>
      <c r="M109" s="6">
        <f ca="1" t="shared" si="80"/>
        <v>0.820478723404255</v>
      </c>
      <c r="N109" s="6">
        <f ca="1" t="shared" si="81"/>
        <v>0.779905437352246</v>
      </c>
      <c r="O109" s="6">
        <f ca="1" t="shared" si="82"/>
        <v>0.559866499791406</v>
      </c>
      <c r="P109" s="6">
        <f ca="1" t="shared" si="83"/>
        <v>0.788014184397162</v>
      </c>
      <c r="Q109" s="6">
        <f ca="1" t="shared" si="84"/>
        <v>0</v>
      </c>
      <c r="R109" s="6">
        <f ca="1" t="shared" si="85"/>
        <v>0</v>
      </c>
      <c r="S109" s="6">
        <f ca="1" t="shared" si="86"/>
        <v>0</v>
      </c>
      <c r="T109" s="6">
        <f ca="1" t="shared" si="87"/>
        <v>0.718587314003615</v>
      </c>
      <c r="U109" s="11"/>
      <c r="V109" s="11">
        <v>0.65</v>
      </c>
    </row>
    <row r="110" spans="1:22">
      <c r="A110" s="3">
        <v>107</v>
      </c>
      <c r="B110" s="7" t="str">
        <f>'1课程考核方式及成绩组成'!D117</f>
        <v>220106132</v>
      </c>
      <c r="C110" s="8" t="str">
        <f>'1课程考核方式及成绩组成'!E117</f>
        <v>周艺</v>
      </c>
      <c r="D110" s="6">
        <f ca="1">OFFSET('4学生课程目标达成度'!J$5,(ROW(D110)-3)*7,)</f>
        <v>0.869444444444444</v>
      </c>
      <c r="E110" s="6">
        <f ca="1">OFFSET('4学生课程目标达成度'!J$6,(ROW(E110)-3)*7,)</f>
        <v>0.825</v>
      </c>
      <c r="F110" s="6">
        <f ca="1">OFFSET('4学生课程目标达成度'!J$7,(ROW(F110)-3)*7,)</f>
        <v>0.676470588235294</v>
      </c>
      <c r="G110" s="6">
        <f ca="1">OFFSET('4学生课程目标达成度'!J$8,(ROW(G110)-3)*7,)</f>
        <v>0.81</v>
      </c>
      <c r="H110" s="6">
        <f ca="1">OFFSET('4学生课程目标达成度'!J$9,(ROW(H110)-3)*7,)</f>
        <v>0</v>
      </c>
      <c r="I110" s="6">
        <f ca="1">OFFSET('4学生课程目标达成度'!J$10,(ROW(I110)-3)*7,)</f>
        <v>0</v>
      </c>
      <c r="J110" s="6">
        <f ca="1">OFFSET('4学生课程目标达成度'!J$11,(ROW(J110)-3)*7,)</f>
        <v>0</v>
      </c>
      <c r="K110" s="6">
        <f ca="1">OFFSET('4学生课程目标达成度'!K$5,(ROW(K110)-3)*7,)</f>
        <v>0.79003431372549</v>
      </c>
      <c r="L110" s="11"/>
      <c r="M110" s="6">
        <f ca="1" t="shared" si="80"/>
        <v>0.820478723404255</v>
      </c>
      <c r="N110" s="6">
        <f ca="1" t="shared" si="81"/>
        <v>0.779905437352246</v>
      </c>
      <c r="O110" s="6">
        <f ca="1" t="shared" si="82"/>
        <v>0.559866499791406</v>
      </c>
      <c r="P110" s="6">
        <f ca="1" t="shared" si="83"/>
        <v>0.788014184397162</v>
      </c>
      <c r="Q110" s="6">
        <f ca="1" t="shared" si="84"/>
        <v>0</v>
      </c>
      <c r="R110" s="6">
        <f ca="1" t="shared" si="85"/>
        <v>0</v>
      </c>
      <c r="S110" s="6">
        <f ca="1" t="shared" si="86"/>
        <v>0</v>
      </c>
      <c r="T110" s="6">
        <f ca="1" t="shared" si="87"/>
        <v>0.718587314003615</v>
      </c>
      <c r="U110" s="11"/>
      <c r="V110" s="11">
        <v>0.65</v>
      </c>
    </row>
    <row r="111" spans="1:22">
      <c r="A111" s="3">
        <v>108</v>
      </c>
      <c r="B111" s="7" t="str">
        <f>'1课程考核方式及成绩组成'!D118</f>
        <v>220106133</v>
      </c>
      <c r="C111" s="8" t="str">
        <f>'1课程考核方式及成绩组成'!E118</f>
        <v>屈洪华</v>
      </c>
      <c r="D111" s="6">
        <f ca="1">OFFSET('4学生课程目标达成度'!J$5,(ROW(D111)-3)*7,)</f>
        <v>0.733333333333333</v>
      </c>
      <c r="E111" s="6">
        <f ca="1">OFFSET('4学生课程目标达成度'!J$6,(ROW(E111)-3)*7,)</f>
        <v>0.716666666666667</v>
      </c>
      <c r="F111" s="6">
        <f ca="1">OFFSET('4学生课程目标达成度'!J$7,(ROW(F111)-3)*7,)</f>
        <v>0.558823529411765</v>
      </c>
      <c r="G111" s="6">
        <f ca="1">OFFSET('4学生课程目标达成度'!J$8,(ROW(G111)-3)*7,)</f>
        <v>0.78</v>
      </c>
      <c r="H111" s="6">
        <f ca="1">OFFSET('4学生课程目标达成度'!J$9,(ROW(H111)-3)*7,)</f>
        <v>0</v>
      </c>
      <c r="I111" s="6">
        <f ca="1">OFFSET('4学生课程目标达成度'!J$10,(ROW(I111)-3)*7,)</f>
        <v>0</v>
      </c>
      <c r="J111" s="6">
        <f ca="1">OFFSET('4学生课程目标达成度'!J$11,(ROW(J111)-3)*7,)</f>
        <v>0</v>
      </c>
      <c r="K111" s="6">
        <f ca="1">OFFSET('4学生课程目标达成度'!K$5,(ROW(K111)-3)*7,)</f>
        <v>0.698705882352941</v>
      </c>
      <c r="L111" s="11"/>
      <c r="M111" s="6">
        <f ca="1" t="shared" si="80"/>
        <v>0.820478723404255</v>
      </c>
      <c r="N111" s="6">
        <f ca="1" t="shared" si="81"/>
        <v>0.779905437352246</v>
      </c>
      <c r="O111" s="6">
        <f ca="1" t="shared" si="82"/>
        <v>0.559866499791406</v>
      </c>
      <c r="P111" s="6">
        <f ca="1" t="shared" si="83"/>
        <v>0.788014184397162</v>
      </c>
      <c r="Q111" s="6">
        <f ca="1" t="shared" si="84"/>
        <v>0</v>
      </c>
      <c r="R111" s="6">
        <f ca="1" t="shared" si="85"/>
        <v>0</v>
      </c>
      <c r="S111" s="6">
        <f ca="1" t="shared" si="86"/>
        <v>0</v>
      </c>
      <c r="T111" s="6">
        <f ca="1" t="shared" si="87"/>
        <v>0.718587314003615</v>
      </c>
      <c r="U111" s="11"/>
      <c r="V111" s="11">
        <v>0.65</v>
      </c>
    </row>
    <row r="112" spans="1:22">
      <c r="A112" s="3">
        <v>109</v>
      </c>
      <c r="B112" s="7" t="str">
        <f>'1课程考核方式及成绩组成'!D119</f>
        <v>220106134</v>
      </c>
      <c r="C112" s="8" t="str">
        <f>'1课程考核方式及成绩组成'!E119</f>
        <v>魏松灵</v>
      </c>
      <c r="D112" s="6">
        <f ca="1">OFFSET('4学生课程目标达成度'!J$5,(ROW(D112)-3)*7,)</f>
        <v>0.758333333333333</v>
      </c>
      <c r="E112" s="6">
        <f ca="1">OFFSET('4学生课程目标达成度'!J$6,(ROW(E112)-3)*7,)</f>
        <v>0.725</v>
      </c>
      <c r="F112" s="6">
        <f ca="1">OFFSET('4学生课程目标达成度'!J$7,(ROW(F112)-3)*7,)</f>
        <v>0.470588235294118</v>
      </c>
      <c r="G112" s="6">
        <f ca="1">OFFSET('4学生课程目标达成度'!J$8,(ROW(G112)-3)*7,)</f>
        <v>0.8</v>
      </c>
      <c r="H112" s="6">
        <f ca="1">OFFSET('4学生课程目标达成度'!J$9,(ROW(H112)-3)*7,)</f>
        <v>0</v>
      </c>
      <c r="I112" s="6">
        <f ca="1">OFFSET('4学生课程目标达成度'!J$10,(ROW(I112)-3)*7,)</f>
        <v>0</v>
      </c>
      <c r="J112" s="6">
        <f ca="1">OFFSET('4学生课程目标达成度'!J$11,(ROW(J112)-3)*7,)</f>
        <v>0</v>
      </c>
      <c r="K112" s="6">
        <f ca="1">OFFSET('4学生课程目标达成度'!K$5,(ROW(K112)-3)*7,)</f>
        <v>0.688897058823529</v>
      </c>
      <c r="L112" s="11"/>
      <c r="M112" s="6">
        <f ca="1" t="shared" si="80"/>
        <v>0.820478723404255</v>
      </c>
      <c r="N112" s="6">
        <f ca="1" t="shared" si="81"/>
        <v>0.779905437352246</v>
      </c>
      <c r="O112" s="6">
        <f ca="1" t="shared" si="82"/>
        <v>0.559866499791406</v>
      </c>
      <c r="P112" s="6">
        <f ca="1" t="shared" si="83"/>
        <v>0.788014184397162</v>
      </c>
      <c r="Q112" s="6">
        <f ca="1" t="shared" si="84"/>
        <v>0</v>
      </c>
      <c r="R112" s="6">
        <f ca="1" t="shared" si="85"/>
        <v>0</v>
      </c>
      <c r="S112" s="6">
        <f ca="1" t="shared" si="86"/>
        <v>0</v>
      </c>
      <c r="T112" s="6">
        <f ca="1" t="shared" si="87"/>
        <v>0.718587314003615</v>
      </c>
      <c r="U112" s="11"/>
      <c r="V112" s="11">
        <v>0.65</v>
      </c>
    </row>
    <row r="113" spans="1:22">
      <c r="A113" s="3">
        <v>110</v>
      </c>
      <c r="B113" s="7" t="str">
        <f>'1课程考核方式及成绩组成'!D120</f>
        <v>220106135</v>
      </c>
      <c r="C113" s="8" t="str">
        <f>'1课程考核方式及成绩组成'!E120</f>
        <v>孙茂银</v>
      </c>
      <c r="D113" s="6">
        <f ca="1">OFFSET('4学生课程目标达成度'!J$5,(ROW(D113)-3)*7,)</f>
        <v>0.841666666666667</v>
      </c>
      <c r="E113" s="6">
        <f ca="1">OFFSET('4学生课程目标达成度'!J$6,(ROW(E113)-3)*7,)</f>
        <v>0.741666666666667</v>
      </c>
      <c r="F113" s="6">
        <f ca="1">OFFSET('4学生课程目标达成度'!J$7,(ROW(F113)-3)*7,)</f>
        <v>0.441176470588235</v>
      </c>
      <c r="G113" s="6">
        <f ca="1">OFFSET('4学生课程目标达成度'!J$8,(ROW(G113)-3)*7,)</f>
        <v>0.82</v>
      </c>
      <c r="H113" s="6">
        <f ca="1">OFFSET('4学生课程目标达成度'!J$9,(ROW(H113)-3)*7,)</f>
        <v>0</v>
      </c>
      <c r="I113" s="6">
        <f ca="1">OFFSET('4学生课程目标达成度'!J$10,(ROW(I113)-3)*7,)</f>
        <v>0</v>
      </c>
      <c r="J113" s="6">
        <f ca="1">OFFSET('4学生课程目标达成度'!J$11,(ROW(J113)-3)*7,)</f>
        <v>0</v>
      </c>
      <c r="K113" s="6">
        <f ca="1">OFFSET('4学生课程目标达成度'!K$5,(ROW(K113)-3)*7,)</f>
        <v>0.705044117647059</v>
      </c>
      <c r="L113" s="11"/>
      <c r="M113" s="6">
        <f ca="1" t="shared" ref="M113:M122" si="88">$D$2</f>
        <v>0.820478723404255</v>
      </c>
      <c r="N113" s="6">
        <f ca="1" t="shared" ref="N113:N122" si="89">$E$2</f>
        <v>0.779905437352246</v>
      </c>
      <c r="O113" s="6">
        <f ca="1" t="shared" ref="O113:O122" si="90">$F$2</f>
        <v>0.559866499791406</v>
      </c>
      <c r="P113" s="6">
        <f ca="1" t="shared" ref="P113:P122" si="91">$G$2</f>
        <v>0.788014184397162</v>
      </c>
      <c r="Q113" s="6">
        <f ca="1" t="shared" ref="Q113:Q122" si="92">$H$2</f>
        <v>0</v>
      </c>
      <c r="R113" s="6">
        <f ca="1" t="shared" ref="R113:R122" si="93">$I$2</f>
        <v>0</v>
      </c>
      <c r="S113" s="6">
        <f ca="1" t="shared" ref="S113:S122" si="94">$J$2</f>
        <v>0</v>
      </c>
      <c r="T113" s="6">
        <f ca="1" t="shared" ref="T113:T122" si="95">$K$2</f>
        <v>0.718587314003615</v>
      </c>
      <c r="U113" s="11"/>
      <c r="V113" s="11">
        <v>0.65</v>
      </c>
    </row>
    <row r="114" spans="1:22">
      <c r="A114" s="3">
        <v>111</v>
      </c>
      <c r="B114" s="7" t="str">
        <f>'1课程考核方式及成绩组成'!D121</f>
        <v>220106136</v>
      </c>
      <c r="C114" s="8" t="str">
        <f>'1课程考核方式及成绩组成'!E121</f>
        <v>钟凯</v>
      </c>
      <c r="D114" s="6">
        <f ca="1">OFFSET('4学生课程目标达成度'!J$5,(ROW(D114)-3)*7,)</f>
        <v>0.881944444444444</v>
      </c>
      <c r="E114" s="6">
        <f ca="1">OFFSET('4学生课程目标达成度'!J$6,(ROW(E114)-3)*7,)</f>
        <v>0.875</v>
      </c>
      <c r="F114" s="6">
        <f ca="1">OFFSET('4学生课程目标达成度'!J$7,(ROW(F114)-3)*7,)</f>
        <v>0.647058823529412</v>
      </c>
      <c r="G114" s="6">
        <f ca="1">OFFSET('4学生课程目标达成度'!J$8,(ROW(G114)-3)*7,)</f>
        <v>0.88</v>
      </c>
      <c r="H114" s="6">
        <f ca="1">OFFSET('4学生课程目标达成度'!J$9,(ROW(H114)-3)*7,)</f>
        <v>0</v>
      </c>
      <c r="I114" s="6">
        <f ca="1">OFFSET('4学生课程目标达成度'!J$10,(ROW(I114)-3)*7,)</f>
        <v>0</v>
      </c>
      <c r="J114" s="6">
        <f ca="1">OFFSET('4学生课程目标达成度'!J$11,(ROW(J114)-3)*7,)</f>
        <v>0</v>
      </c>
      <c r="K114" s="6">
        <f ca="1">OFFSET('4学生课程目标达成度'!K$5,(ROW(K114)-3)*7,)</f>
        <v>0.82055637254902</v>
      </c>
      <c r="L114" s="11"/>
      <c r="M114" s="6">
        <f ca="1" t="shared" si="88"/>
        <v>0.820478723404255</v>
      </c>
      <c r="N114" s="6">
        <f ca="1" t="shared" si="89"/>
        <v>0.779905437352246</v>
      </c>
      <c r="O114" s="6">
        <f ca="1" t="shared" si="90"/>
        <v>0.559866499791406</v>
      </c>
      <c r="P114" s="6">
        <f ca="1" t="shared" si="91"/>
        <v>0.788014184397162</v>
      </c>
      <c r="Q114" s="6">
        <f ca="1" t="shared" si="92"/>
        <v>0</v>
      </c>
      <c r="R114" s="6">
        <f ca="1" t="shared" si="93"/>
        <v>0</v>
      </c>
      <c r="S114" s="6">
        <f ca="1" t="shared" si="94"/>
        <v>0</v>
      </c>
      <c r="T114" s="6">
        <f ca="1" t="shared" si="95"/>
        <v>0.718587314003615</v>
      </c>
      <c r="U114" s="11"/>
      <c r="V114" s="11">
        <v>0.65</v>
      </c>
    </row>
    <row r="115" spans="1:22">
      <c r="A115" s="3">
        <v>112</v>
      </c>
      <c r="B115" s="7" t="str">
        <f>'1课程考核方式及成绩组成'!D122</f>
        <v>220106137</v>
      </c>
      <c r="C115" s="8" t="str">
        <f>'1课程考核方式及成绩组成'!E122</f>
        <v>龚代亿</v>
      </c>
      <c r="D115" s="6">
        <f ca="1">OFFSET('4学生课程目标达成度'!J$5,(ROW(D115)-3)*7,)</f>
        <v>0.730555555555556</v>
      </c>
      <c r="E115" s="6">
        <f ca="1">OFFSET('4学生课程目标达成度'!J$6,(ROW(E115)-3)*7,)</f>
        <v>0.741666666666667</v>
      </c>
      <c r="F115" s="6">
        <f ca="1">OFFSET('4学生课程目标达成度'!J$7,(ROW(F115)-3)*7,)</f>
        <v>0.558823529411765</v>
      </c>
      <c r="G115" s="6">
        <f ca="1">OFFSET('4学生课程目标达成度'!J$8,(ROW(G115)-3)*7,)</f>
        <v>0.77</v>
      </c>
      <c r="H115" s="6">
        <f ca="1">OFFSET('4学生课程目标达成度'!J$9,(ROW(H115)-3)*7,)</f>
        <v>0</v>
      </c>
      <c r="I115" s="6">
        <f ca="1">OFFSET('4学生课程目标达成度'!J$10,(ROW(I115)-3)*7,)</f>
        <v>0</v>
      </c>
      <c r="J115" s="6">
        <f ca="1">OFFSET('4学生课程目标达成度'!J$11,(ROW(J115)-3)*7,)</f>
        <v>0</v>
      </c>
      <c r="K115" s="6">
        <f ca="1">OFFSET('4学生课程目标达成度'!K$5,(ROW(K115)-3)*7,)</f>
        <v>0.702789215686275</v>
      </c>
      <c r="L115" s="11"/>
      <c r="M115" s="6">
        <f ca="1" t="shared" si="88"/>
        <v>0.820478723404255</v>
      </c>
      <c r="N115" s="6">
        <f ca="1" t="shared" si="89"/>
        <v>0.779905437352246</v>
      </c>
      <c r="O115" s="6">
        <f ca="1" t="shared" si="90"/>
        <v>0.559866499791406</v>
      </c>
      <c r="P115" s="6">
        <f ca="1" t="shared" si="91"/>
        <v>0.788014184397162</v>
      </c>
      <c r="Q115" s="6">
        <f ca="1" t="shared" si="92"/>
        <v>0</v>
      </c>
      <c r="R115" s="6">
        <f ca="1" t="shared" si="93"/>
        <v>0</v>
      </c>
      <c r="S115" s="6">
        <f ca="1" t="shared" si="94"/>
        <v>0</v>
      </c>
      <c r="T115" s="6">
        <f ca="1" t="shared" si="95"/>
        <v>0.718587314003615</v>
      </c>
      <c r="U115" s="11"/>
      <c r="V115" s="11">
        <v>0.65</v>
      </c>
    </row>
    <row r="116" spans="1:22">
      <c r="A116" s="3">
        <v>113</v>
      </c>
      <c r="B116" s="7" t="str">
        <f>'1课程考核方式及成绩组成'!D123</f>
        <v>220106138</v>
      </c>
      <c r="C116" s="8" t="str">
        <f>'1课程考核方式及成绩组成'!E123</f>
        <v>陈子俊</v>
      </c>
      <c r="D116" s="6">
        <f ca="1">OFFSET('4学生课程目标达成度'!J$5,(ROW(D116)-3)*7,)</f>
        <v>0.566666666666667</v>
      </c>
      <c r="E116" s="6">
        <f ca="1">OFFSET('4学生课程目标达成度'!J$6,(ROW(E116)-3)*7,)</f>
        <v>0.75</v>
      </c>
      <c r="F116" s="6">
        <f ca="1">OFFSET('4学生课程目标达成度'!J$7,(ROW(F116)-3)*7,)</f>
        <v>0.470588235294118</v>
      </c>
      <c r="G116" s="6">
        <f ca="1">OFFSET('4学生课程目标达成度'!J$8,(ROW(G116)-3)*7,)</f>
        <v>0.77</v>
      </c>
      <c r="H116" s="6">
        <f ca="1">OFFSET('4学生课程目标达成度'!J$9,(ROW(H116)-3)*7,)</f>
        <v>0</v>
      </c>
      <c r="I116" s="6">
        <f ca="1">OFFSET('4学生课程目标达成度'!J$10,(ROW(I116)-3)*7,)</f>
        <v>0</v>
      </c>
      <c r="J116" s="6">
        <f ca="1">OFFSET('4学生课程目标达成度'!J$11,(ROW(J116)-3)*7,)</f>
        <v>0</v>
      </c>
      <c r="K116" s="6">
        <f ca="1">OFFSET('4学生课程目标达成度'!K$5,(ROW(K116)-3)*7,)</f>
        <v>0.658647058823529</v>
      </c>
      <c r="L116" s="11"/>
      <c r="M116" s="6">
        <f ca="1" t="shared" si="88"/>
        <v>0.820478723404255</v>
      </c>
      <c r="N116" s="6">
        <f ca="1" t="shared" si="89"/>
        <v>0.779905437352246</v>
      </c>
      <c r="O116" s="6">
        <f ca="1" t="shared" si="90"/>
        <v>0.559866499791406</v>
      </c>
      <c r="P116" s="6">
        <f ca="1" t="shared" si="91"/>
        <v>0.788014184397162</v>
      </c>
      <c r="Q116" s="6">
        <f ca="1" t="shared" si="92"/>
        <v>0</v>
      </c>
      <c r="R116" s="6">
        <f ca="1" t="shared" si="93"/>
        <v>0</v>
      </c>
      <c r="S116" s="6">
        <f ca="1" t="shared" si="94"/>
        <v>0</v>
      </c>
      <c r="T116" s="6">
        <f ca="1" t="shared" si="95"/>
        <v>0.718587314003615</v>
      </c>
      <c r="U116" s="11"/>
      <c r="V116" s="11">
        <v>0.65</v>
      </c>
    </row>
    <row r="117" spans="1:22">
      <c r="A117" s="3">
        <v>114</v>
      </c>
      <c r="B117" s="7" t="str">
        <f>'1课程考核方式及成绩组成'!D124</f>
        <v>220106139</v>
      </c>
      <c r="C117" s="8" t="str">
        <f>'1课程考核方式及成绩组成'!E124</f>
        <v>杨鑫萍</v>
      </c>
      <c r="D117" s="6">
        <f ca="1">OFFSET('4学生课程目标达成度'!J$5,(ROW(D117)-3)*7,)</f>
        <v>0.841666666666667</v>
      </c>
      <c r="E117" s="6">
        <f ca="1">OFFSET('4学生课程目标达成度'!J$6,(ROW(E117)-3)*7,)</f>
        <v>0.858333333333333</v>
      </c>
      <c r="F117" s="6">
        <f ca="1">OFFSET('4学生课程目标达成度'!J$7,(ROW(F117)-3)*7,)</f>
        <v>0.617647058823529</v>
      </c>
      <c r="G117" s="6">
        <f ca="1">OFFSET('4学生课程目标达成度'!J$8,(ROW(G117)-3)*7,)</f>
        <v>0.83</v>
      </c>
      <c r="H117" s="6">
        <f ca="1">OFFSET('4学生课程目标达成度'!J$9,(ROW(H117)-3)*7,)</f>
        <v>0</v>
      </c>
      <c r="I117" s="6">
        <f ca="1">OFFSET('4学生课程目标达成度'!J$10,(ROW(I117)-3)*7,)</f>
        <v>0</v>
      </c>
      <c r="J117" s="6">
        <f ca="1">OFFSET('4学生课程目标达成度'!J$11,(ROW(J117)-3)*7,)</f>
        <v>0</v>
      </c>
      <c r="K117" s="6">
        <f ca="1">OFFSET('4学生课程目标达成度'!K$5,(ROW(K117)-3)*7,)</f>
        <v>0.787161764705882</v>
      </c>
      <c r="L117" s="11"/>
      <c r="M117" s="6">
        <f ca="1" t="shared" si="88"/>
        <v>0.820478723404255</v>
      </c>
      <c r="N117" s="6">
        <f ca="1" t="shared" si="89"/>
        <v>0.779905437352246</v>
      </c>
      <c r="O117" s="6">
        <f ca="1" t="shared" si="90"/>
        <v>0.559866499791406</v>
      </c>
      <c r="P117" s="6">
        <f ca="1" t="shared" si="91"/>
        <v>0.788014184397162</v>
      </c>
      <c r="Q117" s="6">
        <f ca="1" t="shared" si="92"/>
        <v>0</v>
      </c>
      <c r="R117" s="6">
        <f ca="1" t="shared" si="93"/>
        <v>0</v>
      </c>
      <c r="S117" s="6">
        <f ca="1" t="shared" si="94"/>
        <v>0</v>
      </c>
      <c r="T117" s="6">
        <f ca="1" t="shared" si="95"/>
        <v>0.718587314003615</v>
      </c>
      <c r="U117" s="11"/>
      <c r="V117" s="11">
        <v>0.65</v>
      </c>
    </row>
    <row r="118" spans="1:22">
      <c r="A118" s="3">
        <v>115</v>
      </c>
      <c r="B118" s="7" t="str">
        <f>'1课程考核方式及成绩组成'!D125</f>
        <v>220106140</v>
      </c>
      <c r="C118" s="8" t="str">
        <f>'1课程考核方式及成绩组成'!E125</f>
        <v>刘天祥</v>
      </c>
      <c r="D118" s="6">
        <f ca="1">OFFSET('4学生课程目标达成度'!J$5,(ROW(D118)-3)*7,)</f>
        <v>0.761111111111111</v>
      </c>
      <c r="E118" s="6">
        <f ca="1">OFFSET('4学生课程目标达成度'!J$6,(ROW(E118)-3)*7,)</f>
        <v>0.666666666666667</v>
      </c>
      <c r="F118" s="6">
        <f ca="1">OFFSET('4学生课程目标达成度'!J$7,(ROW(F118)-3)*7,)</f>
        <v>0.411764705882353</v>
      </c>
      <c r="G118" s="6">
        <f ca="1">OFFSET('4学生课程目标达成度'!J$8,(ROW(G118)-3)*7,)</f>
        <v>0.78</v>
      </c>
      <c r="H118" s="6">
        <f ca="1">OFFSET('4学生课程目标达成度'!J$9,(ROW(H118)-3)*7,)</f>
        <v>0</v>
      </c>
      <c r="I118" s="6">
        <f ca="1">OFFSET('4学生课程目标达成度'!J$10,(ROW(I118)-3)*7,)</f>
        <v>0</v>
      </c>
      <c r="J118" s="6">
        <f ca="1">OFFSET('4学生课程目标达成度'!J$11,(ROW(J118)-3)*7,)</f>
        <v>0</v>
      </c>
      <c r="K118" s="6">
        <f ca="1">OFFSET('4学生课程目标达成度'!K$5,(ROW(K118)-3)*7,)</f>
        <v>0.651107843137255</v>
      </c>
      <c r="L118" s="11"/>
      <c r="M118" s="6">
        <f ca="1" t="shared" si="88"/>
        <v>0.820478723404255</v>
      </c>
      <c r="N118" s="6">
        <f ca="1" t="shared" si="89"/>
        <v>0.779905437352246</v>
      </c>
      <c r="O118" s="6">
        <f ca="1" t="shared" si="90"/>
        <v>0.559866499791406</v>
      </c>
      <c r="P118" s="6">
        <f ca="1" t="shared" si="91"/>
        <v>0.788014184397162</v>
      </c>
      <c r="Q118" s="6">
        <f ca="1" t="shared" si="92"/>
        <v>0</v>
      </c>
      <c r="R118" s="6">
        <f ca="1" t="shared" si="93"/>
        <v>0</v>
      </c>
      <c r="S118" s="6">
        <f ca="1" t="shared" si="94"/>
        <v>0</v>
      </c>
      <c r="T118" s="6">
        <f ca="1" t="shared" si="95"/>
        <v>0.718587314003615</v>
      </c>
      <c r="U118" s="11"/>
      <c r="V118" s="11">
        <v>0.65</v>
      </c>
    </row>
    <row r="119" spans="1:22">
      <c r="A119" s="3">
        <v>116</v>
      </c>
      <c r="B119" s="7" t="str">
        <f>'1课程考核方式及成绩组成'!D126</f>
        <v>220106141</v>
      </c>
      <c r="C119" s="8" t="str">
        <f>'1课程考核方式及成绩组成'!E126</f>
        <v>王俊力</v>
      </c>
      <c r="D119" s="6">
        <f ca="1">OFFSET('4学生课程目标达成度'!J$5,(ROW(D119)-3)*7,)</f>
        <v>0.801388888888889</v>
      </c>
      <c r="E119" s="6">
        <f ca="1">OFFSET('4学生课程目标达成度'!J$6,(ROW(E119)-3)*7,)</f>
        <v>0.641666666666667</v>
      </c>
      <c r="F119" s="6">
        <f ca="1">OFFSET('4学生课程目标达成度'!J$7,(ROW(F119)-3)*7,)</f>
        <v>0.529411764705882</v>
      </c>
      <c r="G119" s="6">
        <f ca="1">OFFSET('4学生课程目标达成度'!J$8,(ROW(G119)-3)*7,)</f>
        <v>0.7</v>
      </c>
      <c r="H119" s="6">
        <f ca="1">OFFSET('4学生课程目标达成度'!J$9,(ROW(H119)-3)*7,)</f>
        <v>0</v>
      </c>
      <c r="I119" s="6">
        <f ca="1">OFFSET('4学生课程目标达成度'!J$10,(ROW(I119)-3)*7,)</f>
        <v>0</v>
      </c>
      <c r="J119" s="6">
        <f ca="1">OFFSET('4学生课程目标达成度'!J$11,(ROW(J119)-3)*7,)</f>
        <v>0</v>
      </c>
      <c r="K119" s="6">
        <f ca="1">OFFSET('4学生课程目标达成度'!K$5,(ROW(K119)-3)*7,)</f>
        <v>0.655061274509804</v>
      </c>
      <c r="L119" s="11"/>
      <c r="M119" s="6">
        <f ca="1" t="shared" si="88"/>
        <v>0.820478723404255</v>
      </c>
      <c r="N119" s="6">
        <f ca="1" t="shared" si="89"/>
        <v>0.779905437352246</v>
      </c>
      <c r="O119" s="6">
        <f ca="1" t="shared" si="90"/>
        <v>0.559866499791406</v>
      </c>
      <c r="P119" s="6">
        <f ca="1" t="shared" si="91"/>
        <v>0.788014184397162</v>
      </c>
      <c r="Q119" s="6">
        <f ca="1" t="shared" si="92"/>
        <v>0</v>
      </c>
      <c r="R119" s="6">
        <f ca="1" t="shared" si="93"/>
        <v>0</v>
      </c>
      <c r="S119" s="6">
        <f ca="1" t="shared" si="94"/>
        <v>0</v>
      </c>
      <c r="T119" s="6">
        <f ca="1" t="shared" si="95"/>
        <v>0.718587314003615</v>
      </c>
      <c r="U119" s="11"/>
      <c r="V119" s="11">
        <v>0.65</v>
      </c>
    </row>
    <row r="120" spans="1:22">
      <c r="A120" s="3">
        <v>117</v>
      </c>
      <c r="B120" s="7" t="str">
        <f>'1课程考核方式及成绩组成'!D127</f>
        <v>220106142</v>
      </c>
      <c r="C120" s="8" t="str">
        <f>'1课程考核方式及成绩组成'!E127</f>
        <v>张昊洋</v>
      </c>
      <c r="D120" s="6">
        <f ca="1">OFFSET('4学生课程目标达成度'!J$5,(ROW(D120)-3)*7,)</f>
        <v>0.826388888888889</v>
      </c>
      <c r="E120" s="6">
        <f ca="1">OFFSET('4学生课程目标达成度'!J$6,(ROW(E120)-3)*7,)</f>
        <v>0.858333333333333</v>
      </c>
      <c r="F120" s="6">
        <f ca="1">OFFSET('4学生课程目标达成度'!J$7,(ROW(F120)-3)*7,)</f>
        <v>0.735294117647059</v>
      </c>
      <c r="G120" s="6">
        <f ca="1">OFFSET('4学生课程目标达成度'!J$8,(ROW(G120)-3)*7,)</f>
        <v>0.85</v>
      </c>
      <c r="H120" s="6">
        <f ca="1">OFFSET('4学生课程目标达成度'!J$9,(ROW(H120)-3)*7,)</f>
        <v>0</v>
      </c>
      <c r="I120" s="6">
        <f ca="1">OFFSET('4学生课程目标达成度'!J$10,(ROW(I120)-3)*7,)</f>
        <v>0</v>
      </c>
      <c r="J120" s="6">
        <f ca="1">OFFSET('4学生课程目标达成度'!J$11,(ROW(J120)-3)*7,)</f>
        <v>0</v>
      </c>
      <c r="K120" s="6">
        <f ca="1">OFFSET('4学生课程目标达成度'!K$5,(ROW(K120)-3)*7,)</f>
        <v>0.820281862745098</v>
      </c>
      <c r="L120" s="11"/>
      <c r="M120" s="6">
        <f ca="1" t="shared" si="88"/>
        <v>0.820478723404255</v>
      </c>
      <c r="N120" s="6">
        <f ca="1" t="shared" si="89"/>
        <v>0.779905437352246</v>
      </c>
      <c r="O120" s="6">
        <f ca="1" t="shared" si="90"/>
        <v>0.559866499791406</v>
      </c>
      <c r="P120" s="6">
        <f ca="1" t="shared" si="91"/>
        <v>0.788014184397162</v>
      </c>
      <c r="Q120" s="6">
        <f ca="1" t="shared" si="92"/>
        <v>0</v>
      </c>
      <c r="R120" s="6">
        <f ca="1" t="shared" si="93"/>
        <v>0</v>
      </c>
      <c r="S120" s="6">
        <f ca="1" t="shared" si="94"/>
        <v>0</v>
      </c>
      <c r="T120" s="6">
        <f ca="1" t="shared" si="95"/>
        <v>0.718587314003615</v>
      </c>
      <c r="U120" s="11"/>
      <c r="V120" s="11">
        <v>0.65</v>
      </c>
    </row>
    <row r="121" spans="1:22">
      <c r="A121" s="3">
        <v>118</v>
      </c>
      <c r="B121" s="7" t="str">
        <f>'1课程考核方式及成绩组成'!D128</f>
        <v>220106144</v>
      </c>
      <c r="C121" s="8" t="str">
        <f>'1课程考核方式及成绩组成'!E128</f>
        <v>黄智</v>
      </c>
      <c r="D121" s="6">
        <f ca="1">OFFSET('4学生课程目标达成度'!J$5,(ROW(D121)-3)*7,)</f>
        <v>0.788888888888889</v>
      </c>
      <c r="E121" s="6">
        <f ca="1">OFFSET('4学生课程目标达成度'!J$6,(ROW(E121)-3)*7,)</f>
        <v>0.783333333333333</v>
      </c>
      <c r="F121" s="6">
        <f ca="1">OFFSET('4学生课程目标达成度'!J$7,(ROW(F121)-3)*7,)</f>
        <v>0.529411764705882</v>
      </c>
      <c r="G121" s="6">
        <f ca="1">OFFSET('4学生课程目标达成度'!J$8,(ROW(G121)-3)*7,)</f>
        <v>0.78</v>
      </c>
      <c r="H121" s="6">
        <f ca="1">OFFSET('4学生课程目标达成度'!J$9,(ROW(H121)-3)*7,)</f>
        <v>0</v>
      </c>
      <c r="I121" s="6">
        <f ca="1">OFFSET('4学生课程目标达成度'!J$10,(ROW(I121)-3)*7,)</f>
        <v>0</v>
      </c>
      <c r="J121" s="6">
        <f ca="1">OFFSET('4学生课程目标达成度'!J$11,(ROW(J121)-3)*7,)</f>
        <v>0</v>
      </c>
      <c r="K121" s="6">
        <f ca="1">OFFSET('4学生课程目标达成度'!K$5,(ROW(K121)-3)*7,)</f>
        <v>0.719686274509804</v>
      </c>
      <c r="L121" s="11"/>
      <c r="M121" s="6">
        <f ca="1" t="shared" si="88"/>
        <v>0.820478723404255</v>
      </c>
      <c r="N121" s="6">
        <f ca="1" t="shared" si="89"/>
        <v>0.779905437352246</v>
      </c>
      <c r="O121" s="6">
        <f ca="1" t="shared" si="90"/>
        <v>0.559866499791406</v>
      </c>
      <c r="P121" s="6">
        <f ca="1" t="shared" si="91"/>
        <v>0.788014184397162</v>
      </c>
      <c r="Q121" s="6">
        <f ca="1" t="shared" si="92"/>
        <v>0</v>
      </c>
      <c r="R121" s="6">
        <f ca="1" t="shared" si="93"/>
        <v>0</v>
      </c>
      <c r="S121" s="6">
        <f ca="1" t="shared" si="94"/>
        <v>0</v>
      </c>
      <c r="T121" s="6">
        <f ca="1" t="shared" si="95"/>
        <v>0.718587314003615</v>
      </c>
      <c r="U121" s="11"/>
      <c r="V121" s="11">
        <v>0.65</v>
      </c>
    </row>
    <row r="122" spans="1:22">
      <c r="A122" s="3">
        <v>119</v>
      </c>
      <c r="B122" s="7" t="str">
        <f>'1课程考核方式及成绩组成'!D129</f>
        <v>220106145</v>
      </c>
      <c r="C122" s="8" t="str">
        <f>'1课程考核方式及成绩组成'!E129</f>
        <v>刘文彬</v>
      </c>
      <c r="D122" s="6">
        <f ca="1">OFFSET('4学生课程目标达成度'!J$5,(ROW(D122)-3)*7,)</f>
        <v>0.884722222222222</v>
      </c>
      <c r="E122" s="6">
        <f ca="1">OFFSET('4学生课程目标达成度'!J$6,(ROW(E122)-3)*7,)</f>
        <v>0.766666666666667</v>
      </c>
      <c r="F122" s="6">
        <f ca="1">OFFSET('4学生课程目标达成度'!J$7,(ROW(F122)-3)*7,)</f>
        <v>0.735294117647059</v>
      </c>
      <c r="G122" s="6">
        <f ca="1">OFFSET('4学生课程目标达成度'!J$8,(ROW(G122)-3)*7,)</f>
        <v>0.83</v>
      </c>
      <c r="H122" s="6">
        <f ca="1">OFFSET('4学生课程目标达成度'!J$9,(ROW(H122)-3)*7,)</f>
        <v>0</v>
      </c>
      <c r="I122" s="6">
        <f ca="1">OFFSET('4学生课程目标达成度'!J$10,(ROW(I122)-3)*7,)</f>
        <v>0</v>
      </c>
      <c r="J122" s="6">
        <f ca="1">OFFSET('4学生课程目标达成度'!J$11,(ROW(J122)-3)*7,)</f>
        <v>0</v>
      </c>
      <c r="K122" s="6">
        <f ca="1">OFFSET('4学生课程目标达成度'!K$5,(ROW(K122)-3)*7,)</f>
        <v>0.795531862745098</v>
      </c>
      <c r="L122" s="11"/>
      <c r="M122" s="6">
        <f ca="1" t="shared" si="88"/>
        <v>0.820478723404255</v>
      </c>
      <c r="N122" s="6">
        <f ca="1" t="shared" si="89"/>
        <v>0.779905437352246</v>
      </c>
      <c r="O122" s="6">
        <f ca="1" t="shared" si="90"/>
        <v>0.559866499791406</v>
      </c>
      <c r="P122" s="6">
        <f ca="1" t="shared" si="91"/>
        <v>0.788014184397162</v>
      </c>
      <c r="Q122" s="6">
        <f ca="1" t="shared" si="92"/>
        <v>0</v>
      </c>
      <c r="R122" s="6">
        <f ca="1" t="shared" si="93"/>
        <v>0</v>
      </c>
      <c r="S122" s="6">
        <f ca="1" t="shared" si="94"/>
        <v>0</v>
      </c>
      <c r="T122" s="6">
        <f ca="1" t="shared" si="95"/>
        <v>0.718587314003615</v>
      </c>
      <c r="U122" s="11"/>
      <c r="V122" s="11">
        <v>0.65</v>
      </c>
    </row>
    <row r="123" spans="1:22">
      <c r="A123" s="3">
        <v>120</v>
      </c>
      <c r="B123" s="7" t="str">
        <f>'1课程考核方式及成绩组成'!D130</f>
        <v>220106146</v>
      </c>
      <c r="C123" s="8" t="str">
        <f>'1课程考核方式及成绩组成'!E130</f>
        <v>张小萍</v>
      </c>
      <c r="D123" s="6">
        <f ca="1">OFFSET('4学生课程目标达成度'!J$5,(ROW(D123)-3)*7,)</f>
        <v>0.788888888888889</v>
      </c>
      <c r="E123" s="6">
        <f ca="1">OFFSET('4学生课程目标达成度'!J$6,(ROW(E123)-3)*7,)</f>
        <v>0.85</v>
      </c>
      <c r="F123" s="6">
        <f ca="1">OFFSET('4学生课程目标达成度'!J$7,(ROW(F123)-3)*7,)</f>
        <v>0.647058823529412</v>
      </c>
      <c r="G123" s="6">
        <f ca="1">OFFSET('4学生课程目标达成度'!J$8,(ROW(G123)-3)*7,)</f>
        <v>0.84</v>
      </c>
      <c r="H123" s="6">
        <f ca="1">OFFSET('4学生课程目标达成度'!J$9,(ROW(H123)-3)*7,)</f>
        <v>0</v>
      </c>
      <c r="I123" s="6">
        <f ca="1">OFFSET('4学生课程目标达成度'!J$10,(ROW(I123)-3)*7,)</f>
        <v>0</v>
      </c>
      <c r="J123" s="6">
        <f ca="1">OFFSET('4学生课程目标达成度'!J$11,(ROW(J123)-3)*7,)</f>
        <v>0</v>
      </c>
      <c r="K123" s="6">
        <f ca="1">OFFSET('4学生课程目标达成度'!K$5,(ROW(K123)-3)*7,)</f>
        <v>0.787098039215686</v>
      </c>
      <c r="L123" s="11"/>
      <c r="M123" s="6">
        <f ca="1" t="shared" ref="M123:M132" si="96">$D$2</f>
        <v>0.820478723404255</v>
      </c>
      <c r="N123" s="6">
        <f ca="1" t="shared" ref="N123:N132" si="97">$E$2</f>
        <v>0.779905437352246</v>
      </c>
      <c r="O123" s="6">
        <f ca="1" t="shared" ref="O123:O132" si="98">$F$2</f>
        <v>0.559866499791406</v>
      </c>
      <c r="P123" s="6">
        <f ca="1" t="shared" ref="P123:P132" si="99">$G$2</f>
        <v>0.788014184397162</v>
      </c>
      <c r="Q123" s="6">
        <f ca="1" t="shared" ref="Q123:Q132" si="100">$H$2</f>
        <v>0</v>
      </c>
      <c r="R123" s="6">
        <f ca="1" t="shared" ref="R123:R132" si="101">$I$2</f>
        <v>0</v>
      </c>
      <c r="S123" s="6">
        <f ca="1" t="shared" ref="S123:S132" si="102">$J$2</f>
        <v>0</v>
      </c>
      <c r="T123" s="6">
        <f ca="1" t="shared" ref="T123:T132" si="103">$K$2</f>
        <v>0.718587314003615</v>
      </c>
      <c r="U123" s="11"/>
      <c r="V123" s="11">
        <v>0.65</v>
      </c>
    </row>
    <row r="124" spans="1:22">
      <c r="A124" s="3">
        <v>121</v>
      </c>
      <c r="B124" s="7" t="str">
        <f>'1课程考核方式及成绩组成'!D131</f>
        <v>220106147</v>
      </c>
      <c r="C124" s="8" t="str">
        <f>'1课程考核方式及成绩组成'!E131</f>
        <v>贾世宏</v>
      </c>
      <c r="D124" s="6">
        <f ca="1">OFFSET('4学生课程目标达成度'!J$5,(ROW(D124)-3)*7,)</f>
        <v>0.816666666666667</v>
      </c>
      <c r="E124" s="6">
        <f ca="1">OFFSET('4学生课程目标达成度'!J$6,(ROW(E124)-3)*7,)</f>
        <v>0.716666666666667</v>
      </c>
      <c r="F124" s="6">
        <f ca="1">OFFSET('4学生课程目标达成度'!J$7,(ROW(F124)-3)*7,)</f>
        <v>0.617647058823529</v>
      </c>
      <c r="G124" s="6">
        <f ca="1">OFFSET('4学生课程目标达成度'!J$8,(ROW(G124)-3)*7,)</f>
        <v>0.89</v>
      </c>
      <c r="H124" s="6">
        <f ca="1">OFFSET('4学生课程目标达成度'!J$9,(ROW(H124)-3)*7,)</f>
        <v>0</v>
      </c>
      <c r="I124" s="6">
        <f ca="1">OFFSET('4学生课程目标达成度'!J$10,(ROW(I124)-3)*7,)</f>
        <v>0</v>
      </c>
      <c r="J124" s="6">
        <f ca="1">OFFSET('4学生课程目标达成度'!J$11,(ROW(J124)-3)*7,)</f>
        <v>0</v>
      </c>
      <c r="K124" s="6">
        <f ca="1">OFFSET('4学生课程目标达成度'!K$5,(ROW(K124)-3)*7,)</f>
        <v>0.758911764705882</v>
      </c>
      <c r="L124" s="11"/>
      <c r="M124" s="6">
        <f ca="1" t="shared" si="96"/>
        <v>0.820478723404255</v>
      </c>
      <c r="N124" s="6">
        <f ca="1" t="shared" si="97"/>
        <v>0.779905437352246</v>
      </c>
      <c r="O124" s="6">
        <f ca="1" t="shared" si="98"/>
        <v>0.559866499791406</v>
      </c>
      <c r="P124" s="6">
        <f ca="1" t="shared" si="99"/>
        <v>0.788014184397162</v>
      </c>
      <c r="Q124" s="6">
        <f ca="1" t="shared" si="100"/>
        <v>0</v>
      </c>
      <c r="R124" s="6">
        <f ca="1" t="shared" si="101"/>
        <v>0</v>
      </c>
      <c r="S124" s="6">
        <f ca="1" t="shared" si="102"/>
        <v>0</v>
      </c>
      <c r="T124" s="6">
        <f ca="1" t="shared" si="103"/>
        <v>0.718587314003615</v>
      </c>
      <c r="U124" s="11"/>
      <c r="V124" s="11">
        <v>0.65</v>
      </c>
    </row>
    <row r="125" spans="1:22">
      <c r="A125" s="3">
        <v>122</v>
      </c>
      <c r="B125" s="7" t="str">
        <f>'1课程考核方式及成绩组成'!D132</f>
        <v>220106148</v>
      </c>
      <c r="C125" s="8" t="str">
        <f>'1课程考核方式及成绩组成'!E132</f>
        <v>谢帅</v>
      </c>
      <c r="D125" s="6">
        <f ca="1">OFFSET('4学生课程目标达成度'!J$5,(ROW(D125)-3)*7,)</f>
        <v>0.772222222222222</v>
      </c>
      <c r="E125" s="6">
        <f ca="1">OFFSET('4学生课程目标达成度'!J$6,(ROW(E125)-3)*7,)</f>
        <v>0.658333333333333</v>
      </c>
      <c r="F125" s="6">
        <f ca="1">OFFSET('4学生课程目标达成度'!J$7,(ROW(F125)-3)*7,)</f>
        <v>0.294117647058824</v>
      </c>
      <c r="G125" s="6">
        <f ca="1">OFFSET('4学生课程目标达成度'!J$8,(ROW(G125)-3)*7,)</f>
        <v>0.77</v>
      </c>
      <c r="H125" s="6">
        <f ca="1">OFFSET('4学生课程目标达成度'!J$9,(ROW(H125)-3)*7,)</f>
        <v>0</v>
      </c>
      <c r="I125" s="6">
        <f ca="1">OFFSET('4学生课程目标达成度'!J$10,(ROW(I125)-3)*7,)</f>
        <v>0</v>
      </c>
      <c r="J125" s="6">
        <f ca="1">OFFSET('4学生课程目标达成度'!J$11,(ROW(J125)-3)*7,)</f>
        <v>0</v>
      </c>
      <c r="K125" s="6">
        <f ca="1">OFFSET('4学生课程目标达成度'!K$5,(ROW(K125)-3)*7,)</f>
        <v>0.617862745098039</v>
      </c>
      <c r="L125" s="11"/>
      <c r="M125" s="6">
        <f ca="1" t="shared" si="96"/>
        <v>0.820478723404255</v>
      </c>
      <c r="N125" s="6">
        <f ca="1" t="shared" si="97"/>
        <v>0.779905437352246</v>
      </c>
      <c r="O125" s="6">
        <f ca="1" t="shared" si="98"/>
        <v>0.559866499791406</v>
      </c>
      <c r="P125" s="6">
        <f ca="1" t="shared" si="99"/>
        <v>0.788014184397162</v>
      </c>
      <c r="Q125" s="6">
        <f ca="1" t="shared" si="100"/>
        <v>0</v>
      </c>
      <c r="R125" s="6">
        <f ca="1" t="shared" si="101"/>
        <v>0</v>
      </c>
      <c r="S125" s="6">
        <f ca="1" t="shared" si="102"/>
        <v>0</v>
      </c>
      <c r="T125" s="6">
        <f ca="1" t="shared" si="103"/>
        <v>0.718587314003615</v>
      </c>
      <c r="U125" s="11"/>
      <c r="V125" s="11">
        <v>0.65</v>
      </c>
    </row>
    <row r="126" spans="1:22">
      <c r="A126" s="3">
        <v>123</v>
      </c>
      <c r="B126" s="7" t="str">
        <f>'1课程考核方式及成绩组成'!D133</f>
        <v>220106149</v>
      </c>
      <c r="C126" s="8" t="str">
        <f>'1课程考核方式及成绩组成'!E133</f>
        <v>曾海</v>
      </c>
      <c r="D126" s="6">
        <f ca="1">OFFSET('4学生课程目标达成度'!J$5,(ROW(D126)-3)*7,)</f>
        <v>0.663888888888889</v>
      </c>
      <c r="E126" s="6">
        <f ca="1">OFFSET('4学生课程目标达成度'!J$6,(ROW(E126)-3)*7,)</f>
        <v>0.6</v>
      </c>
      <c r="F126" s="6">
        <f ca="1">OFFSET('4学生课程目标达成度'!J$7,(ROW(F126)-3)*7,)</f>
        <v>0.382352941176471</v>
      </c>
      <c r="G126" s="6">
        <f ca="1">OFFSET('4学生课程目标达成度'!J$8,(ROW(G126)-3)*7,)</f>
        <v>0.75</v>
      </c>
      <c r="H126" s="6">
        <f ca="1">OFFSET('4学生课程目标达成度'!J$9,(ROW(H126)-3)*7,)</f>
        <v>0</v>
      </c>
      <c r="I126" s="6">
        <f ca="1">OFFSET('4学生课程目标达成度'!J$10,(ROW(I126)-3)*7,)</f>
        <v>0</v>
      </c>
      <c r="J126" s="6">
        <f ca="1">OFFSET('4学生课程目标达成度'!J$11,(ROW(J126)-3)*7,)</f>
        <v>0</v>
      </c>
      <c r="K126" s="6">
        <f ca="1">OFFSET('4学生课程目标达成度'!K$5,(ROW(K126)-3)*7,)</f>
        <v>0.600171568627451</v>
      </c>
      <c r="L126" s="11"/>
      <c r="M126" s="6">
        <f ca="1" t="shared" si="96"/>
        <v>0.820478723404255</v>
      </c>
      <c r="N126" s="6">
        <f ca="1" t="shared" si="97"/>
        <v>0.779905437352246</v>
      </c>
      <c r="O126" s="6">
        <f ca="1" t="shared" si="98"/>
        <v>0.559866499791406</v>
      </c>
      <c r="P126" s="6">
        <f ca="1" t="shared" si="99"/>
        <v>0.788014184397162</v>
      </c>
      <c r="Q126" s="6">
        <f ca="1" t="shared" si="100"/>
        <v>0</v>
      </c>
      <c r="R126" s="6">
        <f ca="1" t="shared" si="101"/>
        <v>0</v>
      </c>
      <c r="S126" s="6">
        <f ca="1" t="shared" si="102"/>
        <v>0</v>
      </c>
      <c r="T126" s="6">
        <f ca="1" t="shared" si="103"/>
        <v>0.718587314003615</v>
      </c>
      <c r="U126" s="11"/>
      <c r="V126" s="11">
        <v>0.65</v>
      </c>
    </row>
    <row r="127" spans="1:22">
      <c r="A127" s="3">
        <v>124</v>
      </c>
      <c r="B127" s="7" t="str">
        <f>'1课程考核方式及成绩组成'!D134</f>
        <v>220106150</v>
      </c>
      <c r="C127" s="8" t="str">
        <f>'1课程考核方式及成绩组成'!E134</f>
        <v>罗萧</v>
      </c>
      <c r="D127" s="6">
        <f ca="1">OFFSET('4学生课程目标达成度'!J$5,(ROW(D127)-3)*7,)</f>
        <v>0.661111111111111</v>
      </c>
      <c r="E127" s="6">
        <f ca="1">OFFSET('4学生课程目标达成度'!J$6,(ROW(E127)-3)*7,)</f>
        <v>0.608333333333333</v>
      </c>
      <c r="F127" s="6">
        <f ca="1">OFFSET('4学生课程目标达成度'!J$7,(ROW(F127)-3)*7,)</f>
        <v>0.352941176470588</v>
      </c>
      <c r="G127" s="6">
        <f ca="1">OFFSET('4学生课程目标达成度'!J$8,(ROW(G127)-3)*7,)</f>
        <v>0.77</v>
      </c>
      <c r="H127" s="6">
        <f ca="1">OFFSET('4学生课程目标达成度'!J$9,(ROW(H127)-3)*7,)</f>
        <v>0</v>
      </c>
      <c r="I127" s="6">
        <f ca="1">OFFSET('4学生课程目标达成度'!J$10,(ROW(I127)-3)*7,)</f>
        <v>0</v>
      </c>
      <c r="J127" s="6">
        <f ca="1">OFFSET('4学生课程目标达成度'!J$11,(ROW(J127)-3)*7,)</f>
        <v>0</v>
      </c>
      <c r="K127" s="6">
        <f ca="1">OFFSET('4学生课程目标达成度'!K$5,(ROW(K127)-3)*7,)</f>
        <v>0.600901960784314</v>
      </c>
      <c r="L127" s="11"/>
      <c r="M127" s="6">
        <f ca="1" t="shared" si="96"/>
        <v>0.820478723404255</v>
      </c>
      <c r="N127" s="6">
        <f ca="1" t="shared" si="97"/>
        <v>0.779905437352246</v>
      </c>
      <c r="O127" s="6">
        <f ca="1" t="shared" si="98"/>
        <v>0.559866499791406</v>
      </c>
      <c r="P127" s="6">
        <f ca="1" t="shared" si="99"/>
        <v>0.788014184397162</v>
      </c>
      <c r="Q127" s="6">
        <f ca="1" t="shared" si="100"/>
        <v>0</v>
      </c>
      <c r="R127" s="6">
        <f ca="1" t="shared" si="101"/>
        <v>0</v>
      </c>
      <c r="S127" s="6">
        <f ca="1" t="shared" si="102"/>
        <v>0</v>
      </c>
      <c r="T127" s="6">
        <f ca="1" t="shared" si="103"/>
        <v>0.718587314003615</v>
      </c>
      <c r="U127" s="11"/>
      <c r="V127" s="11">
        <v>0.65</v>
      </c>
    </row>
    <row r="128" spans="1:22">
      <c r="A128" s="3">
        <v>125</v>
      </c>
      <c r="B128" s="7" t="str">
        <f>'1课程考核方式及成绩组成'!D135</f>
        <v>220106151</v>
      </c>
      <c r="C128" s="8" t="str">
        <f>'1课程考核方式及成绩组成'!E135</f>
        <v>王学扬</v>
      </c>
      <c r="D128" s="6">
        <f ca="1">OFFSET('4学生课程目标达成度'!J$5,(ROW(D128)-3)*7,)</f>
        <v>0.786111111111111</v>
      </c>
      <c r="E128" s="6">
        <f ca="1">OFFSET('4学生课程目标达成度'!J$6,(ROW(E128)-3)*7,)</f>
        <v>0.741666666666667</v>
      </c>
      <c r="F128" s="6">
        <f ca="1">OFFSET('4学生课程目标达成度'!J$7,(ROW(F128)-3)*7,)</f>
        <v>0.647058823529412</v>
      </c>
      <c r="G128" s="6">
        <f ca="1">OFFSET('4学生课程目标达成度'!J$8,(ROW(G128)-3)*7,)</f>
        <v>0.76</v>
      </c>
      <c r="H128" s="6">
        <f ca="1">OFFSET('4学生课程目标达成度'!J$9,(ROW(H128)-3)*7,)</f>
        <v>0</v>
      </c>
      <c r="I128" s="6">
        <f ca="1">OFFSET('4学生课程目标达成度'!J$10,(ROW(I128)-3)*7,)</f>
        <v>0</v>
      </c>
      <c r="J128" s="6">
        <f ca="1">OFFSET('4学生课程目标达成度'!J$11,(ROW(J128)-3)*7,)</f>
        <v>0</v>
      </c>
      <c r="K128" s="6">
        <f ca="1">OFFSET('4学生课程目标达成度'!K$5,(ROW(K128)-3)*7,)</f>
        <v>0.73018137254902</v>
      </c>
      <c r="L128" s="11"/>
      <c r="M128" s="6">
        <f ca="1" t="shared" si="96"/>
        <v>0.820478723404255</v>
      </c>
      <c r="N128" s="6">
        <f ca="1" t="shared" si="97"/>
        <v>0.779905437352246</v>
      </c>
      <c r="O128" s="6">
        <f ca="1" t="shared" si="98"/>
        <v>0.559866499791406</v>
      </c>
      <c r="P128" s="6">
        <f ca="1" t="shared" si="99"/>
        <v>0.788014184397162</v>
      </c>
      <c r="Q128" s="6">
        <f ca="1" t="shared" si="100"/>
        <v>0</v>
      </c>
      <c r="R128" s="6">
        <f ca="1" t="shared" si="101"/>
        <v>0</v>
      </c>
      <c r="S128" s="6">
        <f ca="1" t="shared" si="102"/>
        <v>0</v>
      </c>
      <c r="T128" s="6">
        <f ca="1" t="shared" si="103"/>
        <v>0.718587314003615</v>
      </c>
      <c r="U128" s="11"/>
      <c r="V128" s="11">
        <v>0.65</v>
      </c>
    </row>
    <row r="129" spans="1:22">
      <c r="A129" s="3">
        <v>126</v>
      </c>
      <c r="B129" s="7" t="str">
        <f>'1课程考核方式及成绩组成'!D136</f>
        <v>220106152</v>
      </c>
      <c r="C129" s="8" t="str">
        <f>'1课程考核方式及成绩组成'!E136</f>
        <v>吴正浩</v>
      </c>
      <c r="D129" s="6">
        <f ca="1">OFFSET('4学生课程目标达成度'!J$5,(ROW(D129)-3)*7,)</f>
        <v>0.816666666666667</v>
      </c>
      <c r="E129" s="6">
        <f ca="1">OFFSET('4学生课程目标达成度'!J$6,(ROW(E129)-3)*7,)</f>
        <v>0.65</v>
      </c>
      <c r="F129" s="6">
        <f ca="1">OFFSET('4学生课程目标达成度'!J$7,(ROW(F129)-3)*7,)</f>
        <v>0.470588235294118</v>
      </c>
      <c r="G129" s="6">
        <f ca="1">OFFSET('4学生课程目标达成度'!J$8,(ROW(G129)-3)*7,)</f>
        <v>0.75</v>
      </c>
      <c r="H129" s="6">
        <f ca="1">OFFSET('4学生课程目标达成度'!J$9,(ROW(H129)-3)*7,)</f>
        <v>0</v>
      </c>
      <c r="I129" s="6">
        <f ca="1">OFFSET('4学生课程目标达成度'!J$10,(ROW(I129)-3)*7,)</f>
        <v>0</v>
      </c>
      <c r="J129" s="6">
        <f ca="1">OFFSET('4学生课程目标达成度'!J$11,(ROW(J129)-3)*7,)</f>
        <v>0</v>
      </c>
      <c r="K129" s="6">
        <f ca="1">OFFSET('4学生课程目标达成度'!K$5,(ROW(K129)-3)*7,)</f>
        <v>0.660147058823529</v>
      </c>
      <c r="L129" s="11"/>
      <c r="M129" s="6">
        <f ca="1" t="shared" si="96"/>
        <v>0.820478723404255</v>
      </c>
      <c r="N129" s="6">
        <f ca="1" t="shared" si="97"/>
        <v>0.779905437352246</v>
      </c>
      <c r="O129" s="6">
        <f ca="1" t="shared" si="98"/>
        <v>0.559866499791406</v>
      </c>
      <c r="P129" s="6">
        <f ca="1" t="shared" si="99"/>
        <v>0.788014184397162</v>
      </c>
      <c r="Q129" s="6">
        <f ca="1" t="shared" si="100"/>
        <v>0</v>
      </c>
      <c r="R129" s="6">
        <f ca="1" t="shared" si="101"/>
        <v>0</v>
      </c>
      <c r="S129" s="6">
        <f ca="1" t="shared" si="102"/>
        <v>0</v>
      </c>
      <c r="T129" s="6">
        <f ca="1" t="shared" si="103"/>
        <v>0.718587314003615</v>
      </c>
      <c r="U129" s="11"/>
      <c r="V129" s="11">
        <v>0.65</v>
      </c>
    </row>
    <row r="130" spans="1:22">
      <c r="A130" s="3">
        <v>127</v>
      </c>
      <c r="B130" s="7" t="str">
        <f>'1课程考核方式及成绩组成'!D137</f>
        <v>220106153</v>
      </c>
      <c r="C130" s="8" t="str">
        <f>'1课程考核方式及成绩组成'!E137</f>
        <v>陆思娅</v>
      </c>
      <c r="D130" s="6">
        <f ca="1">OFFSET('4学生课程目标达成度'!J$5,(ROW(D130)-3)*7,)</f>
        <v>0.909722222222222</v>
      </c>
      <c r="E130" s="6">
        <f ca="1">OFFSET('4学生课程目标达成度'!J$6,(ROW(E130)-3)*7,)</f>
        <v>0.858333333333333</v>
      </c>
      <c r="F130" s="6">
        <f ca="1">OFFSET('4学生课程目标达成度'!J$7,(ROW(F130)-3)*7,)</f>
        <v>0.705882352941177</v>
      </c>
      <c r="G130" s="6">
        <f ca="1">OFFSET('4学生课程目标达成度'!J$8,(ROW(G130)-3)*7,)</f>
        <v>0.85</v>
      </c>
      <c r="H130" s="6">
        <f ca="1">OFFSET('4学生课程目标达成度'!J$9,(ROW(H130)-3)*7,)</f>
        <v>0</v>
      </c>
      <c r="I130" s="6">
        <f ca="1">OFFSET('4学生课程目标达成度'!J$10,(ROW(I130)-3)*7,)</f>
        <v>0</v>
      </c>
      <c r="J130" s="6">
        <f ca="1">OFFSET('4学生课程目标达成度'!J$11,(ROW(J130)-3)*7,)</f>
        <v>0</v>
      </c>
      <c r="K130" s="6">
        <f ca="1">OFFSET('4学生课程目标达成度'!K$5,(ROW(K130)-3)*7,)</f>
        <v>0.825428921568627</v>
      </c>
      <c r="L130" s="11"/>
      <c r="M130" s="6">
        <f ca="1" t="shared" si="96"/>
        <v>0.820478723404255</v>
      </c>
      <c r="N130" s="6">
        <f ca="1" t="shared" si="97"/>
        <v>0.779905437352246</v>
      </c>
      <c r="O130" s="6">
        <f ca="1" t="shared" si="98"/>
        <v>0.559866499791406</v>
      </c>
      <c r="P130" s="6">
        <f ca="1" t="shared" si="99"/>
        <v>0.788014184397162</v>
      </c>
      <c r="Q130" s="6">
        <f ca="1" t="shared" si="100"/>
        <v>0</v>
      </c>
      <c r="R130" s="6">
        <f ca="1" t="shared" si="101"/>
        <v>0</v>
      </c>
      <c r="S130" s="6">
        <f ca="1" t="shared" si="102"/>
        <v>0</v>
      </c>
      <c r="T130" s="6">
        <f ca="1" t="shared" si="103"/>
        <v>0.718587314003615</v>
      </c>
      <c r="U130" s="11"/>
      <c r="V130" s="11">
        <v>0.65</v>
      </c>
    </row>
    <row r="131" spans="1:22">
      <c r="A131" s="3">
        <v>128</v>
      </c>
      <c r="B131" s="7" t="str">
        <f>'1课程考核方式及成绩组成'!D138</f>
        <v>220106154</v>
      </c>
      <c r="C131" s="8" t="str">
        <f>'1课程考核方式及成绩组成'!E138</f>
        <v>朱喆怡</v>
      </c>
      <c r="D131" s="6">
        <f ca="1">OFFSET('4学生课程目标达成度'!J$5,(ROW(D131)-3)*7,)</f>
        <v>0.894444444444444</v>
      </c>
      <c r="E131" s="6">
        <f ca="1">OFFSET('4学生课程目标达成度'!J$6,(ROW(E131)-3)*7,)</f>
        <v>0.9</v>
      </c>
      <c r="F131" s="6">
        <f ca="1">OFFSET('4学生课程目标达成度'!J$7,(ROW(F131)-3)*7,)</f>
        <v>0.911764705882353</v>
      </c>
      <c r="G131" s="6">
        <f ca="1">OFFSET('4学生课程目标达成度'!J$8,(ROW(G131)-3)*7,)</f>
        <v>0.9</v>
      </c>
      <c r="H131" s="6">
        <f ca="1">OFFSET('4学生课程目标达成度'!J$9,(ROW(H131)-3)*7,)</f>
        <v>0</v>
      </c>
      <c r="I131" s="6">
        <f ca="1">OFFSET('4学生课程目标达成度'!J$10,(ROW(I131)-3)*7,)</f>
        <v>0</v>
      </c>
      <c r="J131" s="6">
        <f ca="1">OFFSET('4学生课程目标达成度'!J$11,(ROW(J131)-3)*7,)</f>
        <v>0</v>
      </c>
      <c r="K131" s="6">
        <f ca="1">OFFSET('4学生课程目标达成度'!K$5,(ROW(K131)-3)*7,)</f>
        <v>0.902107843137255</v>
      </c>
      <c r="L131" s="11"/>
      <c r="M131" s="6">
        <f ca="1" t="shared" si="96"/>
        <v>0.820478723404255</v>
      </c>
      <c r="N131" s="6">
        <f ca="1" t="shared" si="97"/>
        <v>0.779905437352246</v>
      </c>
      <c r="O131" s="6">
        <f ca="1" t="shared" si="98"/>
        <v>0.559866499791406</v>
      </c>
      <c r="P131" s="6">
        <f ca="1" t="shared" si="99"/>
        <v>0.788014184397162</v>
      </c>
      <c r="Q131" s="6">
        <f ca="1" t="shared" si="100"/>
        <v>0</v>
      </c>
      <c r="R131" s="6">
        <f ca="1" t="shared" si="101"/>
        <v>0</v>
      </c>
      <c r="S131" s="6">
        <f ca="1" t="shared" si="102"/>
        <v>0</v>
      </c>
      <c r="T131" s="6">
        <f ca="1" t="shared" si="103"/>
        <v>0.718587314003615</v>
      </c>
      <c r="U131" s="11"/>
      <c r="V131" s="11">
        <v>0.65</v>
      </c>
    </row>
    <row r="132" spans="1:22">
      <c r="A132" s="3">
        <v>129</v>
      </c>
      <c r="B132" s="7" t="str">
        <f>'1课程考核方式及成绩组成'!D139</f>
        <v>220106155</v>
      </c>
      <c r="C132" s="8" t="str">
        <f>'1课程考核方式及成绩组成'!E139</f>
        <v>罗涛</v>
      </c>
      <c r="D132" s="6">
        <f ca="1">OFFSET('4学生课程目标达成度'!J$5,(ROW(D132)-3)*7,)</f>
        <v>0.813888888888889</v>
      </c>
      <c r="E132" s="6">
        <f ca="1">OFFSET('4学生课程目标达成度'!J$6,(ROW(E132)-3)*7,)</f>
        <v>0.791666666666667</v>
      </c>
      <c r="F132" s="6">
        <f ca="1">OFFSET('4学生课程目标达成度'!J$7,(ROW(F132)-3)*7,)</f>
        <v>0.735294117647059</v>
      </c>
      <c r="G132" s="6">
        <f ca="1">OFFSET('4学生课程目标达成度'!J$8,(ROW(G132)-3)*7,)</f>
        <v>0.83</v>
      </c>
      <c r="H132" s="6">
        <f ca="1">OFFSET('4学生课程目标达成度'!J$9,(ROW(H132)-3)*7,)</f>
        <v>0</v>
      </c>
      <c r="I132" s="6">
        <f ca="1">OFFSET('4学生课程目标达成度'!J$10,(ROW(I132)-3)*7,)</f>
        <v>0</v>
      </c>
      <c r="J132" s="6">
        <f ca="1">OFFSET('4学生课程目标达成度'!J$11,(ROW(J132)-3)*7,)</f>
        <v>0</v>
      </c>
      <c r="K132" s="6">
        <f ca="1">OFFSET('4学生课程目标达成度'!K$5,(ROW(K132)-3)*7,)</f>
        <v>0.792406862745098</v>
      </c>
      <c r="L132" s="11"/>
      <c r="M132" s="6">
        <f ca="1" t="shared" si="96"/>
        <v>0.820478723404255</v>
      </c>
      <c r="N132" s="6">
        <f ca="1" t="shared" si="97"/>
        <v>0.779905437352246</v>
      </c>
      <c r="O132" s="6">
        <f ca="1" t="shared" si="98"/>
        <v>0.559866499791406</v>
      </c>
      <c r="P132" s="6">
        <f ca="1" t="shared" si="99"/>
        <v>0.788014184397162</v>
      </c>
      <c r="Q132" s="6">
        <f ca="1" t="shared" si="100"/>
        <v>0</v>
      </c>
      <c r="R132" s="6">
        <f ca="1" t="shared" si="101"/>
        <v>0</v>
      </c>
      <c r="S132" s="6">
        <f ca="1" t="shared" si="102"/>
        <v>0</v>
      </c>
      <c r="T132" s="6">
        <f ca="1" t="shared" si="103"/>
        <v>0.718587314003615</v>
      </c>
      <c r="U132" s="11"/>
      <c r="V132" s="11">
        <v>0.65</v>
      </c>
    </row>
    <row r="133" spans="1:22">
      <c r="A133" s="3">
        <v>130</v>
      </c>
      <c r="B133" s="7" t="str">
        <f>'1课程考核方式及成绩组成'!D140</f>
        <v>220106156</v>
      </c>
      <c r="C133" s="8" t="str">
        <f>'1课程考核方式及成绩组成'!E140</f>
        <v>胡森</v>
      </c>
      <c r="D133" s="6">
        <f ca="1">OFFSET('4学生课程目标达成度'!J$5,(ROW(D133)-3)*7,)</f>
        <v>0.801388888888889</v>
      </c>
      <c r="E133" s="6">
        <f ca="1">OFFSET('4学生课程目标达成度'!J$6,(ROW(E133)-3)*7,)</f>
        <v>0.841666666666667</v>
      </c>
      <c r="F133" s="6">
        <f ca="1">OFFSET('4学生课程目标达成度'!J$7,(ROW(F133)-3)*7,)</f>
        <v>0.558823529411765</v>
      </c>
      <c r="G133" s="6">
        <f ca="1">OFFSET('4学生课程目标达成度'!J$8,(ROW(G133)-3)*7,)</f>
        <v>0.77</v>
      </c>
      <c r="H133" s="6">
        <f ca="1">OFFSET('4学生课程目标达成度'!J$9,(ROW(H133)-3)*7,)</f>
        <v>0</v>
      </c>
      <c r="I133" s="6">
        <f ca="1">OFFSET('4学生课程目标达成度'!J$10,(ROW(I133)-3)*7,)</f>
        <v>0</v>
      </c>
      <c r="J133" s="6">
        <f ca="1">OFFSET('4学生课程目标达成度'!J$11,(ROW(J133)-3)*7,)</f>
        <v>0</v>
      </c>
      <c r="K133" s="6">
        <f ca="1">OFFSET('4学生课程目标达成度'!K$5,(ROW(K133)-3)*7,)</f>
        <v>0.743414215686275</v>
      </c>
      <c r="L133" s="11"/>
      <c r="M133" s="6">
        <f ca="1" t="shared" ref="M133:M143" si="104">$D$2</f>
        <v>0.820478723404255</v>
      </c>
      <c r="N133" s="6">
        <f ca="1" t="shared" ref="N133:N143" si="105">$E$2</f>
        <v>0.779905437352246</v>
      </c>
      <c r="O133" s="6">
        <f ca="1" t="shared" ref="O133:O143" si="106">$F$2</f>
        <v>0.559866499791406</v>
      </c>
      <c r="P133" s="6">
        <f ca="1" t="shared" ref="P133:P143" si="107">$G$2</f>
        <v>0.788014184397162</v>
      </c>
      <c r="Q133" s="6">
        <f ca="1" t="shared" ref="Q133:Q143" si="108">$H$2</f>
        <v>0</v>
      </c>
      <c r="R133" s="6">
        <f ca="1" t="shared" ref="R133:R143" si="109">$I$2</f>
        <v>0</v>
      </c>
      <c r="S133" s="6">
        <f ca="1" t="shared" ref="S133:S143" si="110">$J$2</f>
        <v>0</v>
      </c>
      <c r="T133" s="6">
        <f ca="1" t="shared" ref="T133:T143" si="111">$K$2</f>
        <v>0.718587314003615</v>
      </c>
      <c r="U133" s="11"/>
      <c r="V133" s="11">
        <v>0.65</v>
      </c>
    </row>
    <row r="134" spans="1:22">
      <c r="A134" s="3">
        <v>131</v>
      </c>
      <c r="B134" s="7" t="str">
        <f>'1课程考核方式及成绩组成'!D141</f>
        <v>220106157</v>
      </c>
      <c r="C134" s="8" t="str">
        <f>'1课程考核方式及成绩组成'!E141</f>
        <v>梁真兴</v>
      </c>
      <c r="D134" s="6">
        <f ca="1">OFFSET('4学生课程目标达成度'!J$5,(ROW(D134)-3)*7,)</f>
        <v>0.894444444444444</v>
      </c>
      <c r="E134" s="6">
        <f ca="1">OFFSET('4学生课程目标达成度'!J$6,(ROW(E134)-3)*7,)</f>
        <v>0.9</v>
      </c>
      <c r="F134" s="6">
        <f ca="1">OFFSET('4学生课程目标达成度'!J$7,(ROW(F134)-3)*7,)</f>
        <v>0.823529411764706</v>
      </c>
      <c r="G134" s="6">
        <f ca="1">OFFSET('4学生课程目标达成度'!J$8,(ROW(G134)-3)*7,)</f>
        <v>0.85</v>
      </c>
      <c r="H134" s="6">
        <f ca="1">OFFSET('4学生课程目标达成度'!J$9,(ROW(H134)-3)*7,)</f>
        <v>0</v>
      </c>
      <c r="I134" s="6">
        <f ca="1">OFFSET('4学生课程目标达成度'!J$10,(ROW(I134)-3)*7,)</f>
        <v>0</v>
      </c>
      <c r="J134" s="6">
        <f ca="1">OFFSET('4学生课程目标达成度'!J$11,(ROW(J134)-3)*7,)</f>
        <v>0</v>
      </c>
      <c r="K134" s="6">
        <f ca="1">OFFSET('4学生课程目标达成度'!K$5,(ROW(K134)-3)*7,)</f>
        <v>0.865049019607843</v>
      </c>
      <c r="L134" s="11"/>
      <c r="M134" s="6">
        <f ca="1" t="shared" si="104"/>
        <v>0.820478723404255</v>
      </c>
      <c r="N134" s="6">
        <f ca="1" t="shared" si="105"/>
        <v>0.779905437352246</v>
      </c>
      <c r="O134" s="6">
        <f ca="1" t="shared" si="106"/>
        <v>0.559866499791406</v>
      </c>
      <c r="P134" s="6">
        <f ca="1" t="shared" si="107"/>
        <v>0.788014184397162</v>
      </c>
      <c r="Q134" s="6">
        <f ca="1" t="shared" si="108"/>
        <v>0</v>
      </c>
      <c r="R134" s="6">
        <f ca="1" t="shared" si="109"/>
        <v>0</v>
      </c>
      <c r="S134" s="6">
        <f ca="1" t="shared" si="110"/>
        <v>0</v>
      </c>
      <c r="T134" s="6">
        <f ca="1" t="shared" si="111"/>
        <v>0.718587314003615</v>
      </c>
      <c r="U134" s="11"/>
      <c r="V134" s="11">
        <v>0.65</v>
      </c>
    </row>
    <row r="135" spans="1:22">
      <c r="A135" s="3">
        <v>132</v>
      </c>
      <c r="B135" s="7" t="str">
        <f>'1课程考核方式及成绩组成'!D142</f>
        <v>220306159</v>
      </c>
      <c r="C135" s="8" t="str">
        <f>'1课程考核方式及成绩组成'!E142</f>
        <v>马春昭</v>
      </c>
      <c r="D135" s="6">
        <f ca="1">OFFSET('4学生课程目标达成度'!J$5,(ROW(D135)-3)*7,)</f>
        <v>0.691666666666667</v>
      </c>
      <c r="E135" s="6">
        <f ca="1">OFFSET('4学生课程目标达成度'!J$6,(ROW(E135)-3)*7,)</f>
        <v>0.65</v>
      </c>
      <c r="F135" s="6">
        <f ca="1">OFFSET('4学生课程目标达成度'!J$7,(ROW(F135)-3)*7,)</f>
        <v>0.558823529411765</v>
      </c>
      <c r="G135" s="6">
        <f ca="1">OFFSET('4学生课程目标达成度'!J$8,(ROW(G135)-3)*7,)</f>
        <v>0.82</v>
      </c>
      <c r="H135" s="6">
        <f ca="1">OFFSET('4学生课程目标达成度'!J$9,(ROW(H135)-3)*7,)</f>
        <v>0</v>
      </c>
      <c r="I135" s="6">
        <f ca="1">OFFSET('4学生课程目标达成度'!J$10,(ROW(I135)-3)*7,)</f>
        <v>0</v>
      </c>
      <c r="J135" s="6">
        <f ca="1">OFFSET('4学生课程目标达成度'!J$11,(ROW(J135)-3)*7,)</f>
        <v>0</v>
      </c>
      <c r="K135" s="6">
        <f ca="1">OFFSET('4学生课程目标达成度'!K$5,(ROW(K135)-3)*7,)</f>
        <v>0.684455882352941</v>
      </c>
      <c r="L135" s="11"/>
      <c r="M135" s="6">
        <f ca="1" t="shared" si="104"/>
        <v>0.820478723404255</v>
      </c>
      <c r="N135" s="6">
        <f ca="1" t="shared" si="105"/>
        <v>0.779905437352246</v>
      </c>
      <c r="O135" s="6">
        <f ca="1" t="shared" si="106"/>
        <v>0.559866499791406</v>
      </c>
      <c r="P135" s="6">
        <f ca="1" t="shared" si="107"/>
        <v>0.788014184397162</v>
      </c>
      <c r="Q135" s="6">
        <f ca="1" t="shared" si="108"/>
        <v>0</v>
      </c>
      <c r="R135" s="6">
        <f ca="1" t="shared" si="109"/>
        <v>0</v>
      </c>
      <c r="S135" s="6">
        <f ca="1" t="shared" si="110"/>
        <v>0</v>
      </c>
      <c r="T135" s="6">
        <f ca="1" t="shared" si="111"/>
        <v>0.718587314003615</v>
      </c>
      <c r="U135" s="11"/>
      <c r="V135" s="11">
        <v>0.65</v>
      </c>
    </row>
    <row r="136" spans="1:22">
      <c r="A136" s="3">
        <v>133</v>
      </c>
      <c r="B136" s="7" t="str">
        <f>'1课程考核方式及成绩组成'!D143</f>
        <v>220507128</v>
      </c>
      <c r="C136" s="8" t="str">
        <f>'1课程考核方式及成绩组成'!E143</f>
        <v>王莽</v>
      </c>
      <c r="D136" s="6">
        <f ca="1">OFFSET('4学生课程目标达成度'!J$5,(ROW(D136)-3)*7,)</f>
        <v>0.433333333333333</v>
      </c>
      <c r="E136" s="6">
        <f ca="1">OFFSET('4学生课程目标达成度'!J$6,(ROW(E136)-3)*7,)</f>
        <v>0.466666666666667</v>
      </c>
      <c r="F136" s="6">
        <f ca="1">OFFSET('4学生课程目标达成度'!J$7,(ROW(F136)-3)*7,)</f>
        <v>0.235294117647059</v>
      </c>
      <c r="G136" s="6">
        <f ca="1">OFFSET('4学生课程目标达成度'!J$8,(ROW(G136)-3)*7,)</f>
        <v>0.75</v>
      </c>
      <c r="H136" s="6">
        <f ca="1">OFFSET('4学生课程目标达成度'!J$9,(ROW(H136)-3)*7,)</f>
        <v>0</v>
      </c>
      <c r="I136" s="6">
        <f ca="1">OFFSET('4学生课程目标达成度'!J$10,(ROW(I136)-3)*7,)</f>
        <v>0</v>
      </c>
      <c r="J136" s="6">
        <f ca="1">OFFSET('4学生课程目标达成度'!J$11,(ROW(J136)-3)*7,)</f>
        <v>0</v>
      </c>
      <c r="K136" s="6">
        <f ca="1">OFFSET('4学生课程目标达成度'!K$5,(ROW(K136)-3)*7,)</f>
        <v>0.488823529411765</v>
      </c>
      <c r="L136" s="11"/>
      <c r="M136" s="6">
        <f ca="1" t="shared" si="104"/>
        <v>0.820478723404255</v>
      </c>
      <c r="N136" s="6">
        <f ca="1" t="shared" si="105"/>
        <v>0.779905437352246</v>
      </c>
      <c r="O136" s="6">
        <f ca="1" t="shared" si="106"/>
        <v>0.559866499791406</v>
      </c>
      <c r="P136" s="6">
        <f ca="1" t="shared" si="107"/>
        <v>0.788014184397162</v>
      </c>
      <c r="Q136" s="6">
        <f ca="1" t="shared" si="108"/>
        <v>0</v>
      </c>
      <c r="R136" s="6">
        <f ca="1" t="shared" si="109"/>
        <v>0</v>
      </c>
      <c r="S136" s="6">
        <f ca="1" t="shared" si="110"/>
        <v>0</v>
      </c>
      <c r="T136" s="6">
        <f ca="1" t="shared" si="111"/>
        <v>0.718587314003615</v>
      </c>
      <c r="U136" s="11"/>
      <c r="V136" s="11">
        <v>0.65</v>
      </c>
    </row>
    <row r="137" spans="1:22">
      <c r="A137" s="3">
        <v>134</v>
      </c>
      <c r="B137" s="7" t="str">
        <f>'1课程考核方式及成绩组成'!D144</f>
        <v>220515126</v>
      </c>
      <c r="C137" s="8" t="str">
        <f>'1课程考核方式及成绩组成'!E144</f>
        <v>欧向坤</v>
      </c>
      <c r="D137" s="6">
        <f ca="1">OFFSET('4学生课程目标达成度'!J$5,(ROW(D137)-3)*7,)</f>
        <v>0.772222222222222</v>
      </c>
      <c r="E137" s="6">
        <f ca="1">OFFSET('4学生课程目标达成度'!J$6,(ROW(E137)-3)*7,)</f>
        <v>0.825</v>
      </c>
      <c r="F137" s="6">
        <f ca="1">OFFSET('4学生课程目标达成度'!J$7,(ROW(F137)-3)*7,)</f>
        <v>0.676470588235294</v>
      </c>
      <c r="G137" s="6">
        <f ca="1">OFFSET('4学生课程目标达成度'!J$8,(ROW(G137)-3)*7,)</f>
        <v>0.79</v>
      </c>
      <c r="H137" s="6">
        <f ca="1">OFFSET('4学生课程目标达成度'!J$9,(ROW(H137)-3)*7,)</f>
        <v>0</v>
      </c>
      <c r="I137" s="6">
        <f ca="1">OFFSET('4学生课程目标达成度'!J$10,(ROW(I137)-3)*7,)</f>
        <v>0</v>
      </c>
      <c r="J137" s="6">
        <f ca="1">OFFSET('4学生课程目标达成度'!J$11,(ROW(J137)-3)*7,)</f>
        <v>0</v>
      </c>
      <c r="K137" s="6">
        <f ca="1">OFFSET('4学生课程目标达成度'!K$5,(ROW(K137)-3)*7,)</f>
        <v>0.769450980392157</v>
      </c>
      <c r="L137" s="11"/>
      <c r="M137" s="6">
        <f ca="1" t="shared" si="104"/>
        <v>0.820478723404255</v>
      </c>
      <c r="N137" s="6">
        <f ca="1" t="shared" si="105"/>
        <v>0.779905437352246</v>
      </c>
      <c r="O137" s="6">
        <f ca="1" t="shared" si="106"/>
        <v>0.559866499791406</v>
      </c>
      <c r="P137" s="6">
        <f ca="1" t="shared" si="107"/>
        <v>0.788014184397162</v>
      </c>
      <c r="Q137" s="6">
        <f ca="1" t="shared" si="108"/>
        <v>0</v>
      </c>
      <c r="R137" s="6">
        <f ca="1" t="shared" si="109"/>
        <v>0</v>
      </c>
      <c r="S137" s="6">
        <f ca="1" t="shared" si="110"/>
        <v>0</v>
      </c>
      <c r="T137" s="6">
        <f ca="1" t="shared" si="111"/>
        <v>0.718587314003615</v>
      </c>
      <c r="U137" s="11"/>
      <c r="V137" s="11">
        <v>0.65</v>
      </c>
    </row>
    <row r="138" spans="1:22">
      <c r="A138" s="3">
        <v>135</v>
      </c>
      <c r="B138" s="7" t="str">
        <f>'1课程考核方式及成绩组成'!D145</f>
        <v>220701112</v>
      </c>
      <c r="C138" s="8" t="str">
        <f>'1课程考核方式及成绩组成'!E145</f>
        <v>邓林</v>
      </c>
      <c r="D138" s="6">
        <f ca="1">OFFSET('4学生课程目标达成度'!J$5,(ROW(D138)-3)*7,)</f>
        <v>0.718055555555556</v>
      </c>
      <c r="E138" s="6">
        <f ca="1">OFFSET('4学生课程目标达成度'!J$6,(ROW(E138)-3)*7,)</f>
        <v>0.758333333333333</v>
      </c>
      <c r="F138" s="6">
        <f ca="1">OFFSET('4学生课程目标达成度'!J$7,(ROW(F138)-3)*7,)</f>
        <v>0.441176470588235</v>
      </c>
      <c r="G138" s="6">
        <f ca="1">OFFSET('4学生课程目标达成度'!J$8,(ROW(G138)-3)*7,)</f>
        <v>0.77</v>
      </c>
      <c r="H138" s="6">
        <f ca="1">OFFSET('4学生课程目标达成度'!J$9,(ROW(H138)-3)*7,)</f>
        <v>0</v>
      </c>
      <c r="I138" s="6">
        <f ca="1">OFFSET('4学生课程目标达成度'!J$10,(ROW(I138)-3)*7,)</f>
        <v>0</v>
      </c>
      <c r="J138" s="6">
        <f ca="1">OFFSET('4学生课程目标达成度'!J$11,(ROW(J138)-3)*7,)</f>
        <v>0</v>
      </c>
      <c r="K138" s="6">
        <f ca="1">OFFSET('4学生课程目标达成度'!K$5,(ROW(K138)-3)*7,)</f>
        <v>0.676502450980392</v>
      </c>
      <c r="L138" s="11"/>
      <c r="M138" s="6">
        <f ca="1" t="shared" si="104"/>
        <v>0.820478723404255</v>
      </c>
      <c r="N138" s="6">
        <f ca="1" t="shared" si="105"/>
        <v>0.779905437352246</v>
      </c>
      <c r="O138" s="6">
        <f ca="1" t="shared" si="106"/>
        <v>0.559866499791406</v>
      </c>
      <c r="P138" s="6">
        <f ca="1" t="shared" si="107"/>
        <v>0.788014184397162</v>
      </c>
      <c r="Q138" s="6">
        <f ca="1" t="shared" si="108"/>
        <v>0</v>
      </c>
      <c r="R138" s="6">
        <f ca="1" t="shared" si="109"/>
        <v>0</v>
      </c>
      <c r="S138" s="6">
        <f ca="1" t="shared" si="110"/>
        <v>0</v>
      </c>
      <c r="T138" s="6">
        <f ca="1" t="shared" si="111"/>
        <v>0.718587314003615</v>
      </c>
      <c r="U138" s="11"/>
      <c r="V138" s="11">
        <v>0.65</v>
      </c>
    </row>
    <row r="139" spans="1:22">
      <c r="A139" s="3">
        <v>136</v>
      </c>
      <c r="B139" s="7" t="str">
        <f>'1课程考核方式及成绩组成'!D146</f>
        <v>220706117</v>
      </c>
      <c r="C139" s="8" t="str">
        <f>'1课程考核方式及成绩组成'!E146</f>
        <v>叶瀚枫</v>
      </c>
      <c r="D139" s="6">
        <f ca="1">OFFSET('4学生课程目标达成度'!J$5,(ROW(D139)-3)*7,)</f>
        <v>0.733333333333333</v>
      </c>
      <c r="E139" s="6">
        <f ca="1">OFFSET('4学生课程目标达成度'!J$6,(ROW(E139)-3)*7,)</f>
        <v>0.616666666666667</v>
      </c>
      <c r="F139" s="6">
        <f ca="1">OFFSET('4学生课程目标达成度'!J$7,(ROW(F139)-3)*7,)</f>
        <v>0.588235294117647</v>
      </c>
      <c r="G139" s="6">
        <f ca="1">OFFSET('4学生课程目标达成度'!J$8,(ROW(G139)-3)*7,)</f>
        <v>0.75</v>
      </c>
      <c r="H139" s="6">
        <f ca="1">OFFSET('4学生课程目标达成度'!J$9,(ROW(H139)-3)*7,)</f>
        <v>0</v>
      </c>
      <c r="I139" s="6">
        <f ca="1">OFFSET('4学生课程目标达成度'!J$10,(ROW(I139)-3)*7,)</f>
        <v>0</v>
      </c>
      <c r="J139" s="6">
        <f ca="1">OFFSET('4学生课程目标达成度'!J$11,(ROW(J139)-3)*7,)</f>
        <v>0</v>
      </c>
      <c r="K139" s="6">
        <f ca="1">OFFSET('4学生课程目标达成度'!K$5,(ROW(K139)-3)*7,)</f>
        <v>0.667058823529412</v>
      </c>
      <c r="L139" s="11"/>
      <c r="M139" s="6">
        <f ca="1" t="shared" si="104"/>
        <v>0.820478723404255</v>
      </c>
      <c r="N139" s="6">
        <f ca="1" t="shared" si="105"/>
        <v>0.779905437352246</v>
      </c>
      <c r="O139" s="6">
        <f ca="1" t="shared" si="106"/>
        <v>0.559866499791406</v>
      </c>
      <c r="P139" s="6">
        <f ca="1" t="shared" si="107"/>
        <v>0.788014184397162</v>
      </c>
      <c r="Q139" s="6">
        <f ca="1" t="shared" si="108"/>
        <v>0</v>
      </c>
      <c r="R139" s="6">
        <f ca="1" t="shared" si="109"/>
        <v>0</v>
      </c>
      <c r="S139" s="6">
        <f ca="1" t="shared" si="110"/>
        <v>0</v>
      </c>
      <c r="T139" s="6">
        <f ca="1" t="shared" si="111"/>
        <v>0.718587314003615</v>
      </c>
      <c r="U139" s="11"/>
      <c r="V139" s="11">
        <v>0.65</v>
      </c>
    </row>
    <row r="140" spans="1:22">
      <c r="A140" s="3">
        <v>137</v>
      </c>
      <c r="B140" s="7" t="str">
        <f>'1课程考核方式及成绩组成'!D147</f>
        <v>220706138</v>
      </c>
      <c r="C140" s="8" t="str">
        <f>'1课程考核方式及成绩组成'!E147</f>
        <v>王丽佳</v>
      </c>
      <c r="D140" s="6">
        <f ca="1">OFFSET('4学生课程目标达成度'!J$5,(ROW(D140)-3)*7,)</f>
        <v>0.844444444444444</v>
      </c>
      <c r="E140" s="6">
        <f ca="1">OFFSET('4学生课程目标达成度'!J$6,(ROW(E140)-3)*7,)</f>
        <v>0.716666666666667</v>
      </c>
      <c r="F140" s="6">
        <f ca="1">OFFSET('4学生课程目标达成度'!J$7,(ROW(F140)-3)*7,)</f>
        <v>0.558823529411765</v>
      </c>
      <c r="G140" s="6">
        <f ca="1">OFFSET('4学生课程目标达成度'!J$8,(ROW(G140)-3)*7,)</f>
        <v>0.83</v>
      </c>
      <c r="H140" s="6">
        <f ca="1">OFFSET('4学生课程目标达成度'!J$9,(ROW(H140)-3)*7,)</f>
        <v>0</v>
      </c>
      <c r="I140" s="6">
        <f ca="1">OFFSET('4学生课程目标达成度'!J$10,(ROW(I140)-3)*7,)</f>
        <v>0</v>
      </c>
      <c r="J140" s="6">
        <f ca="1">OFFSET('4学生课程目标达成度'!J$11,(ROW(J140)-3)*7,)</f>
        <v>0</v>
      </c>
      <c r="K140" s="6">
        <f ca="1">OFFSET('4学生课程目标达成度'!K$5,(ROW(K140)-3)*7,)</f>
        <v>0.730372549019608</v>
      </c>
      <c r="L140" s="11"/>
      <c r="M140" s="6">
        <f ca="1" t="shared" si="104"/>
        <v>0.820478723404255</v>
      </c>
      <c r="N140" s="6">
        <f ca="1" t="shared" si="105"/>
        <v>0.779905437352246</v>
      </c>
      <c r="O140" s="6">
        <f ca="1" t="shared" si="106"/>
        <v>0.559866499791406</v>
      </c>
      <c r="P140" s="6">
        <f ca="1" t="shared" si="107"/>
        <v>0.788014184397162</v>
      </c>
      <c r="Q140" s="6">
        <f ca="1" t="shared" si="108"/>
        <v>0</v>
      </c>
      <c r="R140" s="6">
        <f ca="1" t="shared" si="109"/>
        <v>0</v>
      </c>
      <c r="S140" s="6">
        <f ca="1" t="shared" si="110"/>
        <v>0</v>
      </c>
      <c r="T140" s="6">
        <f ca="1" t="shared" si="111"/>
        <v>0.718587314003615</v>
      </c>
      <c r="U140" s="11"/>
      <c r="V140" s="11">
        <v>0.65</v>
      </c>
    </row>
    <row r="141" spans="1:22">
      <c r="A141" s="3">
        <v>138</v>
      </c>
      <c r="B141" s="7" t="str">
        <f>'1课程考核方式及成绩组成'!D148</f>
        <v>220910127</v>
      </c>
      <c r="C141" s="8" t="str">
        <f>'1课程考核方式及成绩组成'!E148</f>
        <v>罗章成</v>
      </c>
      <c r="D141" s="6">
        <f ca="1">OFFSET('4学生课程目标达成度'!J$5,(ROW(D141)-3)*7,)</f>
        <v>0.758333333333333</v>
      </c>
      <c r="E141" s="6">
        <f ca="1">OFFSET('4学生课程目标达成度'!J$6,(ROW(E141)-3)*7,)</f>
        <v>0.691666666666667</v>
      </c>
      <c r="F141" s="6">
        <f ca="1">OFFSET('4学生课程目标达成度'!J$7,(ROW(F141)-3)*7,)</f>
        <v>0.411764705882353</v>
      </c>
      <c r="G141" s="6">
        <f ca="1">OFFSET('4学生课程目标达成度'!J$8,(ROW(G141)-3)*7,)</f>
        <v>0.83</v>
      </c>
      <c r="H141" s="6">
        <f ca="1">OFFSET('4学生课程目标达成度'!J$9,(ROW(H141)-3)*7,)</f>
        <v>0</v>
      </c>
      <c r="I141" s="6">
        <f ca="1">OFFSET('4学生课程目标达成度'!J$10,(ROW(I141)-3)*7,)</f>
        <v>0</v>
      </c>
      <c r="J141" s="6">
        <f ca="1">OFFSET('4学生课程目标达成度'!J$11,(ROW(J141)-3)*7,)</f>
        <v>0</v>
      </c>
      <c r="K141" s="6">
        <f ca="1">OFFSET('4学生课程目标达成度'!K$5,(ROW(K141)-3)*7,)</f>
        <v>0.673191176470588</v>
      </c>
      <c r="L141" s="11"/>
      <c r="M141" s="6">
        <f ca="1" t="shared" si="104"/>
        <v>0.820478723404255</v>
      </c>
      <c r="N141" s="6">
        <f ca="1" t="shared" si="105"/>
        <v>0.779905437352246</v>
      </c>
      <c r="O141" s="6">
        <f ca="1" t="shared" si="106"/>
        <v>0.559866499791406</v>
      </c>
      <c r="P141" s="6">
        <f ca="1" t="shared" si="107"/>
        <v>0.788014184397162</v>
      </c>
      <c r="Q141" s="6">
        <f ca="1" t="shared" si="108"/>
        <v>0</v>
      </c>
      <c r="R141" s="6">
        <f ca="1" t="shared" si="109"/>
        <v>0</v>
      </c>
      <c r="S141" s="6">
        <f ca="1" t="shared" si="110"/>
        <v>0</v>
      </c>
      <c r="T141" s="6">
        <f ca="1" t="shared" si="111"/>
        <v>0.718587314003615</v>
      </c>
      <c r="U141" s="11"/>
      <c r="V141" s="11">
        <v>0.65</v>
      </c>
    </row>
    <row r="142" spans="1:22">
      <c r="A142" s="3">
        <v>139</v>
      </c>
      <c r="B142" s="7" t="str">
        <f>'1课程考核方式及成绩组成'!D149</f>
        <v>220910131</v>
      </c>
      <c r="C142" s="8" t="str">
        <f>'1课程考核方式及成绩组成'!E149</f>
        <v>唐晓晴</v>
      </c>
      <c r="D142" s="6">
        <f ca="1">OFFSET('4学生课程目标达成度'!J$5,(ROW(D142)-3)*7,)</f>
        <v>0.744444444444444</v>
      </c>
      <c r="E142" s="6">
        <f ca="1">OFFSET('4学生课程目标达成度'!J$6,(ROW(E142)-3)*7,)</f>
        <v>0.708333333333333</v>
      </c>
      <c r="F142" s="6">
        <f ca="1">OFFSET('4学生课程目标达成度'!J$7,(ROW(F142)-3)*7,)</f>
        <v>0.382352941176471</v>
      </c>
      <c r="G142" s="6">
        <f ca="1">OFFSET('4学生课程目标达成度'!J$8,(ROW(G142)-3)*7,)</f>
        <v>0.82</v>
      </c>
      <c r="H142" s="6">
        <f ca="1">OFFSET('4学生课程目标达成度'!J$9,(ROW(H142)-3)*7,)</f>
        <v>0</v>
      </c>
      <c r="I142" s="6">
        <f ca="1">OFFSET('4学生课程目标达成度'!J$10,(ROW(I142)-3)*7,)</f>
        <v>0</v>
      </c>
      <c r="J142" s="6">
        <f ca="1">OFFSET('4学生课程目标达成度'!J$11,(ROW(J142)-3)*7,)</f>
        <v>0</v>
      </c>
      <c r="K142" s="6">
        <f ca="1">OFFSET('4学生课程目标达成度'!K$5,(ROW(K142)-3)*7,)</f>
        <v>0.665754901960784</v>
      </c>
      <c r="L142" s="11"/>
      <c r="M142" s="6">
        <f ca="1" t="shared" si="104"/>
        <v>0.820478723404255</v>
      </c>
      <c r="N142" s="6">
        <f ca="1" t="shared" si="105"/>
        <v>0.779905437352246</v>
      </c>
      <c r="O142" s="6">
        <f ca="1" t="shared" si="106"/>
        <v>0.559866499791406</v>
      </c>
      <c r="P142" s="6">
        <f ca="1" t="shared" si="107"/>
        <v>0.788014184397162</v>
      </c>
      <c r="Q142" s="6">
        <f ca="1" t="shared" si="108"/>
        <v>0</v>
      </c>
      <c r="R142" s="6">
        <f ca="1" t="shared" si="109"/>
        <v>0</v>
      </c>
      <c r="S142" s="6">
        <f ca="1" t="shared" si="110"/>
        <v>0</v>
      </c>
      <c r="T142" s="6">
        <f ca="1" t="shared" si="111"/>
        <v>0.718587314003615</v>
      </c>
      <c r="U142" s="11"/>
      <c r="V142" s="11">
        <v>0.65</v>
      </c>
    </row>
    <row r="143" spans="1:22">
      <c r="A143" s="3">
        <v>140</v>
      </c>
      <c r="B143" s="7" t="str">
        <f>'1课程考核方式及成绩组成'!D150</f>
        <v>221307136</v>
      </c>
      <c r="C143" s="8" t="str">
        <f>'1课程考核方式及成绩组成'!E150</f>
        <v>肖杰文</v>
      </c>
      <c r="D143" s="6">
        <f ca="1">OFFSET('4学生课程目标达成度'!J$5,(ROW(D143)-3)*7,)</f>
        <v>0.758333333333333</v>
      </c>
      <c r="E143" s="6">
        <f ca="1">OFFSET('4学生课程目标达成度'!J$6,(ROW(E143)-3)*7,)</f>
        <v>0.791666666666667</v>
      </c>
      <c r="F143" s="6">
        <f ca="1">OFFSET('4学生课程目标达成度'!J$7,(ROW(F143)-3)*7,)</f>
        <v>0.617647058823529</v>
      </c>
      <c r="G143" s="6">
        <f ca="1">OFFSET('4学生课程目标达成度'!J$8,(ROW(G143)-3)*7,)</f>
        <v>0.82</v>
      </c>
      <c r="H143" s="6">
        <f ca="1">OFFSET('4学生课程目标达成度'!J$9,(ROW(H143)-3)*7,)</f>
        <v>0</v>
      </c>
      <c r="I143" s="6">
        <f ca="1">OFFSET('4学生课程目标达成度'!J$10,(ROW(I143)-3)*7,)</f>
        <v>0</v>
      </c>
      <c r="J143" s="6">
        <f ca="1">OFFSET('4学生课程目标达成度'!J$11,(ROW(J143)-3)*7,)</f>
        <v>0</v>
      </c>
      <c r="K143" s="6">
        <f ca="1">OFFSET('4学生课程目标达成度'!K$5,(ROW(K143)-3)*7,)</f>
        <v>0.751661764705882</v>
      </c>
      <c r="L143" s="11"/>
      <c r="M143" s="6">
        <f ca="1" t="shared" si="104"/>
        <v>0.820478723404255</v>
      </c>
      <c r="N143" s="6">
        <f ca="1" t="shared" si="105"/>
        <v>0.779905437352246</v>
      </c>
      <c r="O143" s="6">
        <f ca="1" t="shared" si="106"/>
        <v>0.559866499791406</v>
      </c>
      <c r="P143" s="6">
        <f ca="1" t="shared" si="107"/>
        <v>0.788014184397162</v>
      </c>
      <c r="Q143" s="6">
        <f ca="1" t="shared" si="108"/>
        <v>0</v>
      </c>
      <c r="R143" s="6">
        <f ca="1" t="shared" si="109"/>
        <v>0</v>
      </c>
      <c r="S143" s="6">
        <f ca="1" t="shared" si="110"/>
        <v>0</v>
      </c>
      <c r="T143" s="6">
        <f ca="1" t="shared" si="111"/>
        <v>0.718587314003615</v>
      </c>
      <c r="U143" s="11"/>
      <c r="V143" s="11">
        <v>0.65</v>
      </c>
    </row>
  </sheetData>
  <mergeCells count="4">
    <mergeCell ref="M2:T2"/>
    <mergeCell ref="A1:A2"/>
    <mergeCell ref="B1:B2"/>
    <mergeCell ref="C1:C2"/>
  </mergeCells>
  <pageMargins left="0.75" right="0.75" top="1" bottom="1" header="0.5" footer="0.5"/>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otherUserPermission="visible"/>
  <rangeList sheetStid="7" master="" otherUserPermission="visible"/>
  <rangeList sheetStid="9" master="" otherUserPermission="visible"/>
  <rangeList sheetStid="8" master="" otherUserPermission="visible"/>
  <rangeList sheetStid="6" master="" otherUserPermission="visible">
    <arrUserId title="成绩" rangeCreator="" othersAccessPermission="edit"/>
  </rangeList>
  <rangeList sheetStid="10"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6</vt:i4>
      </vt:variant>
    </vt:vector>
  </HeadingPairs>
  <TitlesOfParts>
    <vt:vector size="6" baseType="lpstr">
      <vt:lpstr>0信息维护</vt:lpstr>
      <vt:lpstr>1课程考核方式及成绩组成</vt:lpstr>
      <vt:lpstr>2间接评价</vt:lpstr>
      <vt:lpstr>3课程达成度分析报告</vt:lpstr>
      <vt:lpstr>4学生课程目标达成度</vt:lpstr>
      <vt:lpstr>5绘图数据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chaoz</dc:creator>
  <cp:lastModifiedBy>audi</cp:lastModifiedBy>
  <dcterms:created xsi:type="dcterms:W3CDTF">2021-07-21T11:54:00Z</dcterms:created>
  <cp:lastPrinted>2021-08-01T12:38:00Z</cp:lastPrinted>
  <dcterms:modified xsi:type="dcterms:W3CDTF">2024-11-20T07:52:10Z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E4CC5317C9664A68ADFD1331ACB600E6_13</vt:lpwstr>
  </property>
  <property fmtid="{D5CDD505-2E9C-101B-9397-08002B2CF9AE}" pid="3" name="KSOProductBuildVer">
    <vt:lpwstr>2052-12.1.0.18608</vt:lpwstr>
  </property>
</Properties>
</file>